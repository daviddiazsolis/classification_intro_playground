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ogic" sheetId="1" state="visible" r:id="rId1"/>
    <sheet xmlns:r="http://schemas.openxmlformats.org/officeDocument/2006/relationships" name="1 prepared data" sheetId="2" state="visible" r:id="rId2"/>
    <sheet xmlns:r="http://schemas.openxmlformats.org/officeDocument/2006/relationships" name="2 the problem" sheetId="3" state="visible" r:id="rId3"/>
    <sheet xmlns:r="http://schemas.openxmlformats.org/officeDocument/2006/relationships" name="3 class weights" sheetId="4" state="visible" r:id="rId4"/>
    <sheet xmlns:r="http://schemas.openxmlformats.org/officeDocument/2006/relationships" name="4 undersampling" sheetId="5" state="visible" r:id="rId5"/>
    <sheet xmlns:r="http://schemas.openxmlformats.org/officeDocument/2006/relationships" name="5 oversampling" sheetId="6" state="visible" r:id="rId6"/>
    <sheet xmlns:r="http://schemas.openxmlformats.org/officeDocument/2006/relationships" name="6 SMOTE" sheetId="7" state="visible" r:id="rId7"/>
    <sheet xmlns:r="http://schemas.openxmlformats.org/officeDocument/2006/relationships" name="7 comparison" sheetId="8" state="visible" r:id="rId8"/>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3">
    <font>
      <name val="Calibri"/>
      <family val="2"/>
      <color theme="1"/>
      <sz val="11"/>
      <scheme val="minor"/>
    </font>
    <font>
      <b val="1"/>
      <sz val="13"/>
    </font>
    <font>
      <b val="1"/>
    </font>
  </fonts>
  <fills count="6">
    <fill>
      <patternFill/>
    </fill>
    <fill>
      <patternFill patternType="gray125"/>
    </fill>
    <fill>
      <patternFill patternType="solid">
        <fgColor rgb="00E7E6E6"/>
      </patternFill>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164" fontId="0" fillId="2" borderId="0" pivotButton="0" quotePrefix="0" xfId="0"/>
    <xf numFmtId="164" fontId="0" fillId="0" borderId="0" pivotButton="0" quotePrefix="0" xfId="0"/>
    <xf numFmtId="164" fontId="0" fillId="5" borderId="0" pivotButton="0" quotePrefix="0" xfId="0"/>
    <xf numFmtId="165" fontId="0" fillId="5" borderId="0" pivotButton="0" quotePrefix="0" xfId="0"/>
    <xf numFmtId="0" fontId="0" fillId="4" borderId="0" pivotButton="0" quotePrefix="0" xfId="0"/>
    <xf numFmtId="165" fontId="0" fillId="3" borderId="0" pivotButton="0" quotePrefix="0" xfId="0"/>
    <xf numFmtId="165" fontId="0" fillId="2" borderId="0" pivotButton="0" quotePrefix="0" xfId="0"/>
    <xf numFmtId="0" fontId="0" fillId="5" borderId="0" pivotButton="0" quotePrefix="0" xfId="0"/>
    <xf numFmtId="164" fontId="0" fillId="4" borderId="0" pivotButton="0" quotePrefix="0" xfId="0"/>
    <xf numFmtId="2" fontId="0" fillId="3" borderId="0" pivotButton="0" quotePrefix="0" xfId="0"/>
    <xf numFmtId="2" fontId="0" fillId="4" borderId="0" pivotButton="0" quotePrefix="0" xfId="0"/>
    <xf numFmtId="166" fontId="0" fillId="5" borderId="0" pivotButton="0" quotePrefix="0" xfId="0"/>
    <xf numFmtId="165" fontId="0" fillId="4" borderId="0" pivotButton="0" quotePrefix="0" xfId="0"/>
    <xf numFmtId="167" fontId="0" fillId="4" borderId="0" pivotButton="0" quotePrefix="0" xfId="0"/>
    <xf numFmtId="164" fontId="0" fillId="3" borderId="0" pivotButton="0" quotePrefix="0" xfId="0"/>
    <xf numFmtId="167" fontId="0" fillId="2"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Claude</author>
  </authors>
  <commentList>
    <comment ref="Y12" authorId="0" shapeId="0">
      <text>
        <t>Every row weighs 1: this is the base workbook.</t>
      </text>
    </comment>
  </commentList>
</comments>
</file>

<file path=xl/comments/comment2.xml><?xml version="1.0" encoding="utf-8"?>
<comments xmlns="http://schemas.openxmlformats.org/spreadsheetml/2006/main">
  <authors>
    <author>Claude</author>
  </authors>
  <commentList>
    <comment ref="Y12" authorId="0" shapeId="0">
      <text>
        <t>Weight by the row's class: w1 if defaulter, w0 if good payer.</t>
      </text>
    </comment>
    <comment ref="AE32" authorId="0" shapeId="0">
      <text>
        <t>scikit-learn's 'balanced': n / (2 · n_class). With 210 defaulters and 490 good payers in training: w1 = 700/420 = 1.667 and w0 = 700/980 = 0.714, so the two classes add up to 350 each. You can type in any pair of weights.</t>
      </text>
    </comment>
  </commentList>
</comments>
</file>

<file path=xl/comments/comment3.xml><?xml version="1.0" encoding="utf-8"?>
<comments xmlns="http://schemas.openxmlformats.org/spreadsheetml/2006/main">
  <authors>
    <author>Claude</author>
  </authors>
  <commentList>
    <comment ref="Y12" authorId="0" shapeId="0">
      <text>
        <t>1 if the row enters the undersampled training set, 0 otherwise. Rows with 0 contribute nothing to J: it is as if they did not exist.</t>
      </text>
    </comment>
  </commentList>
</comments>
</file>

<file path=xl/comments/comment4.xml><?xml version="1.0" encoding="utf-8"?>
<comments xmlns="http://schemas.openxmlformats.org/spreadsheetml/2006/main">
  <authors>
    <author>Claude</author>
  </authors>
  <commentList>
    <comment ref="Y12" authorId="0" shapeId="0">
      <text>
        <t>How many times the row is repeated in training. Multiplying the loss by k is the same as pasting the row k times.</t>
      </text>
    </comment>
    <comment ref="AE32" authorId="0" shapeId="0">
      <text>
        <t>Repeating a row k times in training is exactly the same as giving it weight k in the cost function: that is why there is no need to paste duplicate rows. With 2 and 1, the defaulters add up to 420 against 490 good payers. To balance exactly enter 2.333 (= 490/210): the defaulters add up to 490, like the good payers. Also try 3 (630 versus 490) or the pair 1.667 and 0.714 from sheet 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5" customWidth="1" min="1" max="1"/>
  </cols>
  <sheetData>
    <row r="1">
      <c r="A1" s="1" t="inlineStr">
        <is>
          <t>Logistic regression with class imbalance: what it causes and how it is corrected (class weights, undersampling, oversampling, SMOTE)</t>
        </is>
      </c>
    </row>
    <row r="2" ht="18.5" customHeight="1">
      <c r="A2" s="2" t="inlineStr">
        <is>
          <t>Prepared by David Díaz, with assistance from Claude (Anthropic).</t>
        </is>
      </c>
    </row>
    <row r="3">
      <c r="A3" t="inlineStr"/>
    </row>
    <row r="4" ht="49.5" customHeight="1">
      <c r="A4" s="2" t="inlineStr">
        <is>
          <t>This workbook is the class imbalance variant of the base workbook (logistic_01_german_credit_EN.xlsx): same 1,000 customers, same 18 prepared columns, same 700 training / 300 testing split, and no regularization. Sheet 1 brings in the data as values.</t>
        </is>
      </c>
    </row>
    <row r="5" ht="80.5" customHeight="1">
      <c r="A5" s="2" t="inlineStr">
        <is>
          <t>The problem. In German Credit 30% of customers default and 70% pay. Cross-entropy adds up each customer's error equally, so the uncorrected model cares more about getting the 490 good payers in training right than the 210 defaulters: sheet 2 shows it with the classification report, where the recall of class 0 is 87% and that of class 1, the one that matters, 57%. In more imbalanced datasets (fraud with 1% of cases, churn with 5%) the effect is worse: the model learns to always say 'no' and is 99% accurate.</t>
        </is>
      </c>
    </row>
    <row r="6" ht="127" customHeight="1">
      <c r="A6" s="2" t="inlineStr">
        <is>
          <t>The fixes change one of two things: how much each customer weighs in the cost function, or which customers enter training. Class weights (sheet 3) multiplies each row's loss by a weight that depends on its class, typically n / (2 · n_class) so that the two classes add up to the same total; that is what class_weight='balanced' does in scikit-learn. Undersampling (sheet 4) randomly drops good payers until they match the defaulters, and trains on fewer rows. Oversampling (sheet 5) repeats the rows of the minority class, which in the cost function is identical to giving them an integer weight. SMOTE (sheet 6) does not repeat: it invents new defaulters by interpolating between pairs of neighboring defaulters. In Excel, the first three are done with Solver, because they all reduce to a 'row weight' column that multiplies the loss; SMOTE is shown with its synthetic rows and its result computed in Python.</t>
        </is>
      </c>
    </row>
    <row r="7" ht="127" customHeight="1">
      <c r="A7" s="2" t="inlineStr">
        <is>
          <t>Sheet 7 compares the four methods on testing, and adds a row worth looking at carefully: the unbalanced model, but with threshold 0.30 instead of 0.50. Its recall and precision are almost the same as those of the class weights model. That is no coincidence: for a logistic, weighting the classes shifts the line in a way that is almost equivalent to moving the threshold, so balancing and moving the threshold are two roads to the same place. The practical difference is that the threshold can be chosen with costs (base workbook, sheet 6) without retraining, whereas balancing changes the probabilities the model delivers (it is no longer calibrated: the average p on testing rises from 0.33 to 0.48 when the actual rate is 0.30). That is why, for a logistic, the honest recommendation is to balance only when the imbalance is severe or when the algorithm does not allow moving the threshold; with a 30% minority, moving the threshold is enough.</t>
        </is>
      </c>
    </row>
    <row r="8" ht="34" customHeight="1">
      <c r="A8" s="2" t="inlineStr">
        <is>
          <t>Colors: light blue cells are parameters (model weights, class weights, repetitions, threshold), yellow cells are intermediate calculations, green cells are results, gray cells are values that come from 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1" customWidth="1" min="1" max="1"/>
    <col width="7" customWidth="1" min="2" max="2"/>
    <col width="21" customWidth="1" min="3" max="3"/>
    <col width="21" customWidth="1" min="4" max="4"/>
    <col width="21" customWidth="1" min="5" max="5"/>
    <col width="21" customWidth="1" min="6" max="6"/>
    <col width="13" customWidth="1" min="7" max="7"/>
    <col width="10" customWidth="1" min="8" max="8"/>
    <col width="13" customWidth="1" min="9" max="9"/>
    <col width="14" customWidth="1" min="10" max="10"/>
    <col width="12" customWidth="1" min="11" max="11"/>
    <col width="16" customWidth="1" min="12" max="12"/>
    <col width="13" customWidth="1" min="13" max="13"/>
    <col width="14" customWidth="1" min="14" max="14"/>
    <col width="12" customWidth="1" min="15" max="15"/>
    <col width="13" customWidth="1" min="16" max="16"/>
    <col width="13" customWidth="1" min="17" max="17"/>
    <col width="12" customWidth="1" min="18" max="18"/>
    <col width="17" customWidth="1" min="19" max="19"/>
    <col width="18" customWidth="1" min="20" max="20"/>
    <col width="9" customWidth="1" min="21" max="21"/>
    <col width="21" customWidth="1" min="22" max="22"/>
  </cols>
  <sheetData>
    <row r="1">
      <c r="A1" s="3" t="inlineStr">
        <is>
          <t>The 1,000 customers already transformed and scaled (values; the preparation is in the base workbook, sheets 2 and 3)</t>
        </is>
      </c>
    </row>
    <row r="2" ht="34" customHeight="1">
      <c r="A2" s="2" t="inlineStr">
        <is>
          <t>Same columns and same split as logistic_01_german_credit_EN.xlsx. The column 'use in undersampling' comes from Python: it equals 1 for the 210 training defaulters and for 210 good payers chosen at random (fixed seed), 0 for the rest of training; it does not apply to testing (evaluation uses all 300).</t>
        </is>
      </c>
    </row>
    <row r="3"/>
    <row r="4">
      <c r="A4" s="4" t="inlineStr">
        <is>
          <t>id</t>
        </is>
      </c>
      <c r="B4" s="4" t="inlineStr">
        <is>
          <t>y</t>
        </is>
      </c>
      <c r="C4" s="4" t="inlineStr">
        <is>
          <t>duration</t>
        </is>
      </c>
      <c r="D4" s="4" t="inlineStr">
        <is>
          <t>amount</t>
        </is>
      </c>
      <c r="E4" s="4" t="inlineStr">
        <is>
          <t>age</t>
        </is>
      </c>
      <c r="F4" s="4" t="inlineStr">
        <is>
          <t>installment_pct_income</t>
        </is>
      </c>
      <c r="G4" s="4" t="inlineStr">
        <is>
          <t>chk_negative</t>
        </is>
      </c>
      <c r="H4" s="4" t="inlineStr">
        <is>
          <t>chk_0_200</t>
        </is>
      </c>
      <c r="I4" s="4" t="inlineStr">
        <is>
          <t>chk_over_200</t>
        </is>
      </c>
      <c r="J4" s="4" t="inlineStr">
        <is>
          <t>hist_critical</t>
        </is>
      </c>
      <c r="K4" s="4" t="inlineStr">
        <is>
          <t>hist_delays</t>
        </is>
      </c>
      <c r="L4" s="4" t="inlineStr">
        <is>
          <t>hist_no_credits</t>
        </is>
      </c>
      <c r="M4" s="4" t="inlineStr">
        <is>
          <t>sav_100_1000</t>
        </is>
      </c>
      <c r="N4" s="4" t="inlineStr">
        <is>
          <t>sav_over_1000</t>
        </is>
      </c>
      <c r="O4" s="4" t="inlineStr">
        <is>
          <t>sav_unknown</t>
        </is>
      </c>
      <c r="P4" s="4" t="inlineStr">
        <is>
          <t>housing_rent</t>
        </is>
      </c>
      <c r="Q4" s="4" t="inlineStr">
        <is>
          <t>housing_free</t>
        </is>
      </c>
      <c r="R4" s="4" t="inlineStr">
        <is>
          <t>purpose_car</t>
        </is>
      </c>
      <c r="S4" s="4" t="inlineStr">
        <is>
          <t>purpose_radio_tv</t>
        </is>
      </c>
      <c r="T4" s="4" t="inlineStr">
        <is>
          <t>purpose_furniture</t>
        </is>
      </c>
      <c r="U4" s="4" t="inlineStr">
        <is>
          <t>set</t>
        </is>
      </c>
      <c r="V4" s="4" t="inlineStr">
        <is>
          <t>use in undersampling</t>
        </is>
      </c>
    </row>
    <row r="5">
      <c r="A5" s="5" t="n">
        <v>1</v>
      </c>
      <c r="B5" s="5" t="n">
        <v>0</v>
      </c>
      <c r="C5" s="6" t="n">
        <v>-1.241254722473026</v>
      </c>
      <c r="D5" s="6" t="n">
        <v>-0.7283702210177497</v>
      </c>
      <c r="E5" s="6" t="n">
        <v>2.73617123115932</v>
      </c>
      <c r="F5" s="6" t="n">
        <v>0.9185437189662378</v>
      </c>
      <c r="G5" s="5" t="n">
        <v>1</v>
      </c>
      <c r="H5" s="5" t="n">
        <v>0</v>
      </c>
      <c r="I5" s="5" t="n">
        <v>0</v>
      </c>
      <c r="J5" s="5" t="n">
        <v>1</v>
      </c>
      <c r="K5" s="5" t="n">
        <v>0</v>
      </c>
      <c r="L5" s="5" t="n">
        <v>0</v>
      </c>
      <c r="M5" s="5" t="n">
        <v>0</v>
      </c>
      <c r="N5" s="5" t="n">
        <v>0</v>
      </c>
      <c r="O5" s="5" t="n">
        <v>1</v>
      </c>
      <c r="P5" s="5" t="n">
        <v>0</v>
      </c>
      <c r="Q5" s="5" t="n">
        <v>0</v>
      </c>
      <c r="R5" s="5" t="n">
        <v>0</v>
      </c>
      <c r="S5" s="5" t="n">
        <v>1</v>
      </c>
      <c r="T5" s="5" t="n">
        <v>0</v>
      </c>
      <c r="U5" s="5" t="inlineStr">
        <is>
          <t>training</t>
        </is>
      </c>
      <c r="V5" s="5" t="n">
        <v>0</v>
      </c>
    </row>
    <row r="6">
      <c r="A6" s="5" t="n">
        <v>2</v>
      </c>
      <c r="B6" s="5" t="n">
        <v>1</v>
      </c>
      <c r="C6" s="6" t="n">
        <v>2.297621231823615</v>
      </c>
      <c r="D6" s="6" t="n">
        <v>0.9448168701619106</v>
      </c>
      <c r="E6" s="6" t="n">
        <v>-1.177614700251023</v>
      </c>
      <c r="F6" s="6" t="n">
        <v>-0.8850484360866833</v>
      </c>
      <c r="G6" s="5" t="n">
        <v>0</v>
      </c>
      <c r="H6" s="5" t="n">
        <v>1</v>
      </c>
      <c r="I6" s="5" t="n">
        <v>0</v>
      </c>
      <c r="J6" s="5" t="n">
        <v>0</v>
      </c>
      <c r="K6" s="5" t="n">
        <v>0</v>
      </c>
      <c r="L6" s="5" t="n">
        <v>0</v>
      </c>
      <c r="M6" s="5" t="n">
        <v>0</v>
      </c>
      <c r="N6" s="5" t="n">
        <v>0</v>
      </c>
      <c r="O6" s="5" t="n">
        <v>0</v>
      </c>
      <c r="P6" s="5" t="n">
        <v>0</v>
      </c>
      <c r="Q6" s="5" t="n">
        <v>0</v>
      </c>
      <c r="R6" s="5" t="n">
        <v>0</v>
      </c>
      <c r="S6" s="5" t="n">
        <v>1</v>
      </c>
      <c r="T6" s="5" t="n">
        <v>0</v>
      </c>
      <c r="U6" s="5" t="inlineStr">
        <is>
          <t>training</t>
        </is>
      </c>
      <c r="V6" s="5" t="n">
        <v>1</v>
      </c>
    </row>
    <row r="7">
      <c r="A7" s="5" t="n">
        <v>3</v>
      </c>
      <c r="B7" s="5" t="n">
        <v>0</v>
      </c>
      <c r="C7" s="6" t="n">
        <v>-0.7357010147163632</v>
      </c>
      <c r="D7" s="6" t="n">
        <v>-0.4040196493900741</v>
      </c>
      <c r="E7" s="6" t="n">
        <v>1.170656858595183</v>
      </c>
      <c r="F7" s="6" t="n">
        <v>-0.8850484360866833</v>
      </c>
      <c r="G7" s="5" t="n">
        <v>0</v>
      </c>
      <c r="H7" s="5" t="n">
        <v>0</v>
      </c>
      <c r="I7" s="5" t="n">
        <v>0</v>
      </c>
      <c r="J7" s="5" t="n">
        <v>1</v>
      </c>
      <c r="K7" s="5" t="n">
        <v>0</v>
      </c>
      <c r="L7" s="5" t="n">
        <v>0</v>
      </c>
      <c r="M7" s="5" t="n">
        <v>0</v>
      </c>
      <c r="N7" s="5" t="n">
        <v>0</v>
      </c>
      <c r="O7" s="5" t="n">
        <v>0</v>
      </c>
      <c r="P7" s="5" t="n">
        <v>0</v>
      </c>
      <c r="Q7" s="5" t="n">
        <v>0</v>
      </c>
      <c r="R7" s="5" t="n">
        <v>0</v>
      </c>
      <c r="S7" s="5" t="n">
        <v>0</v>
      </c>
      <c r="T7" s="5" t="n">
        <v>0</v>
      </c>
      <c r="U7" s="5" t="inlineStr">
        <is>
          <t>training</t>
        </is>
      </c>
      <c r="V7" s="5" t="n">
        <v>1</v>
      </c>
    </row>
    <row r="8">
      <c r="A8" s="5" t="n">
        <v>4</v>
      </c>
      <c r="B8" s="5" t="n">
        <v>0</v>
      </c>
      <c r="C8" s="6" t="n">
        <v>1.792067524066952</v>
      </c>
      <c r="D8" s="6" t="n">
        <v>1.620459754534124</v>
      </c>
      <c r="E8" s="6" t="n">
        <v>0.8227647758031523</v>
      </c>
      <c r="F8" s="6" t="n">
        <v>-0.8850484360866833</v>
      </c>
      <c r="G8" s="5" t="n">
        <v>1</v>
      </c>
      <c r="H8" s="5" t="n">
        <v>0</v>
      </c>
      <c r="I8" s="5" t="n">
        <v>0</v>
      </c>
      <c r="J8" s="5" t="n">
        <v>0</v>
      </c>
      <c r="K8" s="5" t="n">
        <v>0</v>
      </c>
      <c r="L8" s="5" t="n">
        <v>0</v>
      </c>
      <c r="M8" s="5" t="n">
        <v>0</v>
      </c>
      <c r="N8" s="5" t="n">
        <v>0</v>
      </c>
      <c r="O8" s="5" t="n">
        <v>0</v>
      </c>
      <c r="P8" s="5" t="n">
        <v>0</v>
      </c>
      <c r="Q8" s="5" t="n">
        <v>1</v>
      </c>
      <c r="R8" s="5" t="n">
        <v>0</v>
      </c>
      <c r="S8" s="5" t="n">
        <v>0</v>
      </c>
      <c r="T8" s="5" t="n">
        <v>1</v>
      </c>
      <c r="U8" s="5" t="inlineStr">
        <is>
          <t>testing</t>
        </is>
      </c>
      <c r="V8" s="5" t="n">
        <v>0</v>
      </c>
    </row>
    <row r="9">
      <c r="A9" s="5" t="n">
        <v>5</v>
      </c>
      <c r="B9" s="5" t="n">
        <v>1</v>
      </c>
      <c r="C9" s="6" t="n">
        <v>0.275406400796963</v>
      </c>
      <c r="D9" s="6" t="n">
        <v>0.5665828163005111</v>
      </c>
      <c r="E9" s="6" t="n">
        <v>1.518548941387213</v>
      </c>
      <c r="F9" s="6" t="n">
        <v>0.01674764143977723</v>
      </c>
      <c r="G9" s="5" t="n">
        <v>1</v>
      </c>
      <c r="H9" s="5" t="n">
        <v>0</v>
      </c>
      <c r="I9" s="5" t="n">
        <v>0</v>
      </c>
      <c r="J9" s="5" t="n">
        <v>0</v>
      </c>
      <c r="K9" s="5" t="n">
        <v>1</v>
      </c>
      <c r="L9" s="5" t="n">
        <v>0</v>
      </c>
      <c r="M9" s="5" t="n">
        <v>0</v>
      </c>
      <c r="N9" s="5" t="n">
        <v>0</v>
      </c>
      <c r="O9" s="5" t="n">
        <v>0</v>
      </c>
      <c r="P9" s="5" t="n">
        <v>0</v>
      </c>
      <c r="Q9" s="5" t="n">
        <v>1</v>
      </c>
      <c r="R9" s="5" t="n">
        <v>1</v>
      </c>
      <c r="S9" s="5" t="n">
        <v>0</v>
      </c>
      <c r="T9" s="5" t="n">
        <v>0</v>
      </c>
      <c r="U9" s="5" t="inlineStr">
        <is>
          <t>training</t>
        </is>
      </c>
      <c r="V9" s="5" t="n">
        <v>1</v>
      </c>
    </row>
    <row r="10">
      <c r="A10" s="5" t="n">
        <v>6</v>
      </c>
      <c r="B10" s="5" t="n">
        <v>0</v>
      </c>
      <c r="C10" s="6" t="n">
        <v>1.286513816310289</v>
      </c>
      <c r="D10" s="6" t="n">
        <v>2.030883940639047</v>
      </c>
      <c r="E10" s="6" t="n">
        <v>-0.04696543117692405</v>
      </c>
      <c r="F10" s="6" t="n">
        <v>-0.8850484360866833</v>
      </c>
      <c r="G10" s="5" t="n">
        <v>0</v>
      </c>
      <c r="H10" s="5" t="n">
        <v>0</v>
      </c>
      <c r="I10" s="5" t="n">
        <v>0</v>
      </c>
      <c r="J10" s="5" t="n">
        <v>0</v>
      </c>
      <c r="K10" s="5" t="n">
        <v>0</v>
      </c>
      <c r="L10" s="5" t="n">
        <v>0</v>
      </c>
      <c r="M10" s="5" t="n">
        <v>0</v>
      </c>
      <c r="N10" s="5" t="n">
        <v>0</v>
      </c>
      <c r="O10" s="5" t="n">
        <v>1</v>
      </c>
      <c r="P10" s="5" t="n">
        <v>0</v>
      </c>
      <c r="Q10" s="5" t="n">
        <v>1</v>
      </c>
      <c r="R10" s="5" t="n">
        <v>0</v>
      </c>
      <c r="S10" s="5" t="n">
        <v>0</v>
      </c>
      <c r="T10" s="5" t="n">
        <v>0</v>
      </c>
      <c r="U10" s="5" t="inlineStr">
        <is>
          <t>testing</t>
        </is>
      </c>
      <c r="V10" s="5" t="n">
        <v>0</v>
      </c>
    </row>
    <row r="11">
      <c r="A11" s="5" t="n">
        <v>7</v>
      </c>
      <c r="B11" s="5" t="n">
        <v>0</v>
      </c>
      <c r="C11" s="6" t="n">
        <v>0.275406400796963</v>
      </c>
      <c r="D11" s="6" t="n">
        <v>-0.1454489132165548</v>
      </c>
      <c r="E11" s="6" t="n">
        <v>1.518548941387213</v>
      </c>
      <c r="F11" s="6" t="n">
        <v>0.01674764143977723</v>
      </c>
      <c r="G11" s="5" t="n">
        <v>0</v>
      </c>
      <c r="H11" s="5" t="n">
        <v>0</v>
      </c>
      <c r="I11" s="5" t="n">
        <v>0</v>
      </c>
      <c r="J11" s="5" t="n">
        <v>0</v>
      </c>
      <c r="K11" s="5" t="n">
        <v>0</v>
      </c>
      <c r="L11" s="5" t="n">
        <v>0</v>
      </c>
      <c r="M11" s="5" t="n">
        <v>1</v>
      </c>
      <c r="N11" s="5" t="n">
        <v>0</v>
      </c>
      <c r="O11" s="5" t="n">
        <v>0</v>
      </c>
      <c r="P11" s="5" t="n">
        <v>0</v>
      </c>
      <c r="Q11" s="5" t="n">
        <v>0</v>
      </c>
      <c r="R11" s="5" t="n">
        <v>0</v>
      </c>
      <c r="S11" s="5" t="n">
        <v>0</v>
      </c>
      <c r="T11" s="5" t="n">
        <v>1</v>
      </c>
      <c r="U11" s="5" t="inlineStr">
        <is>
          <t>training</t>
        </is>
      </c>
      <c r="V11" s="5" t="n">
        <v>0</v>
      </c>
    </row>
    <row r="12">
      <c r="A12" s="5" t="n">
        <v>8</v>
      </c>
      <c r="B12" s="5" t="n">
        <v>0</v>
      </c>
      <c r="C12" s="6" t="n">
        <v>1.286513816310289</v>
      </c>
      <c r="D12" s="6" t="n">
        <v>1.293659933714006</v>
      </c>
      <c r="E12" s="6" t="n">
        <v>-0.04696543117692405</v>
      </c>
      <c r="F12" s="6" t="n">
        <v>-0.8850484360866833</v>
      </c>
      <c r="G12" s="5" t="n">
        <v>0</v>
      </c>
      <c r="H12" s="5" t="n">
        <v>1</v>
      </c>
      <c r="I12" s="5" t="n">
        <v>0</v>
      </c>
      <c r="J12" s="5" t="n">
        <v>0</v>
      </c>
      <c r="K12" s="5" t="n">
        <v>0</v>
      </c>
      <c r="L12" s="5" t="n">
        <v>0</v>
      </c>
      <c r="M12" s="5" t="n">
        <v>0</v>
      </c>
      <c r="N12" s="5" t="n">
        <v>0</v>
      </c>
      <c r="O12" s="5" t="n">
        <v>0</v>
      </c>
      <c r="P12" s="5" t="n">
        <v>1</v>
      </c>
      <c r="Q12" s="5" t="n">
        <v>0</v>
      </c>
      <c r="R12" s="5" t="n">
        <v>1</v>
      </c>
      <c r="S12" s="5" t="n">
        <v>0</v>
      </c>
      <c r="T12" s="5" t="n">
        <v>0</v>
      </c>
      <c r="U12" s="5" t="inlineStr">
        <is>
          <t>training</t>
        </is>
      </c>
      <c r="V12" s="5" t="n">
        <v>1</v>
      </c>
    </row>
    <row r="13">
      <c r="A13" s="5" t="n">
        <v>9</v>
      </c>
      <c r="B13" s="5" t="n">
        <v>0</v>
      </c>
      <c r="C13" s="6" t="n">
        <v>-0.7357010147163632</v>
      </c>
      <c r="D13" s="6" t="n">
        <v>-0.06707293905841095</v>
      </c>
      <c r="E13" s="6" t="n">
        <v>2.214333106971274</v>
      </c>
      <c r="F13" s="6" t="n">
        <v>-0.8850484360866833</v>
      </c>
      <c r="G13" s="5" t="n">
        <v>0</v>
      </c>
      <c r="H13" s="5" t="n">
        <v>0</v>
      </c>
      <c r="I13" s="5" t="n">
        <v>0</v>
      </c>
      <c r="J13" s="5" t="n">
        <v>0</v>
      </c>
      <c r="K13" s="5" t="n">
        <v>0</v>
      </c>
      <c r="L13" s="5" t="n">
        <v>0</v>
      </c>
      <c r="M13" s="5" t="n">
        <v>0</v>
      </c>
      <c r="N13" s="5" t="n">
        <v>1</v>
      </c>
      <c r="O13" s="5" t="n">
        <v>0</v>
      </c>
      <c r="P13" s="5" t="n">
        <v>0</v>
      </c>
      <c r="Q13" s="5" t="n">
        <v>0</v>
      </c>
      <c r="R13" s="5" t="n">
        <v>0</v>
      </c>
      <c r="S13" s="5" t="n">
        <v>1</v>
      </c>
      <c r="T13" s="5" t="n">
        <v>0</v>
      </c>
      <c r="U13" s="5" t="inlineStr">
        <is>
          <t>training</t>
        </is>
      </c>
      <c r="V13" s="5" t="n">
        <v>0</v>
      </c>
    </row>
    <row r="14">
      <c r="A14" s="5" t="n">
        <v>10</v>
      </c>
      <c r="B14" s="5" t="n">
        <v>1</v>
      </c>
      <c r="C14" s="6" t="n">
        <v>0.7809601085536261</v>
      </c>
      <c r="D14" s="6" t="n">
        <v>0.6939437743074949</v>
      </c>
      <c r="E14" s="6" t="n">
        <v>-0.6557765760629775</v>
      </c>
      <c r="F14" s="6" t="n">
        <v>0.9185437189662378</v>
      </c>
      <c r="G14" s="5" t="n">
        <v>0</v>
      </c>
      <c r="H14" s="5" t="n">
        <v>1</v>
      </c>
      <c r="I14" s="5" t="n">
        <v>0</v>
      </c>
      <c r="J14" s="5" t="n">
        <v>1</v>
      </c>
      <c r="K14" s="5" t="n">
        <v>0</v>
      </c>
      <c r="L14" s="5" t="n">
        <v>0</v>
      </c>
      <c r="M14" s="5" t="n">
        <v>0</v>
      </c>
      <c r="N14" s="5" t="n">
        <v>0</v>
      </c>
      <c r="O14" s="5" t="n">
        <v>0</v>
      </c>
      <c r="P14" s="5" t="n">
        <v>0</v>
      </c>
      <c r="Q14" s="5" t="n">
        <v>0</v>
      </c>
      <c r="R14" s="5" t="n">
        <v>1</v>
      </c>
      <c r="S14" s="5" t="n">
        <v>0</v>
      </c>
      <c r="T14" s="5" t="n">
        <v>0</v>
      </c>
      <c r="U14" s="5" t="inlineStr">
        <is>
          <t>training</t>
        </is>
      </c>
      <c r="V14" s="5" t="n">
        <v>1</v>
      </c>
    </row>
    <row r="15">
      <c r="A15" s="5" t="n">
        <v>11</v>
      </c>
      <c r="B15" s="5" t="n">
        <v>1</v>
      </c>
      <c r="C15" s="6" t="n">
        <v>-0.7357010147163632</v>
      </c>
      <c r="D15" s="6" t="n">
        <v>-0.6842837355537938</v>
      </c>
      <c r="E15" s="6" t="n">
        <v>-0.9166956381570004</v>
      </c>
      <c r="F15" s="6" t="n">
        <v>0.01674764143977723</v>
      </c>
      <c r="G15" s="5" t="n">
        <v>0</v>
      </c>
      <c r="H15" s="5" t="n">
        <v>1</v>
      </c>
      <c r="I15" s="5" t="n">
        <v>0</v>
      </c>
      <c r="J15" s="5" t="n">
        <v>0</v>
      </c>
      <c r="K15" s="5" t="n">
        <v>0</v>
      </c>
      <c r="L15" s="5" t="n">
        <v>0</v>
      </c>
      <c r="M15" s="5" t="n">
        <v>0</v>
      </c>
      <c r="N15" s="5" t="n">
        <v>0</v>
      </c>
      <c r="O15" s="5" t="n">
        <v>0</v>
      </c>
      <c r="P15" s="5" t="n">
        <v>1</v>
      </c>
      <c r="Q15" s="5" t="n">
        <v>0</v>
      </c>
      <c r="R15" s="5" t="n">
        <v>1</v>
      </c>
      <c r="S15" s="5" t="n">
        <v>0</v>
      </c>
      <c r="T15" s="5" t="n">
        <v>0</v>
      </c>
      <c r="U15" s="5" t="inlineStr">
        <is>
          <t>training</t>
        </is>
      </c>
      <c r="V15" s="5" t="n">
        <v>1</v>
      </c>
    </row>
    <row r="16">
      <c r="A16" s="5" t="n">
        <v>12</v>
      </c>
      <c r="B16" s="5" t="n">
        <v>1</v>
      </c>
      <c r="C16" s="6" t="n">
        <v>2.297621231823615</v>
      </c>
      <c r="D16" s="6" t="n">
        <v>0.3699430954215965</v>
      </c>
      <c r="E16" s="6" t="n">
        <v>-1.003668658855008</v>
      </c>
      <c r="F16" s="6" t="n">
        <v>0.01674764143977723</v>
      </c>
      <c r="G16" s="5" t="n">
        <v>1</v>
      </c>
      <c r="H16" s="5" t="n">
        <v>0</v>
      </c>
      <c r="I16" s="5" t="n">
        <v>0</v>
      </c>
      <c r="J16" s="5" t="n">
        <v>0</v>
      </c>
      <c r="K16" s="5" t="n">
        <v>0</v>
      </c>
      <c r="L16" s="5" t="n">
        <v>0</v>
      </c>
      <c r="M16" s="5" t="n">
        <v>0</v>
      </c>
      <c r="N16" s="5" t="n">
        <v>0</v>
      </c>
      <c r="O16" s="5" t="n">
        <v>0</v>
      </c>
      <c r="P16" s="5" t="n">
        <v>1</v>
      </c>
      <c r="Q16" s="5" t="n">
        <v>0</v>
      </c>
      <c r="R16" s="5" t="n">
        <v>0</v>
      </c>
      <c r="S16" s="5" t="n">
        <v>0</v>
      </c>
      <c r="T16" s="5" t="n">
        <v>0</v>
      </c>
      <c r="U16" s="5" t="inlineStr">
        <is>
          <t>training</t>
        </is>
      </c>
      <c r="V16" s="5" t="n">
        <v>1</v>
      </c>
    </row>
    <row r="17">
      <c r="A17" s="5" t="n">
        <v>13</v>
      </c>
      <c r="B17" s="5" t="n">
        <v>0</v>
      </c>
      <c r="C17" s="6" t="n">
        <v>-0.7357010147163632</v>
      </c>
      <c r="D17" s="6" t="n">
        <v>-0.5891129097903335</v>
      </c>
      <c r="E17" s="6" t="n">
        <v>-1.177614700251023</v>
      </c>
      <c r="F17" s="6" t="n">
        <v>-1.786844513613144</v>
      </c>
      <c r="G17" s="5" t="n">
        <v>0</v>
      </c>
      <c r="H17" s="5" t="n">
        <v>1</v>
      </c>
      <c r="I17" s="5" t="n">
        <v>0</v>
      </c>
      <c r="J17" s="5" t="n">
        <v>0</v>
      </c>
      <c r="K17" s="5" t="n">
        <v>0</v>
      </c>
      <c r="L17" s="5" t="n">
        <v>0</v>
      </c>
      <c r="M17" s="5" t="n">
        <v>0</v>
      </c>
      <c r="N17" s="5" t="n">
        <v>0</v>
      </c>
      <c r="O17" s="5" t="n">
        <v>0</v>
      </c>
      <c r="P17" s="5" t="n">
        <v>0</v>
      </c>
      <c r="Q17" s="5" t="n">
        <v>0</v>
      </c>
      <c r="R17" s="5" t="n">
        <v>0</v>
      </c>
      <c r="S17" s="5" t="n">
        <v>1</v>
      </c>
      <c r="T17" s="5" t="n">
        <v>0</v>
      </c>
      <c r="U17" s="5" t="inlineStr">
        <is>
          <t>training</t>
        </is>
      </c>
      <c r="V17" s="5" t="n">
        <v>1</v>
      </c>
    </row>
    <row r="18">
      <c r="A18" s="5" t="n">
        <v>14</v>
      </c>
      <c r="B18" s="5" t="n">
        <v>1</v>
      </c>
      <c r="C18" s="6" t="n">
        <v>0.275406400796963</v>
      </c>
      <c r="D18" s="6" t="n">
        <v>-0.7178734387644269</v>
      </c>
      <c r="E18" s="6" t="n">
        <v>2.127360086273267</v>
      </c>
      <c r="F18" s="6" t="n">
        <v>0.9185437189662378</v>
      </c>
      <c r="G18" s="5" t="n">
        <v>1</v>
      </c>
      <c r="H18" s="5" t="n">
        <v>0</v>
      </c>
      <c r="I18" s="5" t="n">
        <v>0</v>
      </c>
      <c r="J18" s="5" t="n">
        <v>1</v>
      </c>
      <c r="K18" s="5" t="n">
        <v>0</v>
      </c>
      <c r="L18" s="5" t="n">
        <v>0</v>
      </c>
      <c r="M18" s="5" t="n">
        <v>0</v>
      </c>
      <c r="N18" s="5" t="n">
        <v>0</v>
      </c>
      <c r="O18" s="5" t="n">
        <v>0</v>
      </c>
      <c r="P18" s="5" t="n">
        <v>0</v>
      </c>
      <c r="Q18" s="5" t="n">
        <v>0</v>
      </c>
      <c r="R18" s="5" t="n">
        <v>1</v>
      </c>
      <c r="S18" s="5" t="n">
        <v>0</v>
      </c>
      <c r="T18" s="5" t="n">
        <v>0</v>
      </c>
      <c r="U18" s="5" t="inlineStr">
        <is>
          <t>training</t>
        </is>
      </c>
      <c r="V18" s="5" t="n">
        <v>1</v>
      </c>
    </row>
    <row r="19">
      <c r="A19" s="5" t="n">
        <v>15</v>
      </c>
      <c r="B19" s="5" t="n">
        <v>0</v>
      </c>
      <c r="C19" s="6" t="n">
        <v>-0.4829241608380317</v>
      </c>
      <c r="D19" s="6" t="n">
        <v>-0.6464953194418316</v>
      </c>
      <c r="E19" s="6" t="n">
        <v>-0.6557765760629775</v>
      </c>
      <c r="F19" s="6" t="n">
        <v>-0.8850484360866833</v>
      </c>
      <c r="G19" s="5" t="n">
        <v>1</v>
      </c>
      <c r="H19" s="5" t="n">
        <v>0</v>
      </c>
      <c r="I19" s="5" t="n">
        <v>0</v>
      </c>
      <c r="J19" s="5" t="n">
        <v>0</v>
      </c>
      <c r="K19" s="5" t="n">
        <v>0</v>
      </c>
      <c r="L19" s="5" t="n">
        <v>0</v>
      </c>
      <c r="M19" s="5" t="n">
        <v>0</v>
      </c>
      <c r="N19" s="5" t="n">
        <v>0</v>
      </c>
      <c r="O19" s="5" t="n">
        <v>0</v>
      </c>
      <c r="P19" s="5" t="n">
        <v>1</v>
      </c>
      <c r="Q19" s="5" t="n">
        <v>0</v>
      </c>
      <c r="R19" s="5" t="n">
        <v>1</v>
      </c>
      <c r="S19" s="5" t="n">
        <v>0</v>
      </c>
      <c r="T19" s="5" t="n">
        <v>0</v>
      </c>
      <c r="U19" s="5" t="inlineStr">
        <is>
          <t>testing</t>
        </is>
      </c>
      <c r="V19" s="5" t="n">
        <v>0</v>
      </c>
    </row>
    <row r="20">
      <c r="A20" s="5" t="n">
        <v>16</v>
      </c>
      <c r="B20" s="5" t="n">
        <v>1</v>
      </c>
      <c r="C20" s="6" t="n">
        <v>0.275406400796963</v>
      </c>
      <c r="D20" s="6" t="n">
        <v>-0.6888323411969004</v>
      </c>
      <c r="E20" s="6" t="n">
        <v>-0.307884493270947</v>
      </c>
      <c r="F20" s="6" t="n">
        <v>0.9185437189662378</v>
      </c>
      <c r="G20" s="5" t="n">
        <v>1</v>
      </c>
      <c r="H20" s="5" t="n">
        <v>0</v>
      </c>
      <c r="I20" s="5" t="n">
        <v>0</v>
      </c>
      <c r="J20" s="5" t="n">
        <v>0</v>
      </c>
      <c r="K20" s="5" t="n">
        <v>0</v>
      </c>
      <c r="L20" s="5" t="n">
        <v>0</v>
      </c>
      <c r="M20" s="5" t="n">
        <v>1</v>
      </c>
      <c r="N20" s="5" t="n">
        <v>0</v>
      </c>
      <c r="O20" s="5" t="n">
        <v>0</v>
      </c>
      <c r="P20" s="5" t="n">
        <v>0</v>
      </c>
      <c r="Q20" s="5" t="n">
        <v>0</v>
      </c>
      <c r="R20" s="5" t="n">
        <v>0</v>
      </c>
      <c r="S20" s="5" t="n">
        <v>1</v>
      </c>
      <c r="T20" s="5" t="n">
        <v>0</v>
      </c>
      <c r="U20" s="5" t="inlineStr">
        <is>
          <t>training</t>
        </is>
      </c>
      <c r="V20" s="5" t="n">
        <v>1</v>
      </c>
    </row>
    <row r="21">
      <c r="A21" s="5" t="n">
        <v>17</v>
      </c>
      <c r="B21" s="5" t="n">
        <v>0</v>
      </c>
      <c r="C21" s="6" t="n">
        <v>0.275406400796963</v>
      </c>
      <c r="D21" s="6" t="n">
        <v>-0.2892548300870777</v>
      </c>
      <c r="E21" s="6" t="n">
        <v>1.518548941387213</v>
      </c>
      <c r="F21" s="6" t="n">
        <v>0.9185437189662378</v>
      </c>
      <c r="G21" s="5" t="n">
        <v>0</v>
      </c>
      <c r="H21" s="5" t="n">
        <v>0</v>
      </c>
      <c r="I21" s="5" t="n">
        <v>0</v>
      </c>
      <c r="J21" s="5" t="n">
        <v>1</v>
      </c>
      <c r="K21" s="5" t="n">
        <v>0</v>
      </c>
      <c r="L21" s="5" t="n">
        <v>0</v>
      </c>
      <c r="M21" s="5" t="n">
        <v>0</v>
      </c>
      <c r="N21" s="5" t="n">
        <v>0</v>
      </c>
      <c r="O21" s="5" t="n">
        <v>1</v>
      </c>
      <c r="P21" s="5" t="n">
        <v>0</v>
      </c>
      <c r="Q21" s="5" t="n">
        <v>0</v>
      </c>
      <c r="R21" s="5" t="n">
        <v>0</v>
      </c>
      <c r="S21" s="5" t="n">
        <v>1</v>
      </c>
      <c r="T21" s="5" t="n">
        <v>0</v>
      </c>
      <c r="U21" s="5" t="inlineStr">
        <is>
          <t>training</t>
        </is>
      </c>
      <c r="V21" s="5" t="n">
        <v>1</v>
      </c>
    </row>
    <row r="22">
      <c r="A22" s="5" t="n">
        <v>18</v>
      </c>
      <c r="B22" s="5" t="n">
        <v>0</v>
      </c>
      <c r="C22" s="6" t="n">
        <v>0.7809601085536261</v>
      </c>
      <c r="D22" s="6" t="n">
        <v>1.686939375471836</v>
      </c>
      <c r="E22" s="6" t="n">
        <v>-0.9166956381570004</v>
      </c>
      <c r="F22" s="6" t="n">
        <v>-0.8850484360866833</v>
      </c>
      <c r="G22" s="5" t="n">
        <v>1</v>
      </c>
      <c r="H22" s="5" t="n">
        <v>0</v>
      </c>
      <c r="I22" s="5" t="n">
        <v>0</v>
      </c>
      <c r="J22" s="5" t="n">
        <v>0</v>
      </c>
      <c r="K22" s="5" t="n">
        <v>0</v>
      </c>
      <c r="L22" s="5" t="n">
        <v>1</v>
      </c>
      <c r="M22" s="5" t="n">
        <v>0</v>
      </c>
      <c r="N22" s="5" t="n">
        <v>0</v>
      </c>
      <c r="O22" s="5" t="n">
        <v>1</v>
      </c>
      <c r="P22" s="5" t="n">
        <v>0</v>
      </c>
      <c r="Q22" s="5" t="n">
        <v>0</v>
      </c>
      <c r="R22" s="5" t="n">
        <v>0</v>
      </c>
      <c r="S22" s="5" t="n">
        <v>0</v>
      </c>
      <c r="T22" s="5" t="n">
        <v>0</v>
      </c>
      <c r="U22" s="5" t="inlineStr">
        <is>
          <t>training</t>
        </is>
      </c>
      <c r="V22" s="5" t="n">
        <v>1</v>
      </c>
    </row>
    <row r="23">
      <c r="A23" s="5" t="n">
        <v>19</v>
      </c>
      <c r="B23" s="5" t="n">
        <v>1</v>
      </c>
      <c r="C23" s="6" t="n">
        <v>0.275406400796963</v>
      </c>
      <c r="D23" s="6" t="n">
        <v>3.263905962662703</v>
      </c>
      <c r="E23" s="6" t="n">
        <v>0.7357917551051447</v>
      </c>
      <c r="F23" s="6" t="n">
        <v>0.9185437189662378</v>
      </c>
      <c r="G23" s="5" t="n">
        <v>0</v>
      </c>
      <c r="H23" s="5" t="n">
        <v>1</v>
      </c>
      <c r="I23" s="5" t="n">
        <v>0</v>
      </c>
      <c r="J23" s="5" t="n">
        <v>0</v>
      </c>
      <c r="K23" s="5" t="n">
        <v>0</v>
      </c>
      <c r="L23" s="5" t="n">
        <v>0</v>
      </c>
      <c r="M23" s="5" t="n">
        <v>0</v>
      </c>
      <c r="N23" s="5" t="n">
        <v>0</v>
      </c>
      <c r="O23" s="5" t="n">
        <v>0</v>
      </c>
      <c r="P23" s="5" t="n">
        <v>0</v>
      </c>
      <c r="Q23" s="5" t="n">
        <v>1</v>
      </c>
      <c r="R23" s="5" t="n">
        <v>1</v>
      </c>
      <c r="S23" s="5" t="n">
        <v>0</v>
      </c>
      <c r="T23" s="5" t="n">
        <v>0</v>
      </c>
      <c r="U23" s="5" t="inlineStr">
        <is>
          <t>training</t>
        </is>
      </c>
      <c r="V23" s="5" t="n">
        <v>1</v>
      </c>
    </row>
    <row r="24">
      <c r="A24" s="5" t="n">
        <v>20</v>
      </c>
      <c r="B24" s="5" t="n">
        <v>0</v>
      </c>
      <c r="C24" s="6" t="n">
        <v>0.275406400796963</v>
      </c>
      <c r="D24" s="6" t="n">
        <v>0.06273726814101481</v>
      </c>
      <c r="E24" s="6" t="n">
        <v>-0.3948575139689546</v>
      </c>
      <c r="F24" s="6" t="n">
        <v>0.01674764143977723</v>
      </c>
      <c r="G24" s="5" t="n">
        <v>0</v>
      </c>
      <c r="H24" s="5" t="n">
        <v>0</v>
      </c>
      <c r="I24" s="5" t="n">
        <v>0</v>
      </c>
      <c r="J24" s="5" t="n">
        <v>0</v>
      </c>
      <c r="K24" s="5" t="n">
        <v>0</v>
      </c>
      <c r="L24" s="5" t="n">
        <v>0</v>
      </c>
      <c r="M24" s="5" t="n">
        <v>1</v>
      </c>
      <c r="N24" s="5" t="n">
        <v>0</v>
      </c>
      <c r="O24" s="5" t="n">
        <v>0</v>
      </c>
      <c r="P24" s="5" t="n">
        <v>0</v>
      </c>
      <c r="Q24" s="5" t="n">
        <v>0</v>
      </c>
      <c r="R24" s="5" t="n">
        <v>0</v>
      </c>
      <c r="S24" s="5" t="n">
        <v>1</v>
      </c>
      <c r="T24" s="5" t="n">
        <v>0</v>
      </c>
      <c r="U24" s="5" t="inlineStr">
        <is>
          <t>training</t>
        </is>
      </c>
      <c r="V24" s="5" t="n">
        <v>1</v>
      </c>
    </row>
    <row r="25">
      <c r="A25" s="5" t="n">
        <v>21</v>
      </c>
      <c r="B25" s="5" t="n">
        <v>0</v>
      </c>
      <c r="C25" s="6" t="n">
        <v>-0.9884778685946948</v>
      </c>
      <c r="D25" s="6" t="n">
        <v>-0.3907237252025318</v>
      </c>
      <c r="E25" s="6" t="n">
        <v>1.083683837897175</v>
      </c>
      <c r="F25" s="6" t="n">
        <v>0.9185437189662378</v>
      </c>
      <c r="G25" s="5" t="n">
        <v>0</v>
      </c>
      <c r="H25" s="5" t="n">
        <v>0</v>
      </c>
      <c r="I25" s="5" t="n">
        <v>0</v>
      </c>
      <c r="J25" s="5" t="n">
        <v>1</v>
      </c>
      <c r="K25" s="5" t="n">
        <v>0</v>
      </c>
      <c r="L25" s="5" t="n">
        <v>0</v>
      </c>
      <c r="M25" s="5" t="n">
        <v>0</v>
      </c>
      <c r="N25" s="5" t="n">
        <v>0</v>
      </c>
      <c r="O25" s="5" t="n">
        <v>0</v>
      </c>
      <c r="P25" s="5" t="n">
        <v>0</v>
      </c>
      <c r="Q25" s="5" t="n">
        <v>0</v>
      </c>
      <c r="R25" s="5" t="n">
        <v>1</v>
      </c>
      <c r="S25" s="5" t="n">
        <v>0</v>
      </c>
      <c r="T25" s="5" t="n">
        <v>0</v>
      </c>
      <c r="U25" s="5" t="inlineStr">
        <is>
          <t>training</t>
        </is>
      </c>
      <c r="V25" s="5" t="n">
        <v>1</v>
      </c>
    </row>
    <row r="26">
      <c r="A26" s="5" t="n">
        <v>22</v>
      </c>
      <c r="B26" s="5" t="n">
        <v>0</v>
      </c>
      <c r="C26" s="6" t="n">
        <v>-1.241254722473026</v>
      </c>
      <c r="D26" s="6" t="n">
        <v>-0.2112287486707113</v>
      </c>
      <c r="E26" s="6" t="n">
        <v>0.7357917551051447</v>
      </c>
      <c r="F26" s="6" t="n">
        <v>-0.8850484360866833</v>
      </c>
      <c r="G26" s="5" t="n">
        <v>1</v>
      </c>
      <c r="H26" s="5" t="n">
        <v>0</v>
      </c>
      <c r="I26" s="5" t="n">
        <v>0</v>
      </c>
      <c r="J26" s="5" t="n">
        <v>0</v>
      </c>
      <c r="K26" s="5" t="n">
        <v>0</v>
      </c>
      <c r="L26" s="5" t="n">
        <v>0</v>
      </c>
      <c r="M26" s="5" t="n">
        <v>1</v>
      </c>
      <c r="N26" s="5" t="n">
        <v>0</v>
      </c>
      <c r="O26" s="5" t="n">
        <v>0</v>
      </c>
      <c r="P26" s="5" t="n">
        <v>1</v>
      </c>
      <c r="Q26" s="5" t="n">
        <v>0</v>
      </c>
      <c r="R26" s="5" t="n">
        <v>0</v>
      </c>
      <c r="S26" s="5" t="n">
        <v>1</v>
      </c>
      <c r="T26" s="5" t="n">
        <v>0</v>
      </c>
      <c r="U26" s="5" t="inlineStr">
        <is>
          <t>testing</t>
        </is>
      </c>
      <c r="V26" s="5" t="n">
        <v>0</v>
      </c>
    </row>
    <row r="27">
      <c r="A27" s="5" t="n">
        <v>23</v>
      </c>
      <c r="B27" s="5" t="n">
        <v>0</v>
      </c>
      <c r="C27" s="6" t="n">
        <v>-0.9042189173019176</v>
      </c>
      <c r="D27" s="6" t="n">
        <v>-0.353285201832347</v>
      </c>
      <c r="E27" s="6" t="n">
        <v>1.083683837897175</v>
      </c>
      <c r="F27" s="6" t="n">
        <v>-1.786844513613144</v>
      </c>
      <c r="G27" s="5" t="n">
        <v>1</v>
      </c>
      <c r="H27" s="5" t="n">
        <v>0</v>
      </c>
      <c r="I27" s="5" t="n">
        <v>0</v>
      </c>
      <c r="J27" s="5" t="n">
        <v>1</v>
      </c>
      <c r="K27" s="5" t="n">
        <v>0</v>
      </c>
      <c r="L27" s="5" t="n">
        <v>0</v>
      </c>
      <c r="M27" s="5" t="n">
        <v>0</v>
      </c>
      <c r="N27" s="5" t="n">
        <v>0</v>
      </c>
      <c r="O27" s="5" t="n">
        <v>0</v>
      </c>
      <c r="P27" s="5" t="n">
        <v>1</v>
      </c>
      <c r="Q27" s="5" t="n">
        <v>0</v>
      </c>
      <c r="R27" s="5" t="n">
        <v>1</v>
      </c>
      <c r="S27" s="5" t="n">
        <v>0</v>
      </c>
      <c r="T27" s="5" t="n">
        <v>0</v>
      </c>
      <c r="U27" s="5" t="inlineStr">
        <is>
          <t>training</t>
        </is>
      </c>
      <c r="V27" s="5" t="n">
        <v>0</v>
      </c>
    </row>
    <row r="28">
      <c r="A28" s="5" t="n">
        <v>24</v>
      </c>
      <c r="B28" s="5" t="n">
        <v>0</v>
      </c>
      <c r="C28" s="6" t="n">
        <v>-0.7357010147163632</v>
      </c>
      <c r="D28" s="6" t="n">
        <v>-0.506188329989083</v>
      </c>
      <c r="E28" s="6" t="n">
        <v>0.7357917551051447</v>
      </c>
      <c r="F28" s="6" t="n">
        <v>0.01674764143977723</v>
      </c>
      <c r="G28" s="5" t="n">
        <v>0</v>
      </c>
      <c r="H28" s="5" t="n">
        <v>1</v>
      </c>
      <c r="I28" s="5" t="n">
        <v>0</v>
      </c>
      <c r="J28" s="5" t="n">
        <v>1</v>
      </c>
      <c r="K28" s="5" t="n">
        <v>0</v>
      </c>
      <c r="L28" s="5" t="n">
        <v>0</v>
      </c>
      <c r="M28" s="5" t="n">
        <v>1</v>
      </c>
      <c r="N28" s="5" t="n">
        <v>0</v>
      </c>
      <c r="O28" s="5" t="n">
        <v>0</v>
      </c>
      <c r="P28" s="5" t="n">
        <v>0</v>
      </c>
      <c r="Q28" s="5" t="n">
        <v>0</v>
      </c>
      <c r="R28" s="5" t="n">
        <v>1</v>
      </c>
      <c r="S28" s="5" t="n">
        <v>0</v>
      </c>
      <c r="T28" s="5" t="n">
        <v>0</v>
      </c>
      <c r="U28" s="5" t="inlineStr">
        <is>
          <t>training</t>
        </is>
      </c>
      <c r="V28" s="5" t="n">
        <v>1</v>
      </c>
    </row>
    <row r="29">
      <c r="A29" s="5" t="n">
        <v>25</v>
      </c>
      <c r="B29" s="5" t="n">
        <v>0</v>
      </c>
      <c r="C29" s="6" t="n">
        <v>-0.9042189173019176</v>
      </c>
      <c r="D29" s="6" t="n">
        <v>-0.4134667534180646</v>
      </c>
      <c r="E29" s="6" t="n">
        <v>-0.8297226174589928</v>
      </c>
      <c r="F29" s="6" t="n">
        <v>-0.8850484360866833</v>
      </c>
      <c r="G29" s="5" t="n">
        <v>0</v>
      </c>
      <c r="H29" s="5" t="n">
        <v>0</v>
      </c>
      <c r="I29" s="5" t="n">
        <v>0</v>
      </c>
      <c r="J29" s="5" t="n">
        <v>1</v>
      </c>
      <c r="K29" s="5" t="n">
        <v>0</v>
      </c>
      <c r="L29" s="5" t="n">
        <v>0</v>
      </c>
      <c r="M29" s="5" t="n">
        <v>0</v>
      </c>
      <c r="N29" s="5" t="n">
        <v>0</v>
      </c>
      <c r="O29" s="5" t="n">
        <v>1</v>
      </c>
      <c r="P29" s="5" t="n">
        <v>0</v>
      </c>
      <c r="Q29" s="5" t="n">
        <v>0</v>
      </c>
      <c r="R29" s="5" t="n">
        <v>0</v>
      </c>
      <c r="S29" s="5" t="n">
        <v>0</v>
      </c>
      <c r="T29" s="5" t="n">
        <v>1</v>
      </c>
      <c r="U29" s="5" t="inlineStr">
        <is>
          <t>training</t>
        </is>
      </c>
      <c r="V29" s="5" t="n">
        <v>0</v>
      </c>
    </row>
    <row r="30">
      <c r="A30" s="5" t="n">
        <v>26</v>
      </c>
      <c r="B30" s="5" t="n">
        <v>0</v>
      </c>
      <c r="C30" s="6" t="n">
        <v>-1.241254722473026</v>
      </c>
      <c r="D30" s="6" t="n">
        <v>-0.6566422089533771</v>
      </c>
      <c r="E30" s="6" t="n">
        <v>0.04000758952108359</v>
      </c>
      <c r="F30" s="6" t="n">
        <v>-1.786844513613144</v>
      </c>
      <c r="G30" s="5" t="n">
        <v>1</v>
      </c>
      <c r="H30" s="5" t="n">
        <v>0</v>
      </c>
      <c r="I30" s="5" t="n">
        <v>0</v>
      </c>
      <c r="J30" s="5" t="n">
        <v>0</v>
      </c>
      <c r="K30" s="5" t="n">
        <v>0</v>
      </c>
      <c r="L30" s="5" t="n">
        <v>0</v>
      </c>
      <c r="M30" s="5" t="n">
        <v>0</v>
      </c>
      <c r="N30" s="5" t="n">
        <v>0</v>
      </c>
      <c r="O30" s="5" t="n">
        <v>0</v>
      </c>
      <c r="P30" s="5" t="n">
        <v>0</v>
      </c>
      <c r="Q30" s="5" t="n">
        <v>0</v>
      </c>
      <c r="R30" s="5" t="n">
        <v>0</v>
      </c>
      <c r="S30" s="5" t="n">
        <v>0</v>
      </c>
      <c r="T30" s="5" t="n">
        <v>1</v>
      </c>
      <c r="U30" s="5" t="inlineStr">
        <is>
          <t>training</t>
        </is>
      </c>
      <c r="V30" s="5" t="n">
        <v>1</v>
      </c>
    </row>
    <row r="31">
      <c r="A31" s="5" t="n">
        <v>27</v>
      </c>
      <c r="B31" s="5" t="n">
        <v>0</v>
      </c>
      <c r="C31" s="6" t="n">
        <v>-1.241254722473026</v>
      </c>
      <c r="D31" s="6" t="n">
        <v>-0.9883405281583787</v>
      </c>
      <c r="E31" s="6" t="n">
        <v>0.3009266516151065</v>
      </c>
      <c r="F31" s="6" t="n">
        <v>0.9185437189662378</v>
      </c>
      <c r="G31" s="5" t="n">
        <v>0</v>
      </c>
      <c r="H31" s="5" t="n">
        <v>0</v>
      </c>
      <c r="I31" s="5" t="n">
        <v>0</v>
      </c>
      <c r="J31" s="5" t="n">
        <v>0</v>
      </c>
      <c r="K31" s="5" t="n">
        <v>0</v>
      </c>
      <c r="L31" s="5" t="n">
        <v>1</v>
      </c>
      <c r="M31" s="5" t="n">
        <v>0</v>
      </c>
      <c r="N31" s="5" t="n">
        <v>0</v>
      </c>
      <c r="O31" s="5" t="n">
        <v>0</v>
      </c>
      <c r="P31" s="5" t="n">
        <v>0</v>
      </c>
      <c r="Q31" s="5" t="n">
        <v>0</v>
      </c>
      <c r="R31" s="5" t="n">
        <v>0</v>
      </c>
      <c r="S31" s="5" t="n">
        <v>1</v>
      </c>
      <c r="T31" s="5" t="n">
        <v>0</v>
      </c>
      <c r="U31" s="5" t="inlineStr">
        <is>
          <t>training</t>
        </is>
      </c>
      <c r="V31" s="5" t="n">
        <v>0</v>
      </c>
    </row>
    <row r="32">
      <c r="A32" s="5" t="n">
        <v>28</v>
      </c>
      <c r="B32" s="5" t="n">
        <v>0</v>
      </c>
      <c r="C32" s="6" t="n">
        <v>-0.7357010147163632</v>
      </c>
      <c r="D32" s="6" t="n">
        <v>-0.994288704768595</v>
      </c>
      <c r="E32" s="6" t="n">
        <v>0.5618457137091294</v>
      </c>
      <c r="F32" s="6" t="n">
        <v>0.01674764143977723</v>
      </c>
      <c r="G32" s="5" t="n">
        <v>0</v>
      </c>
      <c r="H32" s="5" t="n">
        <v>0</v>
      </c>
      <c r="I32" s="5" t="n">
        <v>1</v>
      </c>
      <c r="J32" s="5" t="n">
        <v>0</v>
      </c>
      <c r="K32" s="5" t="n">
        <v>0</v>
      </c>
      <c r="L32" s="5" t="n">
        <v>1</v>
      </c>
      <c r="M32" s="5" t="n">
        <v>0</v>
      </c>
      <c r="N32" s="5" t="n">
        <v>1</v>
      </c>
      <c r="O32" s="5" t="n">
        <v>0</v>
      </c>
      <c r="P32" s="5" t="n">
        <v>1</v>
      </c>
      <c r="Q32" s="5" t="n">
        <v>0</v>
      </c>
      <c r="R32" s="5" t="n">
        <v>0</v>
      </c>
      <c r="S32" s="5" t="n">
        <v>1</v>
      </c>
      <c r="T32" s="5" t="n">
        <v>0</v>
      </c>
      <c r="U32" s="5" t="inlineStr">
        <is>
          <t>training</t>
        </is>
      </c>
      <c r="V32" s="5" t="n">
        <v>0</v>
      </c>
    </row>
    <row r="33">
      <c r="A33" s="5" t="n">
        <v>29</v>
      </c>
      <c r="B33" s="5" t="n">
        <v>0</v>
      </c>
      <c r="C33" s="6" t="n">
        <v>-1.156995771180249</v>
      </c>
      <c r="D33" s="6" t="n">
        <v>-0.2924038647630746</v>
      </c>
      <c r="E33" s="6" t="n">
        <v>-0.1339384518749317</v>
      </c>
      <c r="F33" s="6" t="n">
        <v>0.01674764143977723</v>
      </c>
      <c r="G33" s="5" t="n">
        <v>0</v>
      </c>
      <c r="H33" s="5" t="n">
        <v>1</v>
      </c>
      <c r="I33" s="5" t="n">
        <v>0</v>
      </c>
      <c r="J33" s="5" t="n">
        <v>0</v>
      </c>
      <c r="K33" s="5" t="n">
        <v>0</v>
      </c>
      <c r="L33" s="5" t="n">
        <v>0</v>
      </c>
      <c r="M33" s="5" t="n">
        <v>0</v>
      </c>
      <c r="N33" s="5" t="n">
        <v>0</v>
      </c>
      <c r="O33" s="5" t="n">
        <v>0</v>
      </c>
      <c r="P33" s="5" t="n">
        <v>0</v>
      </c>
      <c r="Q33" s="5" t="n">
        <v>0</v>
      </c>
      <c r="R33" s="5" t="n">
        <v>0</v>
      </c>
      <c r="S33" s="5" t="n">
        <v>1</v>
      </c>
      <c r="T33" s="5" t="n">
        <v>0</v>
      </c>
      <c r="U33" s="5" t="inlineStr">
        <is>
          <t>training</t>
        </is>
      </c>
      <c r="V33" s="5" t="n">
        <v>0</v>
      </c>
    </row>
    <row r="34">
      <c r="A34" s="5" t="n">
        <v>30</v>
      </c>
      <c r="B34" s="5" t="n">
        <v>1</v>
      </c>
      <c r="C34" s="6" t="n">
        <v>3.308728647336942</v>
      </c>
      <c r="D34" s="6" t="n">
        <v>1.254471946634934</v>
      </c>
      <c r="E34" s="6" t="n">
        <v>2.38827914836729</v>
      </c>
      <c r="F34" s="6" t="n">
        <v>0.01674764143977723</v>
      </c>
      <c r="G34" s="5" t="n">
        <v>1</v>
      </c>
      <c r="H34" s="5" t="n">
        <v>0</v>
      </c>
      <c r="I34" s="5" t="n">
        <v>0</v>
      </c>
      <c r="J34" s="5" t="n">
        <v>0</v>
      </c>
      <c r="K34" s="5" t="n">
        <v>1</v>
      </c>
      <c r="L34" s="5" t="n">
        <v>0</v>
      </c>
      <c r="M34" s="5" t="n">
        <v>0</v>
      </c>
      <c r="N34" s="5" t="n">
        <v>0</v>
      </c>
      <c r="O34" s="5" t="n">
        <v>0</v>
      </c>
      <c r="P34" s="5" t="n">
        <v>0</v>
      </c>
      <c r="Q34" s="5" t="n">
        <v>0</v>
      </c>
      <c r="R34" s="5" t="n">
        <v>0</v>
      </c>
      <c r="S34" s="5" t="n">
        <v>0</v>
      </c>
      <c r="T34" s="5" t="n">
        <v>0</v>
      </c>
      <c r="U34" s="5" t="inlineStr">
        <is>
          <t>testing</t>
        </is>
      </c>
      <c r="V34" s="5" t="n">
        <v>0</v>
      </c>
    </row>
    <row r="35">
      <c r="A35" s="5" t="n">
        <v>31</v>
      </c>
      <c r="B35" s="5" t="n">
        <v>0</v>
      </c>
      <c r="C35" s="6" t="n">
        <v>-0.2301473069597001</v>
      </c>
      <c r="D35" s="6" t="n">
        <v>-0.4680500211353434</v>
      </c>
      <c r="E35" s="6" t="n">
        <v>0.04000758952108359</v>
      </c>
      <c r="F35" s="6" t="n">
        <v>0.01674764143977723</v>
      </c>
      <c r="G35" s="5" t="n">
        <v>0</v>
      </c>
      <c r="H35" s="5" t="n">
        <v>1</v>
      </c>
      <c r="I35" s="5" t="n">
        <v>0</v>
      </c>
      <c r="J35" s="5" t="n">
        <v>0</v>
      </c>
      <c r="K35" s="5" t="n">
        <v>0</v>
      </c>
      <c r="L35" s="5" t="n">
        <v>0</v>
      </c>
      <c r="M35" s="5" t="n">
        <v>0</v>
      </c>
      <c r="N35" s="5" t="n">
        <v>1</v>
      </c>
      <c r="O35" s="5" t="n">
        <v>0</v>
      </c>
      <c r="P35" s="5" t="n">
        <v>0</v>
      </c>
      <c r="Q35" s="5" t="n">
        <v>0</v>
      </c>
      <c r="R35" s="5" t="n">
        <v>0</v>
      </c>
      <c r="S35" s="5" t="n">
        <v>0</v>
      </c>
      <c r="T35" s="5" t="n">
        <v>0</v>
      </c>
      <c r="U35" s="5" t="inlineStr">
        <is>
          <t>training</t>
        </is>
      </c>
      <c r="V35" s="5" t="n">
        <v>0</v>
      </c>
    </row>
    <row r="36">
      <c r="A36" s="5" t="n">
        <v>32</v>
      </c>
      <c r="B36" s="5" t="n">
        <v>0</v>
      </c>
      <c r="C36" s="6" t="n">
        <v>0.275406400796963</v>
      </c>
      <c r="D36" s="6" t="n">
        <v>0.2691739857896973</v>
      </c>
      <c r="E36" s="6" t="n">
        <v>-0.7427495967609852</v>
      </c>
      <c r="F36" s="6" t="n">
        <v>-0.8850484360866833</v>
      </c>
      <c r="G36" s="5" t="n">
        <v>1</v>
      </c>
      <c r="H36" s="5" t="n">
        <v>0</v>
      </c>
      <c r="I36" s="5" t="n">
        <v>0</v>
      </c>
      <c r="J36" s="5" t="n">
        <v>0</v>
      </c>
      <c r="K36" s="5" t="n">
        <v>0</v>
      </c>
      <c r="L36" s="5" t="n">
        <v>0</v>
      </c>
      <c r="M36" s="5" t="n">
        <v>0</v>
      </c>
      <c r="N36" s="5" t="n">
        <v>0</v>
      </c>
      <c r="O36" s="5" t="n">
        <v>0</v>
      </c>
      <c r="P36" s="5" t="n">
        <v>0</v>
      </c>
      <c r="Q36" s="5" t="n">
        <v>0</v>
      </c>
      <c r="R36" s="5" t="n">
        <v>0</v>
      </c>
      <c r="S36" s="5" t="n">
        <v>0</v>
      </c>
      <c r="T36" s="5" t="n">
        <v>1</v>
      </c>
      <c r="U36" s="5" t="inlineStr">
        <is>
          <t>testing</t>
        </is>
      </c>
      <c r="V36" s="5" t="n">
        <v>0</v>
      </c>
    </row>
    <row r="37">
      <c r="A37" s="5" t="n">
        <v>33</v>
      </c>
      <c r="B37" s="5" t="n">
        <v>0</v>
      </c>
      <c r="C37" s="6" t="n">
        <v>-0.2301473069597001</v>
      </c>
      <c r="D37" s="6" t="n">
        <v>0.9150759871108293</v>
      </c>
      <c r="E37" s="6" t="n">
        <v>-0.4818305346669622</v>
      </c>
      <c r="F37" s="6" t="n">
        <v>-0.8850484360866833</v>
      </c>
      <c r="G37" s="5" t="n">
        <v>0</v>
      </c>
      <c r="H37" s="5" t="n">
        <v>1</v>
      </c>
      <c r="I37" s="5" t="n">
        <v>0</v>
      </c>
      <c r="J37" s="5" t="n">
        <v>0</v>
      </c>
      <c r="K37" s="5" t="n">
        <v>0</v>
      </c>
      <c r="L37" s="5" t="n">
        <v>0</v>
      </c>
      <c r="M37" s="5" t="n">
        <v>1</v>
      </c>
      <c r="N37" s="5" t="n">
        <v>0</v>
      </c>
      <c r="O37" s="5" t="n">
        <v>0</v>
      </c>
      <c r="P37" s="5" t="n">
        <v>0</v>
      </c>
      <c r="Q37" s="5" t="n">
        <v>0</v>
      </c>
      <c r="R37" s="5" t="n">
        <v>1</v>
      </c>
      <c r="S37" s="5" t="n">
        <v>0</v>
      </c>
      <c r="T37" s="5" t="n">
        <v>0</v>
      </c>
      <c r="U37" s="5" t="inlineStr">
        <is>
          <t>training</t>
        </is>
      </c>
      <c r="V37" s="5" t="n">
        <v>1</v>
      </c>
    </row>
    <row r="38">
      <c r="A38" s="5" t="n">
        <v>34</v>
      </c>
      <c r="B38" s="5" t="n">
        <v>0</v>
      </c>
      <c r="C38" s="6" t="n">
        <v>-0.7357010147163632</v>
      </c>
      <c r="D38" s="6" t="n">
        <v>-0.6951304105488941</v>
      </c>
      <c r="E38" s="6" t="n">
        <v>1.866441024179244</v>
      </c>
      <c r="F38" s="6" t="n">
        <v>0.9185437189662378</v>
      </c>
      <c r="G38" s="5" t="n">
        <v>0</v>
      </c>
      <c r="H38" s="5" t="n">
        <v>0</v>
      </c>
      <c r="I38" s="5" t="n">
        <v>0</v>
      </c>
      <c r="J38" s="5" t="n">
        <v>1</v>
      </c>
      <c r="K38" s="5" t="n">
        <v>0</v>
      </c>
      <c r="L38" s="5" t="n">
        <v>0</v>
      </c>
      <c r="M38" s="5" t="n">
        <v>0</v>
      </c>
      <c r="N38" s="5" t="n">
        <v>0</v>
      </c>
      <c r="O38" s="5" t="n">
        <v>1</v>
      </c>
      <c r="P38" s="5" t="n">
        <v>1</v>
      </c>
      <c r="Q38" s="5" t="n">
        <v>0</v>
      </c>
      <c r="R38" s="5" t="n">
        <v>0</v>
      </c>
      <c r="S38" s="5" t="n">
        <v>0</v>
      </c>
      <c r="T38" s="5" t="n">
        <v>0</v>
      </c>
      <c r="U38" s="5" t="inlineStr">
        <is>
          <t>training</t>
        </is>
      </c>
      <c r="V38" s="5" t="n">
        <v>0</v>
      </c>
    </row>
    <row r="39">
      <c r="A39" s="5" t="n">
        <v>35</v>
      </c>
      <c r="B39" s="5" t="n">
        <v>0</v>
      </c>
      <c r="C39" s="6" t="n">
        <v>-0.7357010147163632</v>
      </c>
      <c r="D39" s="6" t="n">
        <v>-0.6216529347756342</v>
      </c>
      <c r="E39" s="6" t="n">
        <v>-0.2209114725729393</v>
      </c>
      <c r="F39" s="6" t="n">
        <v>0.9185437189662378</v>
      </c>
      <c r="G39" s="5" t="n">
        <v>0</v>
      </c>
      <c r="H39" s="5" t="n">
        <v>0</v>
      </c>
      <c r="I39" s="5" t="n">
        <v>1</v>
      </c>
      <c r="J39" s="5" t="n">
        <v>0</v>
      </c>
      <c r="K39" s="5" t="n">
        <v>0</v>
      </c>
      <c r="L39" s="5" t="n">
        <v>0</v>
      </c>
      <c r="M39" s="5" t="n">
        <v>0</v>
      </c>
      <c r="N39" s="5" t="n">
        <v>0</v>
      </c>
      <c r="O39" s="5" t="n">
        <v>0</v>
      </c>
      <c r="P39" s="5" t="n">
        <v>0</v>
      </c>
      <c r="Q39" s="5" t="n">
        <v>0</v>
      </c>
      <c r="R39" s="5" t="n">
        <v>0</v>
      </c>
      <c r="S39" s="5" t="n">
        <v>0</v>
      </c>
      <c r="T39" s="5" t="n">
        <v>1</v>
      </c>
      <c r="U39" s="5" t="inlineStr">
        <is>
          <t>testing</t>
        </is>
      </c>
      <c r="V39" s="5" t="n">
        <v>0</v>
      </c>
    </row>
    <row r="40">
      <c r="A40" s="5" t="n">
        <v>36</v>
      </c>
      <c r="B40" s="5" t="n">
        <v>1</v>
      </c>
      <c r="C40" s="6" t="n">
        <v>2.044844377945284</v>
      </c>
      <c r="D40" s="6" t="n">
        <v>0.52319611632011</v>
      </c>
      <c r="E40" s="6" t="n">
        <v>-0.9166956381570004</v>
      </c>
      <c r="F40" s="6" t="n">
        <v>0.9185437189662378</v>
      </c>
      <c r="G40" s="5" t="n">
        <v>0</v>
      </c>
      <c r="H40" s="5" t="n">
        <v>1</v>
      </c>
      <c r="I40" s="5" t="n">
        <v>0</v>
      </c>
      <c r="J40" s="5" t="n">
        <v>1</v>
      </c>
      <c r="K40" s="5" t="n">
        <v>0</v>
      </c>
      <c r="L40" s="5" t="n">
        <v>0</v>
      </c>
      <c r="M40" s="5" t="n">
        <v>0</v>
      </c>
      <c r="N40" s="5" t="n">
        <v>0</v>
      </c>
      <c r="O40" s="5" t="n">
        <v>0</v>
      </c>
      <c r="P40" s="5" t="n">
        <v>0</v>
      </c>
      <c r="Q40" s="5" t="n">
        <v>0</v>
      </c>
      <c r="R40" s="5" t="n">
        <v>0</v>
      </c>
      <c r="S40" s="5" t="n">
        <v>1</v>
      </c>
      <c r="T40" s="5" t="n">
        <v>0</v>
      </c>
      <c r="U40" s="5" t="inlineStr">
        <is>
          <t>training</t>
        </is>
      </c>
      <c r="V40" s="5" t="n">
        <v>1</v>
      </c>
    </row>
    <row r="41">
      <c r="A41" s="5" t="n">
        <v>37</v>
      </c>
      <c r="B41" s="5" t="n">
        <v>0</v>
      </c>
      <c r="C41" s="6" t="n">
        <v>2.297621231823615</v>
      </c>
      <c r="D41" s="6" t="n">
        <v>1.000449816104522</v>
      </c>
      <c r="E41" s="6" t="n">
        <v>-0.3948575139689546</v>
      </c>
      <c r="F41" s="6" t="n">
        <v>-1.786844513613144</v>
      </c>
      <c r="G41" s="5" t="n">
        <v>0</v>
      </c>
      <c r="H41" s="5" t="n">
        <v>0</v>
      </c>
      <c r="I41" s="5" t="n">
        <v>0</v>
      </c>
      <c r="J41" s="5" t="n">
        <v>1</v>
      </c>
      <c r="K41" s="5" t="n">
        <v>0</v>
      </c>
      <c r="L41" s="5" t="n">
        <v>0</v>
      </c>
      <c r="M41" s="5" t="n">
        <v>0</v>
      </c>
      <c r="N41" s="5" t="n">
        <v>0</v>
      </c>
      <c r="O41" s="5" t="n">
        <v>0</v>
      </c>
      <c r="P41" s="5" t="n">
        <v>0</v>
      </c>
      <c r="Q41" s="5" t="n">
        <v>1</v>
      </c>
      <c r="R41" s="5" t="n">
        <v>0</v>
      </c>
      <c r="S41" s="5" t="n">
        <v>0</v>
      </c>
      <c r="T41" s="5" t="n">
        <v>0</v>
      </c>
      <c r="U41" s="5" t="inlineStr">
        <is>
          <t>testing</t>
        </is>
      </c>
      <c r="V41" s="5" t="n">
        <v>0</v>
      </c>
    </row>
    <row r="42">
      <c r="A42" s="5" t="n">
        <v>38</v>
      </c>
      <c r="B42" s="5" t="n">
        <v>1</v>
      </c>
      <c r="C42" s="6" t="n">
        <v>-0.2301473069597001</v>
      </c>
      <c r="D42" s="6" t="n">
        <v>-0.4026200784229644</v>
      </c>
      <c r="E42" s="6" t="n">
        <v>0.1269806102190912</v>
      </c>
      <c r="F42" s="6" t="n">
        <v>0.9185437189662378</v>
      </c>
      <c r="G42" s="5" t="n">
        <v>0</v>
      </c>
      <c r="H42" s="5" t="n">
        <v>0</v>
      </c>
      <c r="I42" s="5" t="n">
        <v>1</v>
      </c>
      <c r="J42" s="5" t="n">
        <v>0</v>
      </c>
      <c r="K42" s="5" t="n">
        <v>0</v>
      </c>
      <c r="L42" s="5" t="n">
        <v>0</v>
      </c>
      <c r="M42" s="5" t="n">
        <v>0</v>
      </c>
      <c r="N42" s="5" t="n">
        <v>0</v>
      </c>
      <c r="O42" s="5" t="n">
        <v>0</v>
      </c>
      <c r="P42" s="5" t="n">
        <v>0</v>
      </c>
      <c r="Q42" s="5" t="n">
        <v>0</v>
      </c>
      <c r="R42" s="5" t="n">
        <v>0</v>
      </c>
      <c r="S42" s="5" t="n">
        <v>1</v>
      </c>
      <c r="T42" s="5" t="n">
        <v>0</v>
      </c>
      <c r="U42" s="5" t="inlineStr">
        <is>
          <t>training</t>
        </is>
      </c>
      <c r="V42" s="5" t="n">
        <v>1</v>
      </c>
    </row>
    <row r="43">
      <c r="A43" s="5" t="n">
        <v>39</v>
      </c>
      <c r="B43" s="5" t="n">
        <v>0</v>
      </c>
      <c r="C43" s="6" t="n">
        <v>-0.9042189173019176</v>
      </c>
      <c r="D43" s="6" t="n">
        <v>-0.7087762274782138</v>
      </c>
      <c r="E43" s="6" t="n">
        <v>0.1269806102190912</v>
      </c>
      <c r="F43" s="6" t="n">
        <v>-0.8850484360866833</v>
      </c>
      <c r="G43" s="5" t="n">
        <v>0</v>
      </c>
      <c r="H43" s="5" t="n">
        <v>0</v>
      </c>
      <c r="I43" s="5" t="n">
        <v>1</v>
      </c>
      <c r="J43" s="5" t="n">
        <v>0</v>
      </c>
      <c r="K43" s="5" t="n">
        <v>0</v>
      </c>
      <c r="L43" s="5" t="n">
        <v>0</v>
      </c>
      <c r="M43" s="5" t="n">
        <v>0</v>
      </c>
      <c r="N43" s="5" t="n">
        <v>0</v>
      </c>
      <c r="O43" s="5" t="n">
        <v>0</v>
      </c>
      <c r="P43" s="5" t="n">
        <v>0</v>
      </c>
      <c r="Q43" s="5" t="n">
        <v>0</v>
      </c>
      <c r="R43" s="5" t="n">
        <v>0</v>
      </c>
      <c r="S43" s="5" t="n">
        <v>0</v>
      </c>
      <c r="T43" s="5" t="n">
        <v>0</v>
      </c>
      <c r="U43" s="5" t="inlineStr">
        <is>
          <t>training</t>
        </is>
      </c>
      <c r="V43" s="5" t="n">
        <v>1</v>
      </c>
    </row>
    <row r="44">
      <c r="A44" s="5" t="n">
        <v>40</v>
      </c>
      <c r="B44" s="5" t="n">
        <v>0</v>
      </c>
      <c r="C44" s="6" t="n">
        <v>-0.9884778685946948</v>
      </c>
      <c r="D44" s="6" t="n">
        <v>-0.9771439604215011</v>
      </c>
      <c r="E44" s="6" t="n">
        <v>-1.003668658855008</v>
      </c>
      <c r="F44" s="6" t="n">
        <v>0.9185437189662378</v>
      </c>
      <c r="G44" s="5" t="n">
        <v>0</v>
      </c>
      <c r="H44" s="5" t="n">
        <v>1</v>
      </c>
      <c r="I44" s="5" t="n">
        <v>0</v>
      </c>
      <c r="J44" s="5" t="n">
        <v>0</v>
      </c>
      <c r="K44" s="5" t="n">
        <v>0</v>
      </c>
      <c r="L44" s="5" t="n">
        <v>0</v>
      </c>
      <c r="M44" s="5" t="n">
        <v>0</v>
      </c>
      <c r="N44" s="5" t="n">
        <v>0</v>
      </c>
      <c r="O44" s="5" t="n">
        <v>0</v>
      </c>
      <c r="P44" s="5" t="n">
        <v>0</v>
      </c>
      <c r="Q44" s="5" t="n">
        <v>0</v>
      </c>
      <c r="R44" s="5" t="n">
        <v>0</v>
      </c>
      <c r="S44" s="5" t="n">
        <v>1</v>
      </c>
      <c r="T44" s="5" t="n">
        <v>0</v>
      </c>
      <c r="U44" s="5" t="inlineStr">
        <is>
          <t>training</t>
        </is>
      </c>
      <c r="V44" s="5" t="n">
        <v>1</v>
      </c>
    </row>
    <row r="45">
      <c r="A45" s="5" t="n">
        <v>41</v>
      </c>
      <c r="B45" s="5" t="n">
        <v>0</v>
      </c>
      <c r="C45" s="6" t="n">
        <v>0.7809601085536261</v>
      </c>
      <c r="D45" s="6" t="n">
        <v>-0.3210950695888237</v>
      </c>
      <c r="E45" s="6" t="n">
        <v>-0.4818305346669622</v>
      </c>
      <c r="F45" s="6" t="n">
        <v>0.9185437189662378</v>
      </c>
      <c r="G45" s="5" t="n">
        <v>0</v>
      </c>
      <c r="H45" s="5" t="n">
        <v>0</v>
      </c>
      <c r="I45" s="5" t="n">
        <v>0</v>
      </c>
      <c r="J45" s="5" t="n">
        <v>0</v>
      </c>
      <c r="K45" s="5" t="n">
        <v>0</v>
      </c>
      <c r="L45" s="5" t="n">
        <v>0</v>
      </c>
      <c r="M45" s="5" t="n">
        <v>1</v>
      </c>
      <c r="N45" s="5" t="n">
        <v>0</v>
      </c>
      <c r="O45" s="5" t="n">
        <v>0</v>
      </c>
      <c r="P45" s="5" t="n">
        <v>0</v>
      </c>
      <c r="Q45" s="5" t="n">
        <v>0</v>
      </c>
      <c r="R45" s="5" t="n">
        <v>0</v>
      </c>
      <c r="S45" s="5" t="n">
        <v>1</v>
      </c>
      <c r="T45" s="5" t="n">
        <v>0</v>
      </c>
      <c r="U45" s="5" t="inlineStr">
        <is>
          <t>testing</t>
        </is>
      </c>
      <c r="V45" s="5" t="n">
        <v>0</v>
      </c>
    </row>
    <row r="46">
      <c r="A46" s="5" t="n">
        <v>42</v>
      </c>
      <c r="B46" s="5" t="n">
        <v>0</v>
      </c>
      <c r="C46" s="6" t="n">
        <v>-0.7357010147163632</v>
      </c>
      <c r="D46" s="6" t="n">
        <v>-0.7322190411773015</v>
      </c>
      <c r="E46" s="6" t="n">
        <v>-0.8297226174589928</v>
      </c>
      <c r="F46" s="6" t="n">
        <v>0.01674764143977723</v>
      </c>
      <c r="G46" s="5" t="n">
        <v>0</v>
      </c>
      <c r="H46" s="5" t="n">
        <v>1</v>
      </c>
      <c r="I46" s="5" t="n">
        <v>0</v>
      </c>
      <c r="J46" s="5" t="n">
        <v>0</v>
      </c>
      <c r="K46" s="5" t="n">
        <v>0</v>
      </c>
      <c r="L46" s="5" t="n">
        <v>0</v>
      </c>
      <c r="M46" s="5" t="n">
        <v>1</v>
      </c>
      <c r="N46" s="5" t="n">
        <v>0</v>
      </c>
      <c r="O46" s="5" t="n">
        <v>0</v>
      </c>
      <c r="P46" s="5" t="n">
        <v>0</v>
      </c>
      <c r="Q46" s="5" t="n">
        <v>0</v>
      </c>
      <c r="R46" s="5" t="n">
        <v>0</v>
      </c>
      <c r="S46" s="5" t="n">
        <v>1</v>
      </c>
      <c r="T46" s="5" t="n">
        <v>0</v>
      </c>
      <c r="U46" s="5" t="inlineStr">
        <is>
          <t>training</t>
        </is>
      </c>
      <c r="V46" s="5" t="n">
        <v>0</v>
      </c>
    </row>
    <row r="47">
      <c r="A47" s="5" t="n">
        <v>43</v>
      </c>
      <c r="B47" s="5" t="n">
        <v>0</v>
      </c>
      <c r="C47" s="6" t="n">
        <v>-0.2301473069597001</v>
      </c>
      <c r="D47" s="6" t="n">
        <v>1.0333397338316</v>
      </c>
      <c r="E47" s="6" t="n">
        <v>0.7357917551051447</v>
      </c>
      <c r="F47" s="6" t="n">
        <v>-0.8850484360866833</v>
      </c>
      <c r="G47" s="5" t="n">
        <v>0</v>
      </c>
      <c r="H47" s="5" t="n">
        <v>1</v>
      </c>
      <c r="I47" s="5" t="n">
        <v>0</v>
      </c>
      <c r="J47" s="5" t="n">
        <v>0</v>
      </c>
      <c r="K47" s="5" t="n">
        <v>1</v>
      </c>
      <c r="L47" s="5" t="n">
        <v>0</v>
      </c>
      <c r="M47" s="5" t="n">
        <v>0</v>
      </c>
      <c r="N47" s="5" t="n">
        <v>0</v>
      </c>
      <c r="O47" s="5" t="n">
        <v>0</v>
      </c>
      <c r="P47" s="5" t="n">
        <v>0</v>
      </c>
      <c r="Q47" s="5" t="n">
        <v>0</v>
      </c>
      <c r="R47" s="5" t="n">
        <v>0</v>
      </c>
      <c r="S47" s="5" t="n">
        <v>0</v>
      </c>
      <c r="T47" s="5" t="n">
        <v>0</v>
      </c>
      <c r="U47" s="5" t="inlineStr">
        <is>
          <t>training</t>
        </is>
      </c>
      <c r="V47" s="5" t="n">
        <v>0</v>
      </c>
    </row>
    <row r="48">
      <c r="A48" s="5" t="n">
        <v>44</v>
      </c>
      <c r="B48" s="5" t="n">
        <v>0</v>
      </c>
      <c r="C48" s="6" t="n">
        <v>0.7809601085536261</v>
      </c>
      <c r="D48" s="6" t="n">
        <v>1.027391557221384</v>
      </c>
      <c r="E48" s="6" t="n">
        <v>-1.003668658855008</v>
      </c>
      <c r="F48" s="6" t="n">
        <v>-1.786844513613144</v>
      </c>
      <c r="G48" s="5" t="n">
        <v>1</v>
      </c>
      <c r="H48" s="5" t="n">
        <v>0</v>
      </c>
      <c r="I48" s="5" t="n">
        <v>0</v>
      </c>
      <c r="J48" s="5" t="n">
        <v>1</v>
      </c>
      <c r="K48" s="5" t="n">
        <v>0</v>
      </c>
      <c r="L48" s="5" t="n">
        <v>0</v>
      </c>
      <c r="M48" s="5" t="n">
        <v>1</v>
      </c>
      <c r="N48" s="5" t="n">
        <v>0</v>
      </c>
      <c r="O48" s="5" t="n">
        <v>0</v>
      </c>
      <c r="P48" s="5" t="n">
        <v>1</v>
      </c>
      <c r="Q48" s="5" t="n">
        <v>0</v>
      </c>
      <c r="R48" s="5" t="n">
        <v>1</v>
      </c>
      <c r="S48" s="5" t="n">
        <v>0</v>
      </c>
      <c r="T48" s="5" t="n">
        <v>0</v>
      </c>
      <c r="U48" s="5" t="inlineStr">
        <is>
          <t>testing</t>
        </is>
      </c>
      <c r="V48" s="5" t="n">
        <v>0</v>
      </c>
    </row>
    <row r="49">
      <c r="A49" s="5" t="n">
        <v>45</v>
      </c>
      <c r="B49" s="5" t="n">
        <v>1</v>
      </c>
      <c r="C49" s="6" t="n">
        <v>2.297621231823615</v>
      </c>
      <c r="D49" s="6" t="n">
        <v>1.011996276583177</v>
      </c>
      <c r="E49" s="6" t="n">
        <v>1.953414044877252</v>
      </c>
      <c r="F49" s="6" t="n">
        <v>0.9185437189662378</v>
      </c>
      <c r="G49" s="5" t="n">
        <v>1</v>
      </c>
      <c r="H49" s="5" t="n">
        <v>0</v>
      </c>
      <c r="I49" s="5" t="n">
        <v>0</v>
      </c>
      <c r="J49" s="5" t="n">
        <v>1</v>
      </c>
      <c r="K49" s="5" t="n">
        <v>0</v>
      </c>
      <c r="L49" s="5" t="n">
        <v>0</v>
      </c>
      <c r="M49" s="5" t="n">
        <v>0</v>
      </c>
      <c r="N49" s="5" t="n">
        <v>0</v>
      </c>
      <c r="O49" s="5" t="n">
        <v>0</v>
      </c>
      <c r="P49" s="5" t="n">
        <v>0</v>
      </c>
      <c r="Q49" s="5" t="n">
        <v>1</v>
      </c>
      <c r="R49" s="5" t="n">
        <v>1</v>
      </c>
      <c r="S49" s="5" t="n">
        <v>0</v>
      </c>
      <c r="T49" s="5" t="n">
        <v>0</v>
      </c>
      <c r="U49" s="5" t="inlineStr">
        <is>
          <t>testing</t>
        </is>
      </c>
      <c r="V49" s="5" t="n">
        <v>0</v>
      </c>
    </row>
    <row r="50">
      <c r="A50" s="5" t="n">
        <v>46</v>
      </c>
      <c r="B50" s="5" t="n">
        <v>0</v>
      </c>
      <c r="C50" s="6" t="n">
        <v>-0.8199599660091405</v>
      </c>
      <c r="D50" s="6" t="n">
        <v>-0.6499942468596059</v>
      </c>
      <c r="E50" s="6" t="n">
        <v>-0.04696543117692405</v>
      </c>
      <c r="F50" s="6" t="n">
        <v>0.9185437189662378</v>
      </c>
      <c r="G50" s="5" t="n">
        <v>0</v>
      </c>
      <c r="H50" s="5" t="n">
        <v>0</v>
      </c>
      <c r="I50" s="5" t="n">
        <v>0</v>
      </c>
      <c r="J50" s="5" t="n">
        <v>1</v>
      </c>
      <c r="K50" s="5" t="n">
        <v>0</v>
      </c>
      <c r="L50" s="5" t="n">
        <v>0</v>
      </c>
      <c r="M50" s="5" t="n">
        <v>0</v>
      </c>
      <c r="N50" s="5" t="n">
        <v>0</v>
      </c>
      <c r="O50" s="5" t="n">
        <v>0</v>
      </c>
      <c r="P50" s="5" t="n">
        <v>0</v>
      </c>
      <c r="Q50" s="5" t="n">
        <v>0</v>
      </c>
      <c r="R50" s="5" t="n">
        <v>1</v>
      </c>
      <c r="S50" s="5" t="n">
        <v>0</v>
      </c>
      <c r="T50" s="5" t="n">
        <v>0</v>
      </c>
      <c r="U50" s="5" t="inlineStr">
        <is>
          <t>testing</t>
        </is>
      </c>
      <c r="V50" s="5" t="n">
        <v>0</v>
      </c>
    </row>
    <row r="51">
      <c r="A51" s="5" t="n">
        <v>47</v>
      </c>
      <c r="B51" s="5" t="n">
        <v>0</v>
      </c>
      <c r="C51" s="6" t="n">
        <v>1.286513816310289</v>
      </c>
      <c r="D51" s="6" t="n">
        <v>-0.3329914228092562</v>
      </c>
      <c r="E51" s="6" t="n">
        <v>0.3009266516151065</v>
      </c>
      <c r="F51" s="6" t="n">
        <v>0.9185437189662378</v>
      </c>
      <c r="G51" s="5" t="n">
        <v>0</v>
      </c>
      <c r="H51" s="5" t="n">
        <v>0</v>
      </c>
      <c r="I51" s="5" t="n">
        <v>0</v>
      </c>
      <c r="J51" s="5" t="n">
        <v>0</v>
      </c>
      <c r="K51" s="5" t="n">
        <v>0</v>
      </c>
      <c r="L51" s="5" t="n">
        <v>0</v>
      </c>
      <c r="M51" s="5" t="n">
        <v>1</v>
      </c>
      <c r="N51" s="5" t="n">
        <v>0</v>
      </c>
      <c r="O51" s="5" t="n">
        <v>0</v>
      </c>
      <c r="P51" s="5" t="n">
        <v>0</v>
      </c>
      <c r="Q51" s="5" t="n">
        <v>0</v>
      </c>
      <c r="R51" s="5" t="n">
        <v>0</v>
      </c>
      <c r="S51" s="5" t="n">
        <v>1</v>
      </c>
      <c r="T51" s="5" t="n">
        <v>0</v>
      </c>
      <c r="U51" s="5" t="inlineStr">
        <is>
          <t>testing</t>
        </is>
      </c>
      <c r="V51" s="5" t="n">
        <v>0</v>
      </c>
    </row>
    <row r="52">
      <c r="A52" s="5" t="n">
        <v>48</v>
      </c>
      <c r="B52" s="5" t="n">
        <v>0</v>
      </c>
      <c r="C52" s="6" t="n">
        <v>-1.241254722473026</v>
      </c>
      <c r="D52" s="6" t="n">
        <v>-0.6643398492724805</v>
      </c>
      <c r="E52" s="6" t="n">
        <v>-1.090641679553016</v>
      </c>
      <c r="F52" s="6" t="n">
        <v>-1.786844513613144</v>
      </c>
      <c r="G52" s="5" t="n">
        <v>1</v>
      </c>
      <c r="H52" s="5" t="n">
        <v>0</v>
      </c>
      <c r="I52" s="5" t="n">
        <v>0</v>
      </c>
      <c r="J52" s="5" t="n">
        <v>0</v>
      </c>
      <c r="K52" s="5" t="n">
        <v>0</v>
      </c>
      <c r="L52" s="5" t="n">
        <v>0</v>
      </c>
      <c r="M52" s="5" t="n">
        <v>1</v>
      </c>
      <c r="N52" s="5" t="n">
        <v>0</v>
      </c>
      <c r="O52" s="5" t="n">
        <v>0</v>
      </c>
      <c r="P52" s="5" t="n">
        <v>1</v>
      </c>
      <c r="Q52" s="5" t="n">
        <v>0</v>
      </c>
      <c r="R52" s="5" t="n">
        <v>1</v>
      </c>
      <c r="S52" s="5" t="n">
        <v>0</v>
      </c>
      <c r="T52" s="5" t="n">
        <v>0</v>
      </c>
      <c r="U52" s="5" t="inlineStr">
        <is>
          <t>training</t>
        </is>
      </c>
      <c r="V52" s="5" t="n">
        <v>0</v>
      </c>
    </row>
    <row r="53">
      <c r="A53" s="5" t="n">
        <v>49</v>
      </c>
      <c r="B53" s="5" t="n">
        <v>0</v>
      </c>
      <c r="C53" s="6" t="n">
        <v>-0.8199599660091405</v>
      </c>
      <c r="D53" s="6" t="n">
        <v>1.391629901411686</v>
      </c>
      <c r="E53" s="6" t="n">
        <v>0.3009266516151065</v>
      </c>
      <c r="F53" s="6" t="n">
        <v>-1.786844513613144</v>
      </c>
      <c r="G53" s="5" t="n">
        <v>0</v>
      </c>
      <c r="H53" s="5" t="n">
        <v>0</v>
      </c>
      <c r="I53" s="5" t="n">
        <v>0</v>
      </c>
      <c r="J53" s="5" t="n">
        <v>1</v>
      </c>
      <c r="K53" s="5" t="n">
        <v>0</v>
      </c>
      <c r="L53" s="5" t="n">
        <v>0</v>
      </c>
      <c r="M53" s="5" t="n">
        <v>0</v>
      </c>
      <c r="N53" s="5" t="n">
        <v>0</v>
      </c>
      <c r="O53" s="5" t="n">
        <v>0</v>
      </c>
      <c r="P53" s="5" t="n">
        <v>0</v>
      </c>
      <c r="Q53" s="5" t="n">
        <v>0</v>
      </c>
      <c r="R53" s="5" t="n">
        <v>1</v>
      </c>
      <c r="S53" s="5" t="n">
        <v>0</v>
      </c>
      <c r="T53" s="5" t="n">
        <v>0</v>
      </c>
      <c r="U53" s="5" t="inlineStr">
        <is>
          <t>training</t>
        </is>
      </c>
      <c r="V53" s="5" t="n">
        <v>1</v>
      </c>
    </row>
    <row r="54">
      <c r="A54" s="5" t="n">
        <v>50</v>
      </c>
      <c r="B54" s="5" t="n">
        <v>0</v>
      </c>
      <c r="C54" s="6" t="n">
        <v>-0.7357010147163632</v>
      </c>
      <c r="D54" s="6" t="n">
        <v>-0.4120671824509549</v>
      </c>
      <c r="E54" s="6" t="n">
        <v>-0.6557765760629775</v>
      </c>
      <c r="F54" s="6" t="n">
        <v>0.9185437189662378</v>
      </c>
      <c r="G54" s="5" t="n">
        <v>0</v>
      </c>
      <c r="H54" s="5" t="n">
        <v>0</v>
      </c>
      <c r="I54" s="5" t="n">
        <v>0</v>
      </c>
      <c r="J54" s="5" t="n">
        <v>0</v>
      </c>
      <c r="K54" s="5" t="n">
        <v>0</v>
      </c>
      <c r="L54" s="5" t="n">
        <v>0</v>
      </c>
      <c r="M54" s="5" t="n">
        <v>1</v>
      </c>
      <c r="N54" s="5" t="n">
        <v>0</v>
      </c>
      <c r="O54" s="5" t="n">
        <v>0</v>
      </c>
      <c r="P54" s="5" t="n">
        <v>0</v>
      </c>
      <c r="Q54" s="5" t="n">
        <v>0</v>
      </c>
      <c r="R54" s="5" t="n">
        <v>0</v>
      </c>
      <c r="S54" s="5" t="n">
        <v>1</v>
      </c>
      <c r="T54" s="5" t="n">
        <v>0</v>
      </c>
      <c r="U54" s="5" t="inlineStr">
        <is>
          <t>training</t>
        </is>
      </c>
      <c r="V54" s="5" t="n">
        <v>0</v>
      </c>
    </row>
    <row r="55">
      <c r="A55" s="5" t="n">
        <v>51</v>
      </c>
      <c r="B55" s="5" t="n">
        <v>0</v>
      </c>
      <c r="C55" s="6" t="n">
        <v>0.275406400796963</v>
      </c>
      <c r="D55" s="6" t="n">
        <v>-0.3210950695888237</v>
      </c>
      <c r="E55" s="6" t="n">
        <v>-0.5688035553649698</v>
      </c>
      <c r="F55" s="6" t="n">
        <v>0.9185437189662378</v>
      </c>
      <c r="G55" s="5" t="n">
        <v>0</v>
      </c>
      <c r="H55" s="5" t="n">
        <v>1</v>
      </c>
      <c r="I55" s="5" t="n">
        <v>0</v>
      </c>
      <c r="J55" s="5" t="n">
        <v>0</v>
      </c>
      <c r="K55" s="5" t="n">
        <v>1</v>
      </c>
      <c r="L55" s="5" t="n">
        <v>0</v>
      </c>
      <c r="M55" s="5" t="n">
        <v>0</v>
      </c>
      <c r="N55" s="5" t="n">
        <v>0</v>
      </c>
      <c r="O55" s="5" t="n">
        <v>1</v>
      </c>
      <c r="P55" s="5" t="n">
        <v>0</v>
      </c>
      <c r="Q55" s="5" t="n">
        <v>0</v>
      </c>
      <c r="R55" s="5" t="n">
        <v>0</v>
      </c>
      <c r="S55" s="5" t="n">
        <v>0</v>
      </c>
      <c r="T55" s="5" t="n">
        <v>1</v>
      </c>
      <c r="U55" s="5" t="inlineStr">
        <is>
          <t>testing</t>
        </is>
      </c>
      <c r="V55" s="5" t="n">
        <v>0</v>
      </c>
    </row>
    <row r="56">
      <c r="A56" s="5" t="n">
        <v>52</v>
      </c>
      <c r="B56" s="5" t="n">
        <v>0</v>
      </c>
      <c r="C56" s="6" t="n">
        <v>0.5281832546752946</v>
      </c>
      <c r="D56" s="6" t="n">
        <v>0.9497153685467946</v>
      </c>
      <c r="E56" s="6" t="n">
        <v>-0.4818305346669622</v>
      </c>
      <c r="F56" s="6" t="n">
        <v>-1.786844513613144</v>
      </c>
      <c r="G56" s="5" t="n">
        <v>0</v>
      </c>
      <c r="H56" s="5" t="n">
        <v>1</v>
      </c>
      <c r="I56" s="5" t="n">
        <v>0</v>
      </c>
      <c r="J56" s="5" t="n">
        <v>0</v>
      </c>
      <c r="K56" s="5" t="n">
        <v>1</v>
      </c>
      <c r="L56" s="5" t="n">
        <v>0</v>
      </c>
      <c r="M56" s="5" t="n">
        <v>0</v>
      </c>
      <c r="N56" s="5" t="n">
        <v>0</v>
      </c>
      <c r="O56" s="5" t="n">
        <v>0</v>
      </c>
      <c r="P56" s="5" t="n">
        <v>0</v>
      </c>
      <c r="Q56" s="5" t="n">
        <v>0</v>
      </c>
      <c r="R56" s="5" t="n">
        <v>1</v>
      </c>
      <c r="S56" s="5" t="n">
        <v>0</v>
      </c>
      <c r="T56" s="5" t="n">
        <v>0</v>
      </c>
      <c r="U56" s="5" t="inlineStr">
        <is>
          <t>training</t>
        </is>
      </c>
      <c r="V56" s="5" t="n">
        <v>1</v>
      </c>
    </row>
    <row r="57">
      <c r="A57" s="5" t="n">
        <v>53</v>
      </c>
      <c r="B57" s="5" t="n">
        <v>0</v>
      </c>
      <c r="C57" s="6" t="n">
        <v>-0.7357010147163632</v>
      </c>
      <c r="D57" s="6" t="n">
        <v>-0.695830196032449</v>
      </c>
      <c r="E57" s="6" t="n">
        <v>-0.9166956381570004</v>
      </c>
      <c r="F57" s="6" t="n">
        <v>0.01674764143977723</v>
      </c>
      <c r="G57" s="5" t="n">
        <v>0</v>
      </c>
      <c r="H57" s="5" t="n">
        <v>0</v>
      </c>
      <c r="I57" s="5" t="n">
        <v>0</v>
      </c>
      <c r="J57" s="5" t="n">
        <v>0</v>
      </c>
      <c r="K57" s="5" t="n">
        <v>0</v>
      </c>
      <c r="L57" s="5" t="n">
        <v>0</v>
      </c>
      <c r="M57" s="5" t="n">
        <v>0</v>
      </c>
      <c r="N57" s="5" t="n">
        <v>0</v>
      </c>
      <c r="O57" s="5" t="n">
        <v>0</v>
      </c>
      <c r="P57" s="5" t="n">
        <v>0</v>
      </c>
      <c r="Q57" s="5" t="n">
        <v>0</v>
      </c>
      <c r="R57" s="5" t="n">
        <v>0</v>
      </c>
      <c r="S57" s="5" t="n">
        <v>1</v>
      </c>
      <c r="T57" s="5" t="n">
        <v>0</v>
      </c>
      <c r="U57" s="5" t="inlineStr">
        <is>
          <t>testing</t>
        </is>
      </c>
      <c r="V57" s="5" t="n">
        <v>0</v>
      </c>
    </row>
    <row r="58">
      <c r="A58" s="5" t="n">
        <v>54</v>
      </c>
      <c r="B58" s="5" t="n">
        <v>0</v>
      </c>
      <c r="C58" s="6" t="n">
        <v>-0.2301473069597001</v>
      </c>
      <c r="D58" s="6" t="n">
        <v>0.04454284556858856</v>
      </c>
      <c r="E58" s="6" t="n">
        <v>-0.3948575139689546</v>
      </c>
      <c r="F58" s="6" t="n">
        <v>-0.8850484360866833</v>
      </c>
      <c r="G58" s="5" t="n">
        <v>0</v>
      </c>
      <c r="H58" s="5" t="n">
        <v>0</v>
      </c>
      <c r="I58" s="5" t="n">
        <v>0</v>
      </c>
      <c r="J58" s="5" t="n">
        <v>0</v>
      </c>
      <c r="K58" s="5" t="n">
        <v>0</v>
      </c>
      <c r="L58" s="5" t="n">
        <v>0</v>
      </c>
      <c r="M58" s="5" t="n">
        <v>0</v>
      </c>
      <c r="N58" s="5" t="n">
        <v>0</v>
      </c>
      <c r="O58" s="5" t="n">
        <v>1</v>
      </c>
      <c r="P58" s="5" t="n">
        <v>0</v>
      </c>
      <c r="Q58" s="5" t="n">
        <v>0</v>
      </c>
      <c r="R58" s="5" t="n">
        <v>1</v>
      </c>
      <c r="S58" s="5" t="n">
        <v>0</v>
      </c>
      <c r="T58" s="5" t="n">
        <v>0</v>
      </c>
      <c r="U58" s="5" t="inlineStr">
        <is>
          <t>testing</t>
        </is>
      </c>
      <c r="V58" s="5" t="n">
        <v>0</v>
      </c>
    </row>
    <row r="59">
      <c r="A59" s="5" t="n">
        <v>55</v>
      </c>
      <c r="B59" s="5" t="n">
        <v>1</v>
      </c>
      <c r="C59" s="6" t="n">
        <v>1.286513816310289</v>
      </c>
      <c r="D59" s="6" t="n">
        <v>-0.3588834857007859</v>
      </c>
      <c r="E59" s="6" t="n">
        <v>1.866441024179244</v>
      </c>
      <c r="F59" s="6" t="n">
        <v>0.9185437189662378</v>
      </c>
      <c r="G59" s="5" t="n">
        <v>0</v>
      </c>
      <c r="H59" s="5" t="n">
        <v>1</v>
      </c>
      <c r="I59" s="5" t="n">
        <v>0</v>
      </c>
      <c r="J59" s="5" t="n">
        <v>0</v>
      </c>
      <c r="K59" s="5" t="n">
        <v>1</v>
      </c>
      <c r="L59" s="5" t="n">
        <v>0</v>
      </c>
      <c r="M59" s="5" t="n">
        <v>0</v>
      </c>
      <c r="N59" s="5" t="n">
        <v>0</v>
      </c>
      <c r="O59" s="5" t="n">
        <v>0</v>
      </c>
      <c r="P59" s="5" t="n">
        <v>0</v>
      </c>
      <c r="Q59" s="5" t="n">
        <v>1</v>
      </c>
      <c r="R59" s="5" t="n">
        <v>1</v>
      </c>
      <c r="S59" s="5" t="n">
        <v>0</v>
      </c>
      <c r="T59" s="5" t="n">
        <v>0</v>
      </c>
      <c r="U59" s="5" t="inlineStr">
        <is>
          <t>training</t>
        </is>
      </c>
      <c r="V59" s="5" t="n">
        <v>1</v>
      </c>
    </row>
    <row r="60">
      <c r="A60" s="5" t="n">
        <v>56</v>
      </c>
      <c r="B60" s="5" t="n">
        <v>0</v>
      </c>
      <c r="C60" s="6" t="n">
        <v>-1.241254722473026</v>
      </c>
      <c r="D60" s="6" t="n">
        <v>-0.863428819343837</v>
      </c>
      <c r="E60" s="6" t="n">
        <v>-0.8297226174589928</v>
      </c>
      <c r="F60" s="6" t="n">
        <v>-1.786844513613144</v>
      </c>
      <c r="G60" s="5" t="n">
        <v>0</v>
      </c>
      <c r="H60" s="5" t="n">
        <v>0</v>
      </c>
      <c r="I60" s="5" t="n">
        <v>0</v>
      </c>
      <c r="J60" s="5" t="n">
        <v>0</v>
      </c>
      <c r="K60" s="5" t="n">
        <v>0</v>
      </c>
      <c r="L60" s="5" t="n">
        <v>1</v>
      </c>
      <c r="M60" s="5" t="n">
        <v>0</v>
      </c>
      <c r="N60" s="5" t="n">
        <v>0</v>
      </c>
      <c r="O60" s="5" t="n">
        <v>1</v>
      </c>
      <c r="P60" s="5" t="n">
        <v>0</v>
      </c>
      <c r="Q60" s="5" t="n">
        <v>0</v>
      </c>
      <c r="R60" s="5" t="n">
        <v>1</v>
      </c>
      <c r="S60" s="5" t="n">
        <v>0</v>
      </c>
      <c r="T60" s="5" t="n">
        <v>0</v>
      </c>
      <c r="U60" s="5" t="inlineStr">
        <is>
          <t>testing</t>
        </is>
      </c>
      <c r="V60" s="5" t="n">
        <v>0</v>
      </c>
    </row>
    <row r="61">
      <c r="A61" s="5" t="n">
        <v>57</v>
      </c>
      <c r="B61" s="5" t="n">
        <v>1</v>
      </c>
      <c r="C61" s="6" t="n">
        <v>-0.7357010147163632</v>
      </c>
      <c r="D61" s="6" t="n">
        <v>1.125711417660841</v>
      </c>
      <c r="E61" s="6" t="n">
        <v>1.431575920689206</v>
      </c>
      <c r="F61" s="6" t="n">
        <v>-0.8850484360866833</v>
      </c>
      <c r="G61" s="5" t="n">
        <v>0</v>
      </c>
      <c r="H61" s="5" t="n">
        <v>1</v>
      </c>
      <c r="I61" s="5" t="n">
        <v>0</v>
      </c>
      <c r="J61" s="5" t="n">
        <v>0</v>
      </c>
      <c r="K61" s="5" t="n">
        <v>0</v>
      </c>
      <c r="L61" s="5" t="n">
        <v>0</v>
      </c>
      <c r="M61" s="5" t="n">
        <v>0</v>
      </c>
      <c r="N61" s="5" t="n">
        <v>0</v>
      </c>
      <c r="O61" s="5" t="n">
        <v>1</v>
      </c>
      <c r="P61" s="5" t="n">
        <v>0</v>
      </c>
      <c r="Q61" s="5" t="n">
        <v>0</v>
      </c>
      <c r="R61" s="5" t="n">
        <v>0</v>
      </c>
      <c r="S61" s="5" t="n">
        <v>1</v>
      </c>
      <c r="T61" s="5" t="n">
        <v>0</v>
      </c>
      <c r="U61" s="5" t="inlineStr">
        <is>
          <t>training</t>
        </is>
      </c>
      <c r="V61" s="5" t="n">
        <v>1</v>
      </c>
    </row>
    <row r="62">
      <c r="A62" s="5" t="n">
        <v>58</v>
      </c>
      <c r="B62" s="5" t="n">
        <v>0</v>
      </c>
      <c r="C62" s="6" t="n">
        <v>1.286513816310289</v>
      </c>
      <c r="D62" s="6" t="n">
        <v>2.209679131687313</v>
      </c>
      <c r="E62" s="6" t="n">
        <v>-0.3948575139689546</v>
      </c>
      <c r="F62" s="6" t="n">
        <v>-0.8850484360866833</v>
      </c>
      <c r="G62" s="5" t="n">
        <v>0</v>
      </c>
      <c r="H62" s="5" t="n">
        <v>0</v>
      </c>
      <c r="I62" s="5" t="n">
        <v>0</v>
      </c>
      <c r="J62" s="5" t="n">
        <v>1</v>
      </c>
      <c r="K62" s="5" t="n">
        <v>0</v>
      </c>
      <c r="L62" s="5" t="n">
        <v>0</v>
      </c>
      <c r="M62" s="5" t="n">
        <v>0</v>
      </c>
      <c r="N62" s="5" t="n">
        <v>0</v>
      </c>
      <c r="O62" s="5" t="n">
        <v>0</v>
      </c>
      <c r="P62" s="5" t="n">
        <v>0</v>
      </c>
      <c r="Q62" s="5" t="n">
        <v>0</v>
      </c>
      <c r="R62" s="5" t="n">
        <v>0</v>
      </c>
      <c r="S62" s="5" t="n">
        <v>1</v>
      </c>
      <c r="T62" s="5" t="n">
        <v>0</v>
      </c>
      <c r="U62" s="5" t="inlineStr">
        <is>
          <t>testing</t>
        </is>
      </c>
      <c r="V62" s="5" t="n">
        <v>0</v>
      </c>
    </row>
    <row r="63">
      <c r="A63" s="5" t="n">
        <v>59</v>
      </c>
      <c r="B63" s="5" t="n">
        <v>0</v>
      </c>
      <c r="C63" s="6" t="n">
        <v>-0.2301473069597001</v>
      </c>
      <c r="D63" s="6" t="n">
        <v>-0.4512551695300269</v>
      </c>
      <c r="E63" s="6" t="n">
        <v>-1.090641679553016</v>
      </c>
      <c r="F63" s="6" t="n">
        <v>0.01674764143977723</v>
      </c>
      <c r="G63" s="5" t="n">
        <v>0</v>
      </c>
      <c r="H63" s="5" t="n">
        <v>0</v>
      </c>
      <c r="I63" s="5" t="n">
        <v>1</v>
      </c>
      <c r="J63" s="5" t="n">
        <v>0</v>
      </c>
      <c r="K63" s="5" t="n">
        <v>0</v>
      </c>
      <c r="L63" s="5" t="n">
        <v>0</v>
      </c>
      <c r="M63" s="5" t="n">
        <v>0</v>
      </c>
      <c r="N63" s="5" t="n">
        <v>0</v>
      </c>
      <c r="O63" s="5" t="n">
        <v>0</v>
      </c>
      <c r="P63" s="5" t="n">
        <v>0</v>
      </c>
      <c r="Q63" s="5" t="n">
        <v>0</v>
      </c>
      <c r="R63" s="5" t="n">
        <v>1</v>
      </c>
      <c r="S63" s="5" t="n">
        <v>0</v>
      </c>
      <c r="T63" s="5" t="n">
        <v>0</v>
      </c>
      <c r="U63" s="5" t="inlineStr">
        <is>
          <t>training</t>
        </is>
      </c>
      <c r="V63" s="5" t="n">
        <v>1</v>
      </c>
    </row>
    <row r="64">
      <c r="A64" s="5" t="n">
        <v>60</v>
      </c>
      <c r="B64" s="5" t="n">
        <v>1</v>
      </c>
      <c r="C64" s="6" t="n">
        <v>1.286513816310289</v>
      </c>
      <c r="D64" s="6" t="n">
        <v>1.042087052376036</v>
      </c>
      <c r="E64" s="6" t="n">
        <v>-1.090641679553016</v>
      </c>
      <c r="F64" s="6" t="n">
        <v>0.9185437189662378</v>
      </c>
      <c r="G64" s="5" t="n">
        <v>1</v>
      </c>
      <c r="H64" s="5" t="n">
        <v>0</v>
      </c>
      <c r="I64" s="5" t="n">
        <v>0</v>
      </c>
      <c r="J64" s="5" t="n">
        <v>1</v>
      </c>
      <c r="K64" s="5" t="n">
        <v>0</v>
      </c>
      <c r="L64" s="5" t="n">
        <v>0</v>
      </c>
      <c r="M64" s="5" t="n">
        <v>0</v>
      </c>
      <c r="N64" s="5" t="n">
        <v>0</v>
      </c>
      <c r="O64" s="5" t="n">
        <v>0</v>
      </c>
      <c r="P64" s="5" t="n">
        <v>1</v>
      </c>
      <c r="Q64" s="5" t="n">
        <v>0</v>
      </c>
      <c r="R64" s="5" t="n">
        <v>0</v>
      </c>
      <c r="S64" s="5" t="n">
        <v>0</v>
      </c>
      <c r="T64" s="5" t="n">
        <v>1</v>
      </c>
      <c r="U64" s="5" t="inlineStr">
        <is>
          <t>training</t>
        </is>
      </c>
      <c r="V64" s="5" t="n">
        <v>1</v>
      </c>
    </row>
    <row r="65">
      <c r="A65" s="5" t="n">
        <v>61</v>
      </c>
      <c r="B65" s="5" t="n">
        <v>0</v>
      </c>
      <c r="C65" s="6" t="n">
        <v>-0.9884778685946948</v>
      </c>
      <c r="D65" s="6" t="n">
        <v>-0.6506940323431608</v>
      </c>
      <c r="E65" s="6" t="n">
        <v>-0.7427495967609852</v>
      </c>
      <c r="F65" s="6" t="n">
        <v>-0.8850484360866833</v>
      </c>
      <c r="G65" s="5" t="n">
        <v>0</v>
      </c>
      <c r="H65" s="5" t="n">
        <v>1</v>
      </c>
      <c r="I65" s="5" t="n">
        <v>0</v>
      </c>
      <c r="J65" s="5" t="n">
        <v>0</v>
      </c>
      <c r="K65" s="5" t="n">
        <v>0</v>
      </c>
      <c r="L65" s="5" t="n">
        <v>0</v>
      </c>
      <c r="M65" s="5" t="n">
        <v>0</v>
      </c>
      <c r="N65" s="5" t="n">
        <v>0</v>
      </c>
      <c r="O65" s="5" t="n">
        <v>0</v>
      </c>
      <c r="P65" s="5" t="n">
        <v>0</v>
      </c>
      <c r="Q65" s="5" t="n">
        <v>0</v>
      </c>
      <c r="R65" s="5" t="n">
        <v>0</v>
      </c>
      <c r="S65" s="5" t="n">
        <v>0</v>
      </c>
      <c r="T65" s="5" t="n">
        <v>0</v>
      </c>
      <c r="U65" s="5" t="inlineStr">
        <is>
          <t>testing</t>
        </is>
      </c>
      <c r="V65" s="5" t="n">
        <v>0</v>
      </c>
    </row>
    <row r="66">
      <c r="A66" s="5" t="n">
        <v>62</v>
      </c>
      <c r="B66" s="5" t="n">
        <v>0</v>
      </c>
      <c r="C66" s="6" t="n">
        <v>-0.4829241608380317</v>
      </c>
      <c r="D66" s="6" t="n">
        <v>-0.5996096920436563</v>
      </c>
      <c r="E66" s="6" t="n">
        <v>1.257629879293191</v>
      </c>
      <c r="F66" s="6" t="n">
        <v>0.9185437189662378</v>
      </c>
      <c r="G66" s="5" t="n">
        <v>0</v>
      </c>
      <c r="H66" s="5" t="n">
        <v>1</v>
      </c>
      <c r="I66" s="5" t="n">
        <v>0</v>
      </c>
      <c r="J66" s="5" t="n">
        <v>1</v>
      </c>
      <c r="K66" s="5" t="n">
        <v>0</v>
      </c>
      <c r="L66" s="5" t="n">
        <v>0</v>
      </c>
      <c r="M66" s="5" t="n">
        <v>0</v>
      </c>
      <c r="N66" s="5" t="n">
        <v>0</v>
      </c>
      <c r="O66" s="5" t="n">
        <v>1</v>
      </c>
      <c r="P66" s="5" t="n">
        <v>0</v>
      </c>
      <c r="Q66" s="5" t="n">
        <v>0</v>
      </c>
      <c r="R66" s="5" t="n">
        <v>0</v>
      </c>
      <c r="S66" s="5" t="n">
        <v>1</v>
      </c>
      <c r="T66" s="5" t="n">
        <v>0</v>
      </c>
      <c r="U66" s="5" t="inlineStr">
        <is>
          <t>training</t>
        </is>
      </c>
      <c r="V66" s="5" t="n">
        <v>0</v>
      </c>
    </row>
    <row r="67">
      <c r="A67" s="5" t="n">
        <v>63</v>
      </c>
      <c r="B67" s="5" t="n">
        <v>1</v>
      </c>
      <c r="C67" s="6" t="n">
        <v>1.286513816310289</v>
      </c>
      <c r="D67" s="6" t="n">
        <v>-0.4540543114642463</v>
      </c>
      <c r="E67" s="6" t="n">
        <v>2.214333106971274</v>
      </c>
      <c r="F67" s="6" t="n">
        <v>0.9185437189662378</v>
      </c>
      <c r="G67" s="5" t="n">
        <v>0</v>
      </c>
      <c r="H67" s="5" t="n">
        <v>1</v>
      </c>
      <c r="I67" s="5" t="n">
        <v>0</v>
      </c>
      <c r="J67" s="5" t="n">
        <v>0</v>
      </c>
      <c r="K67" s="5" t="n">
        <v>0</v>
      </c>
      <c r="L67" s="5" t="n">
        <v>1</v>
      </c>
      <c r="M67" s="5" t="n">
        <v>0</v>
      </c>
      <c r="N67" s="5" t="n">
        <v>0</v>
      </c>
      <c r="O67" s="5" t="n">
        <v>0</v>
      </c>
      <c r="P67" s="5" t="n">
        <v>0</v>
      </c>
      <c r="Q67" s="5" t="n">
        <v>1</v>
      </c>
      <c r="R67" s="5" t="n">
        <v>0</v>
      </c>
      <c r="S67" s="5" t="n">
        <v>0</v>
      </c>
      <c r="T67" s="5" t="n">
        <v>0</v>
      </c>
      <c r="U67" s="5" t="inlineStr">
        <is>
          <t>training</t>
        </is>
      </c>
      <c r="V67" s="5" t="n">
        <v>1</v>
      </c>
    </row>
    <row r="68">
      <c r="A68" s="5" t="n">
        <v>64</v>
      </c>
      <c r="B68" s="5" t="n">
        <v>1</v>
      </c>
      <c r="C68" s="6" t="n">
        <v>2.297621231823615</v>
      </c>
      <c r="D68" s="6" t="n">
        <v>3.908408393016725</v>
      </c>
      <c r="E68" s="6" t="n">
        <v>-0.9166956381570004</v>
      </c>
      <c r="F68" s="6" t="n">
        <v>-0.8850484360866833</v>
      </c>
      <c r="G68" s="5" t="n">
        <v>0</v>
      </c>
      <c r="H68" s="5" t="n">
        <v>1</v>
      </c>
      <c r="I68" s="5" t="n">
        <v>0</v>
      </c>
      <c r="J68" s="5" t="n">
        <v>0</v>
      </c>
      <c r="K68" s="5" t="n">
        <v>0</v>
      </c>
      <c r="L68" s="5" t="n">
        <v>1</v>
      </c>
      <c r="M68" s="5" t="n">
        <v>0</v>
      </c>
      <c r="N68" s="5" t="n">
        <v>0</v>
      </c>
      <c r="O68" s="5" t="n">
        <v>0</v>
      </c>
      <c r="P68" s="5" t="n">
        <v>0</v>
      </c>
      <c r="Q68" s="5" t="n">
        <v>0</v>
      </c>
      <c r="R68" s="5" t="n">
        <v>0</v>
      </c>
      <c r="S68" s="5" t="n">
        <v>0</v>
      </c>
      <c r="T68" s="5" t="n">
        <v>0</v>
      </c>
      <c r="U68" s="5" t="inlineStr">
        <is>
          <t>training</t>
        </is>
      </c>
      <c r="V68" s="5" t="n">
        <v>1</v>
      </c>
    </row>
    <row r="69">
      <c r="A69" s="5" t="n">
        <v>65</v>
      </c>
      <c r="B69" s="5" t="n">
        <v>0</v>
      </c>
      <c r="C69" s="6" t="n">
        <v>0.275406400796963</v>
      </c>
      <c r="D69" s="6" t="n">
        <v>-0.02438602456156475</v>
      </c>
      <c r="E69" s="6" t="n">
        <v>-0.8297226174589928</v>
      </c>
      <c r="F69" s="6" t="n">
        <v>0.9185437189662378</v>
      </c>
      <c r="G69" s="5" t="n">
        <v>0</v>
      </c>
      <c r="H69" s="5" t="n">
        <v>0</v>
      </c>
      <c r="I69" s="5" t="n">
        <v>0</v>
      </c>
      <c r="J69" s="5" t="n">
        <v>0</v>
      </c>
      <c r="K69" s="5" t="n">
        <v>0</v>
      </c>
      <c r="L69" s="5" t="n">
        <v>0</v>
      </c>
      <c r="M69" s="5" t="n">
        <v>0</v>
      </c>
      <c r="N69" s="5" t="n">
        <v>0</v>
      </c>
      <c r="O69" s="5" t="n">
        <v>0</v>
      </c>
      <c r="P69" s="5" t="n">
        <v>0</v>
      </c>
      <c r="Q69" s="5" t="n">
        <v>0</v>
      </c>
      <c r="R69" s="5" t="n">
        <v>0</v>
      </c>
      <c r="S69" s="5" t="n">
        <v>1</v>
      </c>
      <c r="T69" s="5" t="n">
        <v>0</v>
      </c>
      <c r="U69" s="5" t="inlineStr">
        <is>
          <t>training</t>
        </is>
      </c>
      <c r="V69" s="5" t="n">
        <v>1</v>
      </c>
    </row>
    <row r="70">
      <c r="A70" s="5" t="n">
        <v>66</v>
      </c>
      <c r="B70" s="5" t="n">
        <v>0</v>
      </c>
      <c r="C70" s="6" t="n">
        <v>0.5281832546752946</v>
      </c>
      <c r="D70" s="6" t="n">
        <v>0.678548493669288</v>
      </c>
      <c r="E70" s="6" t="n">
        <v>1.083683837897175</v>
      </c>
      <c r="F70" s="6" t="n">
        <v>0.9185437189662378</v>
      </c>
      <c r="G70" s="5" t="n">
        <v>0</v>
      </c>
      <c r="H70" s="5" t="n">
        <v>0</v>
      </c>
      <c r="I70" s="5" t="n">
        <v>0</v>
      </c>
      <c r="J70" s="5" t="n">
        <v>0</v>
      </c>
      <c r="K70" s="5" t="n">
        <v>0</v>
      </c>
      <c r="L70" s="5" t="n">
        <v>0</v>
      </c>
      <c r="M70" s="5" t="n">
        <v>0</v>
      </c>
      <c r="N70" s="5" t="n">
        <v>0</v>
      </c>
      <c r="O70" s="5" t="n">
        <v>1</v>
      </c>
      <c r="P70" s="5" t="n">
        <v>0</v>
      </c>
      <c r="Q70" s="5" t="n">
        <v>0</v>
      </c>
      <c r="R70" s="5" t="n">
        <v>0</v>
      </c>
      <c r="S70" s="5" t="n">
        <v>0</v>
      </c>
      <c r="T70" s="5" t="n">
        <v>0</v>
      </c>
      <c r="U70" s="5" t="inlineStr">
        <is>
          <t>training</t>
        </is>
      </c>
      <c r="V70" s="5" t="n">
        <v>0</v>
      </c>
    </row>
    <row r="71">
      <c r="A71" s="5" t="n">
        <v>67</v>
      </c>
      <c r="B71" s="5" t="n">
        <v>0</v>
      </c>
      <c r="C71" s="6" t="n">
        <v>-0.7357010147163632</v>
      </c>
      <c r="D71" s="6" t="n">
        <v>-0.377777693756767</v>
      </c>
      <c r="E71" s="6" t="n">
        <v>-0.5688035553649698</v>
      </c>
      <c r="F71" s="6" t="n">
        <v>-0.8850484360866833</v>
      </c>
      <c r="G71" s="5" t="n">
        <v>0</v>
      </c>
      <c r="H71" s="5" t="n">
        <v>0</v>
      </c>
      <c r="I71" s="5" t="n">
        <v>0</v>
      </c>
      <c r="J71" s="5" t="n">
        <v>0</v>
      </c>
      <c r="K71" s="5" t="n">
        <v>0</v>
      </c>
      <c r="L71" s="5" t="n">
        <v>0</v>
      </c>
      <c r="M71" s="5" t="n">
        <v>0</v>
      </c>
      <c r="N71" s="5" t="n">
        <v>0</v>
      </c>
      <c r="O71" s="5" t="n">
        <v>0</v>
      </c>
      <c r="P71" s="5" t="n">
        <v>0</v>
      </c>
      <c r="Q71" s="5" t="n">
        <v>0</v>
      </c>
      <c r="R71" s="5" t="n">
        <v>0</v>
      </c>
      <c r="S71" s="5" t="n">
        <v>1</v>
      </c>
      <c r="T71" s="5" t="n">
        <v>0</v>
      </c>
      <c r="U71" s="5" t="inlineStr">
        <is>
          <t>training</t>
        </is>
      </c>
      <c r="V71" s="5" t="n">
        <v>0</v>
      </c>
    </row>
    <row r="72">
      <c r="A72" s="5" t="n">
        <v>68</v>
      </c>
      <c r="B72" s="5" t="n">
        <v>0</v>
      </c>
      <c r="C72" s="6" t="n">
        <v>-0.7357010147163632</v>
      </c>
      <c r="D72" s="6" t="n">
        <v>-0.7850528451856931</v>
      </c>
      <c r="E72" s="6" t="n">
        <v>-1.177614700251023</v>
      </c>
      <c r="F72" s="6" t="n">
        <v>0.9185437189662378</v>
      </c>
      <c r="G72" s="5" t="n">
        <v>0</v>
      </c>
      <c r="H72" s="5" t="n">
        <v>1</v>
      </c>
      <c r="I72" s="5" t="n">
        <v>0</v>
      </c>
      <c r="J72" s="5" t="n">
        <v>0</v>
      </c>
      <c r="K72" s="5" t="n">
        <v>0</v>
      </c>
      <c r="L72" s="5" t="n">
        <v>0</v>
      </c>
      <c r="M72" s="5" t="n">
        <v>0</v>
      </c>
      <c r="N72" s="5" t="n">
        <v>1</v>
      </c>
      <c r="O72" s="5" t="n">
        <v>0</v>
      </c>
      <c r="P72" s="5" t="n">
        <v>0</v>
      </c>
      <c r="Q72" s="5" t="n">
        <v>0</v>
      </c>
      <c r="R72" s="5" t="n">
        <v>1</v>
      </c>
      <c r="S72" s="5" t="n">
        <v>0</v>
      </c>
      <c r="T72" s="5" t="n">
        <v>0</v>
      </c>
      <c r="U72" s="5" t="inlineStr">
        <is>
          <t>training</t>
        </is>
      </c>
      <c r="V72" s="5" t="n">
        <v>0</v>
      </c>
    </row>
    <row r="73">
      <c r="A73" s="5" t="n">
        <v>69</v>
      </c>
      <c r="B73" s="5" t="n">
        <v>1</v>
      </c>
      <c r="C73" s="6" t="n">
        <v>1.286513816310289</v>
      </c>
      <c r="D73" s="6" t="n">
        <v>-0.5009399388624216</v>
      </c>
      <c r="E73" s="6" t="n">
        <v>0.1269806102190912</v>
      </c>
      <c r="F73" s="6" t="n">
        <v>0.9185437189662378</v>
      </c>
      <c r="G73" s="5" t="n">
        <v>0</v>
      </c>
      <c r="H73" s="5" t="n">
        <v>0</v>
      </c>
      <c r="I73" s="5" t="n">
        <v>0</v>
      </c>
      <c r="J73" s="5" t="n">
        <v>0</v>
      </c>
      <c r="K73" s="5" t="n">
        <v>0</v>
      </c>
      <c r="L73" s="5" t="n">
        <v>0</v>
      </c>
      <c r="M73" s="5" t="n">
        <v>0</v>
      </c>
      <c r="N73" s="5" t="n">
        <v>0</v>
      </c>
      <c r="O73" s="5" t="n">
        <v>0</v>
      </c>
      <c r="P73" s="5" t="n">
        <v>0</v>
      </c>
      <c r="Q73" s="5" t="n">
        <v>1</v>
      </c>
      <c r="R73" s="5" t="n">
        <v>0</v>
      </c>
      <c r="S73" s="5" t="n">
        <v>0</v>
      </c>
      <c r="T73" s="5" t="n">
        <v>0</v>
      </c>
      <c r="U73" s="5" t="inlineStr">
        <is>
          <t>training</t>
        </is>
      </c>
      <c r="V73" s="5" t="n">
        <v>1</v>
      </c>
    </row>
    <row r="74">
      <c r="A74" s="5" t="n">
        <v>70</v>
      </c>
      <c r="B74" s="5" t="n">
        <v>0</v>
      </c>
      <c r="C74" s="6" t="n">
        <v>1.286513816310289</v>
      </c>
      <c r="D74" s="6" t="n">
        <v>-0.2997516123404005</v>
      </c>
      <c r="E74" s="6" t="n">
        <v>-0.9166956381570004</v>
      </c>
      <c r="F74" s="6" t="n">
        <v>0.9185437189662378</v>
      </c>
      <c r="G74" s="5" t="n">
        <v>0</v>
      </c>
      <c r="H74" s="5" t="n">
        <v>0</v>
      </c>
      <c r="I74" s="5" t="n">
        <v>0</v>
      </c>
      <c r="J74" s="5" t="n">
        <v>0</v>
      </c>
      <c r="K74" s="5" t="n">
        <v>0</v>
      </c>
      <c r="L74" s="5" t="n">
        <v>0</v>
      </c>
      <c r="M74" s="5" t="n">
        <v>0</v>
      </c>
      <c r="N74" s="5" t="n">
        <v>0</v>
      </c>
      <c r="O74" s="5" t="n">
        <v>1</v>
      </c>
      <c r="P74" s="5" t="n">
        <v>0</v>
      </c>
      <c r="Q74" s="5" t="n">
        <v>0</v>
      </c>
      <c r="R74" s="5" t="n">
        <v>0</v>
      </c>
      <c r="S74" s="5" t="n">
        <v>1</v>
      </c>
      <c r="T74" s="5" t="n">
        <v>0</v>
      </c>
      <c r="U74" s="5" t="inlineStr">
        <is>
          <t>testing</t>
        </is>
      </c>
      <c r="V74" s="5" t="n">
        <v>0</v>
      </c>
    </row>
    <row r="75">
      <c r="A75" s="5" t="n">
        <v>71</v>
      </c>
      <c r="B75" s="5" t="n">
        <v>0</v>
      </c>
      <c r="C75" s="6" t="n">
        <v>1.286513816310289</v>
      </c>
      <c r="D75" s="6" t="n">
        <v>1.708282832720259</v>
      </c>
      <c r="E75" s="6" t="n">
        <v>-0.4818305346669622</v>
      </c>
      <c r="F75" s="6" t="n">
        <v>-1.786844513613144</v>
      </c>
      <c r="G75" s="5" t="n">
        <v>0</v>
      </c>
      <c r="H75" s="5" t="n">
        <v>0</v>
      </c>
      <c r="I75" s="5" t="n">
        <v>0</v>
      </c>
      <c r="J75" s="5" t="n">
        <v>0</v>
      </c>
      <c r="K75" s="5" t="n">
        <v>0</v>
      </c>
      <c r="L75" s="5" t="n">
        <v>0</v>
      </c>
      <c r="M75" s="5" t="n">
        <v>0</v>
      </c>
      <c r="N75" s="5" t="n">
        <v>0</v>
      </c>
      <c r="O75" s="5" t="n">
        <v>0</v>
      </c>
      <c r="P75" s="5" t="n">
        <v>0</v>
      </c>
      <c r="Q75" s="5" t="n">
        <v>0</v>
      </c>
      <c r="R75" s="5" t="n">
        <v>1</v>
      </c>
      <c r="S75" s="5" t="n">
        <v>0</v>
      </c>
      <c r="T75" s="5" t="n">
        <v>0</v>
      </c>
      <c r="U75" s="5" t="inlineStr">
        <is>
          <t>training</t>
        </is>
      </c>
      <c r="V75" s="5" t="n">
        <v>1</v>
      </c>
    </row>
    <row r="76">
      <c r="A76" s="5" t="n">
        <v>72</v>
      </c>
      <c r="B76" s="5" t="n">
        <v>0</v>
      </c>
      <c r="C76" s="6" t="n">
        <v>-1.156995771180249</v>
      </c>
      <c r="D76" s="6" t="n">
        <v>-0.8819731346580406</v>
      </c>
      <c r="E76" s="6" t="n">
        <v>0.9097377965011599</v>
      </c>
      <c r="F76" s="6" t="n">
        <v>0.9185437189662378</v>
      </c>
      <c r="G76" s="5" t="n">
        <v>0</v>
      </c>
      <c r="H76" s="5" t="n">
        <v>0</v>
      </c>
      <c r="I76" s="5" t="n">
        <v>0</v>
      </c>
      <c r="J76" s="5" t="n">
        <v>1</v>
      </c>
      <c r="K76" s="5" t="n">
        <v>0</v>
      </c>
      <c r="L76" s="5" t="n">
        <v>0</v>
      </c>
      <c r="M76" s="5" t="n">
        <v>0</v>
      </c>
      <c r="N76" s="5" t="n">
        <v>0</v>
      </c>
      <c r="O76" s="5" t="n">
        <v>1</v>
      </c>
      <c r="P76" s="5" t="n">
        <v>1</v>
      </c>
      <c r="Q76" s="5" t="n">
        <v>0</v>
      </c>
      <c r="R76" s="5" t="n">
        <v>0</v>
      </c>
      <c r="S76" s="5" t="n">
        <v>1</v>
      </c>
      <c r="T76" s="5" t="n">
        <v>0</v>
      </c>
      <c r="U76" s="5" t="inlineStr">
        <is>
          <t>testing</t>
        </is>
      </c>
      <c r="V76" s="5" t="n">
        <v>0</v>
      </c>
    </row>
    <row r="77">
      <c r="A77" s="5" t="n">
        <v>73</v>
      </c>
      <c r="B77" s="5" t="n">
        <v>0</v>
      </c>
      <c r="C77" s="6" t="n">
        <v>-1.072736819887472</v>
      </c>
      <c r="D77" s="6" t="n">
        <v>-0.7301196847266369</v>
      </c>
      <c r="E77" s="6" t="n">
        <v>1.344602899991198</v>
      </c>
      <c r="F77" s="6" t="n">
        <v>0.01674764143977723</v>
      </c>
      <c r="G77" s="5" t="n">
        <v>1</v>
      </c>
      <c r="H77" s="5" t="n">
        <v>0</v>
      </c>
      <c r="I77" s="5" t="n">
        <v>0</v>
      </c>
      <c r="J77" s="5" t="n">
        <v>1</v>
      </c>
      <c r="K77" s="5" t="n">
        <v>0</v>
      </c>
      <c r="L77" s="5" t="n">
        <v>0</v>
      </c>
      <c r="M77" s="5" t="n">
        <v>0</v>
      </c>
      <c r="N77" s="5" t="n">
        <v>0</v>
      </c>
      <c r="O77" s="5" t="n">
        <v>0</v>
      </c>
      <c r="P77" s="5" t="n">
        <v>0</v>
      </c>
      <c r="Q77" s="5" t="n">
        <v>1</v>
      </c>
      <c r="R77" s="5" t="n">
        <v>0</v>
      </c>
      <c r="S77" s="5" t="n">
        <v>0</v>
      </c>
      <c r="T77" s="5" t="n">
        <v>0</v>
      </c>
      <c r="U77" s="5" t="inlineStr">
        <is>
          <t>training</t>
        </is>
      </c>
      <c r="V77" s="5" t="n">
        <v>1</v>
      </c>
    </row>
    <row r="78">
      <c r="A78" s="5" t="n">
        <v>74</v>
      </c>
      <c r="B78" s="5" t="n">
        <v>0</v>
      </c>
      <c r="C78" s="6" t="n">
        <v>1.792067524066952</v>
      </c>
      <c r="D78" s="6" t="n">
        <v>0.9458665483872429</v>
      </c>
      <c r="E78" s="6" t="n">
        <v>0.4748726930111218</v>
      </c>
      <c r="F78" s="6" t="n">
        <v>-0.8850484360866833</v>
      </c>
      <c r="G78" s="5" t="n">
        <v>0</v>
      </c>
      <c r="H78" s="5" t="n">
        <v>1</v>
      </c>
      <c r="I78" s="5" t="n">
        <v>0</v>
      </c>
      <c r="J78" s="5" t="n">
        <v>1</v>
      </c>
      <c r="K78" s="5" t="n">
        <v>0</v>
      </c>
      <c r="L78" s="5" t="n">
        <v>0</v>
      </c>
      <c r="M78" s="5" t="n">
        <v>0</v>
      </c>
      <c r="N78" s="5" t="n">
        <v>0</v>
      </c>
      <c r="O78" s="5" t="n">
        <v>0</v>
      </c>
      <c r="P78" s="5" t="n">
        <v>0</v>
      </c>
      <c r="Q78" s="5" t="n">
        <v>0</v>
      </c>
      <c r="R78" s="5" t="n">
        <v>0</v>
      </c>
      <c r="S78" s="5" t="n">
        <v>0</v>
      </c>
      <c r="T78" s="5" t="n">
        <v>0</v>
      </c>
      <c r="U78" s="5" t="inlineStr">
        <is>
          <t>testing</t>
        </is>
      </c>
      <c r="V78" s="5" t="n">
        <v>0</v>
      </c>
    </row>
    <row r="79">
      <c r="A79" s="5" t="n">
        <v>75</v>
      </c>
      <c r="B79" s="5" t="n">
        <v>1</v>
      </c>
      <c r="C79" s="6" t="n">
        <v>1.286513816310289</v>
      </c>
      <c r="D79" s="6" t="n">
        <v>-0.445656885661588</v>
      </c>
      <c r="E79" s="6" t="n">
        <v>0.3878996723131141</v>
      </c>
      <c r="F79" s="6" t="n">
        <v>0.9185437189662378</v>
      </c>
      <c r="G79" s="5" t="n">
        <v>1</v>
      </c>
      <c r="H79" s="5" t="n">
        <v>0</v>
      </c>
      <c r="I79" s="5" t="n">
        <v>0</v>
      </c>
      <c r="J79" s="5" t="n">
        <v>0</v>
      </c>
      <c r="K79" s="5" t="n">
        <v>0</v>
      </c>
      <c r="L79" s="5" t="n">
        <v>0</v>
      </c>
      <c r="M79" s="5" t="n">
        <v>0</v>
      </c>
      <c r="N79" s="5" t="n">
        <v>0</v>
      </c>
      <c r="O79" s="5" t="n">
        <v>1</v>
      </c>
      <c r="P79" s="5" t="n">
        <v>0</v>
      </c>
      <c r="Q79" s="5" t="n">
        <v>0</v>
      </c>
      <c r="R79" s="5" t="n">
        <v>0</v>
      </c>
      <c r="S79" s="5" t="n">
        <v>0</v>
      </c>
      <c r="T79" s="5" t="n">
        <v>0</v>
      </c>
      <c r="U79" s="5" t="inlineStr">
        <is>
          <t>training</t>
        </is>
      </c>
      <c r="V79" s="5" t="n">
        <v>1</v>
      </c>
    </row>
    <row r="80">
      <c r="A80" s="5" t="n">
        <v>76</v>
      </c>
      <c r="B80" s="5" t="n">
        <v>0</v>
      </c>
      <c r="C80" s="6" t="n">
        <v>-0.7357010147163632</v>
      </c>
      <c r="D80" s="6" t="n">
        <v>-0.603458512203208</v>
      </c>
      <c r="E80" s="6" t="n">
        <v>2.649198210461313</v>
      </c>
      <c r="F80" s="6" t="n">
        <v>0.9185437189662378</v>
      </c>
      <c r="G80" s="5" t="n">
        <v>1</v>
      </c>
      <c r="H80" s="5" t="n">
        <v>0</v>
      </c>
      <c r="I80" s="5" t="n">
        <v>0</v>
      </c>
      <c r="J80" s="5" t="n">
        <v>1</v>
      </c>
      <c r="K80" s="5" t="n">
        <v>0</v>
      </c>
      <c r="L80" s="5" t="n">
        <v>0</v>
      </c>
      <c r="M80" s="5" t="n">
        <v>0</v>
      </c>
      <c r="N80" s="5" t="n">
        <v>0</v>
      </c>
      <c r="O80" s="5" t="n">
        <v>0</v>
      </c>
      <c r="P80" s="5" t="n">
        <v>0</v>
      </c>
      <c r="Q80" s="5" t="n">
        <v>1</v>
      </c>
      <c r="R80" s="5" t="n">
        <v>1</v>
      </c>
      <c r="S80" s="5" t="n">
        <v>0</v>
      </c>
      <c r="T80" s="5" t="n">
        <v>0</v>
      </c>
      <c r="U80" s="5" t="inlineStr">
        <is>
          <t>training</t>
        </is>
      </c>
      <c r="V80" s="5" t="n">
        <v>1</v>
      </c>
    </row>
    <row r="81">
      <c r="A81" s="5" t="n">
        <v>77</v>
      </c>
      <c r="B81" s="5" t="n">
        <v>1</v>
      </c>
      <c r="C81" s="6" t="n">
        <v>1.792067524066952</v>
      </c>
      <c r="D81" s="6" t="n">
        <v>0.2499298849919388</v>
      </c>
      <c r="E81" s="6" t="n">
        <v>-0.1339384518749317</v>
      </c>
      <c r="F81" s="6" t="n">
        <v>0.9185437189662378</v>
      </c>
      <c r="G81" s="5" t="n">
        <v>1</v>
      </c>
      <c r="H81" s="5" t="n">
        <v>0</v>
      </c>
      <c r="I81" s="5" t="n">
        <v>0</v>
      </c>
      <c r="J81" s="5" t="n">
        <v>0</v>
      </c>
      <c r="K81" s="5" t="n">
        <v>0</v>
      </c>
      <c r="L81" s="5" t="n">
        <v>0</v>
      </c>
      <c r="M81" s="5" t="n">
        <v>0</v>
      </c>
      <c r="N81" s="5" t="n">
        <v>0</v>
      </c>
      <c r="O81" s="5" t="n">
        <v>0</v>
      </c>
      <c r="P81" s="5" t="n">
        <v>0</v>
      </c>
      <c r="Q81" s="5" t="n">
        <v>0</v>
      </c>
      <c r="R81" s="5" t="n">
        <v>0</v>
      </c>
      <c r="S81" s="5" t="n">
        <v>1</v>
      </c>
      <c r="T81" s="5" t="n">
        <v>0</v>
      </c>
      <c r="U81" s="5" t="inlineStr">
        <is>
          <t>training</t>
        </is>
      </c>
      <c r="V81" s="5" t="n">
        <v>1</v>
      </c>
    </row>
    <row r="82">
      <c r="A82" s="5" t="n">
        <v>78</v>
      </c>
      <c r="B82" s="5" t="n">
        <v>0</v>
      </c>
      <c r="C82" s="6" t="n">
        <v>-0.8199599660091405</v>
      </c>
      <c r="D82" s="6" t="n">
        <v>0.5319434348645457</v>
      </c>
      <c r="E82" s="6" t="n">
        <v>1.344602899991198</v>
      </c>
      <c r="F82" s="6" t="n">
        <v>-0.8850484360866833</v>
      </c>
      <c r="G82" s="5" t="n">
        <v>0</v>
      </c>
      <c r="H82" s="5" t="n">
        <v>1</v>
      </c>
      <c r="I82" s="5" t="n">
        <v>0</v>
      </c>
      <c r="J82" s="5" t="n">
        <v>0</v>
      </c>
      <c r="K82" s="5" t="n">
        <v>1</v>
      </c>
      <c r="L82" s="5" t="n">
        <v>0</v>
      </c>
      <c r="M82" s="5" t="n">
        <v>0</v>
      </c>
      <c r="N82" s="5" t="n">
        <v>0</v>
      </c>
      <c r="O82" s="5" t="n">
        <v>0</v>
      </c>
      <c r="P82" s="5" t="n">
        <v>0</v>
      </c>
      <c r="Q82" s="5" t="n">
        <v>0</v>
      </c>
      <c r="R82" s="5" t="n">
        <v>0</v>
      </c>
      <c r="S82" s="5" t="n">
        <v>1</v>
      </c>
      <c r="T82" s="5" t="n">
        <v>0</v>
      </c>
      <c r="U82" s="5" t="inlineStr">
        <is>
          <t>testing</t>
        </is>
      </c>
      <c r="V82" s="5" t="n">
        <v>0</v>
      </c>
    </row>
    <row r="83">
      <c r="A83" s="5" t="n">
        <v>79</v>
      </c>
      <c r="B83" s="5" t="n">
        <v>0</v>
      </c>
      <c r="C83" s="6" t="n">
        <v>2.803174939580279</v>
      </c>
      <c r="D83" s="6" t="n">
        <v>2.164193075256247</v>
      </c>
      <c r="E83" s="6" t="n">
        <v>0.3009266516151065</v>
      </c>
      <c r="F83" s="6" t="n">
        <v>-0.8850484360866833</v>
      </c>
      <c r="G83" s="5" t="n">
        <v>0</v>
      </c>
      <c r="H83" s="5" t="n">
        <v>0</v>
      </c>
      <c r="I83" s="5" t="n">
        <v>0</v>
      </c>
      <c r="J83" s="5" t="n">
        <v>0</v>
      </c>
      <c r="K83" s="5" t="n">
        <v>0</v>
      </c>
      <c r="L83" s="5" t="n">
        <v>1</v>
      </c>
      <c r="M83" s="5" t="n">
        <v>0</v>
      </c>
      <c r="N83" s="5" t="n">
        <v>0</v>
      </c>
      <c r="O83" s="5" t="n">
        <v>1</v>
      </c>
      <c r="P83" s="5" t="n">
        <v>0</v>
      </c>
      <c r="Q83" s="5" t="n">
        <v>0</v>
      </c>
      <c r="R83" s="5" t="n">
        <v>1</v>
      </c>
      <c r="S83" s="5" t="n">
        <v>0</v>
      </c>
      <c r="T83" s="5" t="n">
        <v>0</v>
      </c>
      <c r="U83" s="5" t="inlineStr">
        <is>
          <t>training</t>
        </is>
      </c>
      <c r="V83" s="5" t="n">
        <v>1</v>
      </c>
    </row>
    <row r="84">
      <c r="A84" s="5" t="n">
        <v>80</v>
      </c>
      <c r="B84" s="5" t="n">
        <v>0</v>
      </c>
      <c r="C84" s="6" t="n">
        <v>0.7809601085536261</v>
      </c>
      <c r="D84" s="6" t="n">
        <v>0.2033941503355408</v>
      </c>
      <c r="E84" s="6" t="n">
        <v>-1.177614700251023</v>
      </c>
      <c r="F84" s="6" t="n">
        <v>-0.8850484360866833</v>
      </c>
      <c r="G84" s="5" t="n">
        <v>0</v>
      </c>
      <c r="H84" s="5" t="n">
        <v>1</v>
      </c>
      <c r="I84" s="5" t="n">
        <v>0</v>
      </c>
      <c r="J84" s="5" t="n">
        <v>0</v>
      </c>
      <c r="K84" s="5" t="n">
        <v>0</v>
      </c>
      <c r="L84" s="5" t="n">
        <v>0</v>
      </c>
      <c r="M84" s="5" t="n">
        <v>0</v>
      </c>
      <c r="N84" s="5" t="n">
        <v>0</v>
      </c>
      <c r="O84" s="5" t="n">
        <v>0</v>
      </c>
      <c r="P84" s="5" t="n">
        <v>0</v>
      </c>
      <c r="Q84" s="5" t="n">
        <v>0</v>
      </c>
      <c r="R84" s="5" t="n">
        <v>0</v>
      </c>
      <c r="S84" s="5" t="n">
        <v>0</v>
      </c>
      <c r="T84" s="5" t="n">
        <v>1</v>
      </c>
      <c r="U84" s="5" t="inlineStr">
        <is>
          <t>training</t>
        </is>
      </c>
      <c r="V84" s="5" t="n">
        <v>1</v>
      </c>
    </row>
    <row r="85">
      <c r="A85" s="5" t="n">
        <v>81</v>
      </c>
      <c r="B85" s="5" t="n">
        <v>1</v>
      </c>
      <c r="C85" s="6" t="n">
        <v>0.275406400796963</v>
      </c>
      <c r="D85" s="6" t="n">
        <v>0.9420177282276913</v>
      </c>
      <c r="E85" s="6" t="n">
        <v>0.7357917551051447</v>
      </c>
      <c r="F85" s="6" t="n">
        <v>-1.786844513613144</v>
      </c>
      <c r="G85" s="5" t="n">
        <v>0</v>
      </c>
      <c r="H85" s="5" t="n">
        <v>0</v>
      </c>
      <c r="I85" s="5" t="n">
        <v>0</v>
      </c>
      <c r="J85" s="5" t="n">
        <v>0</v>
      </c>
      <c r="K85" s="5" t="n">
        <v>0</v>
      </c>
      <c r="L85" s="5" t="n">
        <v>0</v>
      </c>
      <c r="M85" s="5" t="n">
        <v>0</v>
      </c>
      <c r="N85" s="5" t="n">
        <v>0</v>
      </c>
      <c r="O85" s="5" t="n">
        <v>1</v>
      </c>
      <c r="P85" s="5" t="n">
        <v>0</v>
      </c>
      <c r="Q85" s="5" t="n">
        <v>0</v>
      </c>
      <c r="R85" s="5" t="n">
        <v>0</v>
      </c>
      <c r="S85" s="5" t="n">
        <v>1</v>
      </c>
      <c r="T85" s="5" t="n">
        <v>0</v>
      </c>
      <c r="U85" s="5" t="inlineStr">
        <is>
          <t>testing</t>
        </is>
      </c>
      <c r="V85" s="5" t="n">
        <v>0</v>
      </c>
    </row>
    <row r="86">
      <c r="A86" s="5" t="n">
        <v>82</v>
      </c>
      <c r="B86" s="5" t="n">
        <v>0</v>
      </c>
      <c r="C86" s="6" t="n">
        <v>-0.4829241608380317</v>
      </c>
      <c r="D86" s="6" t="n">
        <v>-0.7129749403795429</v>
      </c>
      <c r="E86" s="6" t="n">
        <v>0.9967108171991675</v>
      </c>
      <c r="F86" s="6" t="n">
        <v>0.9185437189662378</v>
      </c>
      <c r="G86" s="5" t="n">
        <v>0</v>
      </c>
      <c r="H86" s="5" t="n">
        <v>0</v>
      </c>
      <c r="I86" s="5" t="n">
        <v>0</v>
      </c>
      <c r="J86" s="5" t="n">
        <v>0</v>
      </c>
      <c r="K86" s="5" t="n">
        <v>0</v>
      </c>
      <c r="L86" s="5" t="n">
        <v>0</v>
      </c>
      <c r="M86" s="5" t="n">
        <v>1</v>
      </c>
      <c r="N86" s="5" t="n">
        <v>0</v>
      </c>
      <c r="O86" s="5" t="n">
        <v>0</v>
      </c>
      <c r="P86" s="5" t="n">
        <v>0</v>
      </c>
      <c r="Q86" s="5" t="n">
        <v>0</v>
      </c>
      <c r="R86" s="5" t="n">
        <v>0</v>
      </c>
      <c r="S86" s="5" t="n">
        <v>1</v>
      </c>
      <c r="T86" s="5" t="n">
        <v>0</v>
      </c>
      <c r="U86" s="5" t="inlineStr">
        <is>
          <t>training</t>
        </is>
      </c>
      <c r="V86" s="5" t="n">
        <v>1</v>
      </c>
    </row>
    <row r="87">
      <c r="A87" s="5" t="n">
        <v>83</v>
      </c>
      <c r="B87" s="5" t="n">
        <v>0</v>
      </c>
      <c r="C87" s="6" t="n">
        <v>-0.2301473069597001</v>
      </c>
      <c r="D87" s="6" t="n">
        <v>-0.588763017048556</v>
      </c>
      <c r="E87" s="6" t="n">
        <v>-1.003668658855008</v>
      </c>
      <c r="F87" s="6" t="n">
        <v>0.01674764143977723</v>
      </c>
      <c r="G87" s="5" t="n">
        <v>0</v>
      </c>
      <c r="H87" s="5" t="n">
        <v>0</v>
      </c>
      <c r="I87" s="5" t="n">
        <v>0</v>
      </c>
      <c r="J87" s="5" t="n">
        <v>0</v>
      </c>
      <c r="K87" s="5" t="n">
        <v>0</v>
      </c>
      <c r="L87" s="5" t="n">
        <v>0</v>
      </c>
      <c r="M87" s="5" t="n">
        <v>1</v>
      </c>
      <c r="N87" s="5" t="n">
        <v>0</v>
      </c>
      <c r="O87" s="5" t="n">
        <v>0</v>
      </c>
      <c r="P87" s="5" t="n">
        <v>1</v>
      </c>
      <c r="Q87" s="5" t="n">
        <v>0</v>
      </c>
      <c r="R87" s="5" t="n">
        <v>0</v>
      </c>
      <c r="S87" s="5" t="n">
        <v>0</v>
      </c>
      <c r="T87" s="5" t="n">
        <v>0</v>
      </c>
      <c r="U87" s="5" t="inlineStr">
        <is>
          <t>testing</t>
        </is>
      </c>
      <c r="V87" s="5" t="n">
        <v>0</v>
      </c>
    </row>
    <row r="88">
      <c r="A88" s="5" t="n">
        <v>84</v>
      </c>
      <c r="B88" s="5" t="n">
        <v>0</v>
      </c>
      <c r="C88" s="6" t="n">
        <v>0.275406400796963</v>
      </c>
      <c r="D88" s="6" t="n">
        <v>-0.523333074336177</v>
      </c>
      <c r="E88" s="6" t="n">
        <v>1.953414044877252</v>
      </c>
      <c r="F88" s="6" t="n">
        <v>0.9185437189662378</v>
      </c>
      <c r="G88" s="5" t="n">
        <v>1</v>
      </c>
      <c r="H88" s="5" t="n">
        <v>0</v>
      </c>
      <c r="I88" s="5" t="n">
        <v>0</v>
      </c>
      <c r="J88" s="5" t="n">
        <v>0</v>
      </c>
      <c r="K88" s="5" t="n">
        <v>0</v>
      </c>
      <c r="L88" s="5" t="n">
        <v>0</v>
      </c>
      <c r="M88" s="5" t="n">
        <v>0</v>
      </c>
      <c r="N88" s="5" t="n">
        <v>0</v>
      </c>
      <c r="O88" s="5" t="n">
        <v>0</v>
      </c>
      <c r="P88" s="5" t="n">
        <v>0</v>
      </c>
      <c r="Q88" s="5" t="n">
        <v>0</v>
      </c>
      <c r="R88" s="5" t="n">
        <v>0</v>
      </c>
      <c r="S88" s="5" t="n">
        <v>0</v>
      </c>
      <c r="T88" s="5" t="n">
        <v>0</v>
      </c>
      <c r="U88" s="5" t="inlineStr">
        <is>
          <t>testing</t>
        </is>
      </c>
      <c r="V88" s="5" t="n">
        <v>0</v>
      </c>
    </row>
    <row r="89">
      <c r="A89" s="5" t="n">
        <v>85</v>
      </c>
      <c r="B89" s="5" t="n">
        <v>0</v>
      </c>
      <c r="C89" s="6" t="n">
        <v>-0.9042189173019176</v>
      </c>
      <c r="D89" s="6" t="n">
        <v>-0.3273931389408173</v>
      </c>
      <c r="E89" s="6" t="n">
        <v>1.431575920689206</v>
      </c>
      <c r="F89" s="6" t="n">
        <v>0.01674764143977723</v>
      </c>
      <c r="G89" s="5" t="n">
        <v>1</v>
      </c>
      <c r="H89" s="5" t="n">
        <v>0</v>
      </c>
      <c r="I89" s="5" t="n">
        <v>0</v>
      </c>
      <c r="J89" s="5" t="n">
        <v>0</v>
      </c>
      <c r="K89" s="5" t="n">
        <v>0</v>
      </c>
      <c r="L89" s="5" t="n">
        <v>0</v>
      </c>
      <c r="M89" s="5" t="n">
        <v>0</v>
      </c>
      <c r="N89" s="5" t="n">
        <v>0</v>
      </c>
      <c r="O89" s="5" t="n">
        <v>0</v>
      </c>
      <c r="P89" s="5" t="n">
        <v>0</v>
      </c>
      <c r="Q89" s="5" t="n">
        <v>0</v>
      </c>
      <c r="R89" s="5" t="n">
        <v>0</v>
      </c>
      <c r="S89" s="5" t="n">
        <v>1</v>
      </c>
      <c r="T89" s="5" t="n">
        <v>0</v>
      </c>
      <c r="U89" s="5" t="inlineStr">
        <is>
          <t>testing</t>
        </is>
      </c>
      <c r="V89" s="5" t="n">
        <v>0</v>
      </c>
    </row>
    <row r="90">
      <c r="A90" s="5" t="n">
        <v>86</v>
      </c>
      <c r="B90" s="5" t="n">
        <v>0</v>
      </c>
      <c r="C90" s="6" t="n">
        <v>-0.7357010147163632</v>
      </c>
      <c r="D90" s="6" t="n">
        <v>-0.6433462847658348</v>
      </c>
      <c r="E90" s="6" t="n">
        <v>-0.5688035553649698</v>
      </c>
      <c r="F90" s="6" t="n">
        <v>0.9185437189662378</v>
      </c>
      <c r="G90" s="5" t="n">
        <v>0</v>
      </c>
      <c r="H90" s="5" t="n">
        <v>0</v>
      </c>
      <c r="I90" s="5" t="n">
        <v>0</v>
      </c>
      <c r="J90" s="5" t="n">
        <v>1</v>
      </c>
      <c r="K90" s="5" t="n">
        <v>0</v>
      </c>
      <c r="L90" s="5" t="n">
        <v>0</v>
      </c>
      <c r="M90" s="5" t="n">
        <v>0</v>
      </c>
      <c r="N90" s="5" t="n">
        <v>0</v>
      </c>
      <c r="O90" s="5" t="n">
        <v>0</v>
      </c>
      <c r="P90" s="5" t="n">
        <v>0</v>
      </c>
      <c r="Q90" s="5" t="n">
        <v>0</v>
      </c>
      <c r="R90" s="5" t="n">
        <v>0</v>
      </c>
      <c r="S90" s="5" t="n">
        <v>0</v>
      </c>
      <c r="T90" s="5" t="n">
        <v>0</v>
      </c>
      <c r="U90" s="5" t="inlineStr">
        <is>
          <t>testing</t>
        </is>
      </c>
      <c r="V90" s="5" t="n">
        <v>0</v>
      </c>
    </row>
    <row r="91">
      <c r="A91" s="5" t="n">
        <v>87</v>
      </c>
      <c r="B91" s="5" t="n">
        <v>0</v>
      </c>
      <c r="C91" s="6" t="n">
        <v>-0.2301473069597001</v>
      </c>
      <c r="D91" s="6" t="n">
        <v>-0.6842837355537938</v>
      </c>
      <c r="E91" s="6" t="n">
        <v>-0.7427495967609852</v>
      </c>
      <c r="F91" s="6" t="n">
        <v>0.9185437189662378</v>
      </c>
      <c r="G91" s="5" t="n">
        <v>0</v>
      </c>
      <c r="H91" s="5" t="n">
        <v>1</v>
      </c>
      <c r="I91" s="5" t="n">
        <v>0</v>
      </c>
      <c r="J91" s="5" t="n">
        <v>1</v>
      </c>
      <c r="K91" s="5" t="n">
        <v>0</v>
      </c>
      <c r="L91" s="5" t="n">
        <v>0</v>
      </c>
      <c r="M91" s="5" t="n">
        <v>0</v>
      </c>
      <c r="N91" s="5" t="n">
        <v>0</v>
      </c>
      <c r="O91" s="5" t="n">
        <v>0</v>
      </c>
      <c r="P91" s="5" t="n">
        <v>0</v>
      </c>
      <c r="Q91" s="5" t="n">
        <v>0</v>
      </c>
      <c r="R91" s="5" t="n">
        <v>0</v>
      </c>
      <c r="S91" s="5" t="n">
        <v>0</v>
      </c>
      <c r="T91" s="5" t="n">
        <v>1</v>
      </c>
      <c r="U91" s="5" t="inlineStr">
        <is>
          <t>testing</t>
        </is>
      </c>
      <c r="V91" s="5" t="n">
        <v>0</v>
      </c>
    </row>
    <row r="92">
      <c r="A92" s="5" t="n">
        <v>88</v>
      </c>
      <c r="B92" s="5" t="n">
        <v>1</v>
      </c>
      <c r="C92" s="6" t="n">
        <v>1.286513816310289</v>
      </c>
      <c r="D92" s="6" t="n">
        <v>3.275452423141358</v>
      </c>
      <c r="E92" s="6" t="n">
        <v>0.9967108171991675</v>
      </c>
      <c r="F92" s="6" t="n">
        <v>-1.786844513613144</v>
      </c>
      <c r="G92" s="5" t="n">
        <v>0</v>
      </c>
      <c r="H92" s="5" t="n">
        <v>1</v>
      </c>
      <c r="I92" s="5" t="n">
        <v>0</v>
      </c>
      <c r="J92" s="5" t="n">
        <v>0</v>
      </c>
      <c r="K92" s="5" t="n">
        <v>0</v>
      </c>
      <c r="L92" s="5" t="n">
        <v>0</v>
      </c>
      <c r="M92" s="5" t="n">
        <v>1</v>
      </c>
      <c r="N92" s="5" t="n">
        <v>0</v>
      </c>
      <c r="O92" s="5" t="n">
        <v>0</v>
      </c>
      <c r="P92" s="5" t="n">
        <v>0</v>
      </c>
      <c r="Q92" s="5" t="n">
        <v>1</v>
      </c>
      <c r="R92" s="5" t="n">
        <v>0</v>
      </c>
      <c r="S92" s="5" t="n">
        <v>0</v>
      </c>
      <c r="T92" s="5" t="n">
        <v>0</v>
      </c>
      <c r="U92" s="5" t="inlineStr">
        <is>
          <t>training</t>
        </is>
      </c>
      <c r="V92" s="5" t="n">
        <v>1</v>
      </c>
    </row>
    <row r="93">
      <c r="A93" s="5" t="n">
        <v>89</v>
      </c>
      <c r="B93" s="5" t="n">
        <v>0</v>
      </c>
      <c r="C93" s="6" t="n">
        <v>-0.2301473069597001</v>
      </c>
      <c r="D93" s="6" t="n">
        <v>-0.3504860598981276</v>
      </c>
      <c r="E93" s="6" t="n">
        <v>-0.4818305346669622</v>
      </c>
      <c r="F93" s="6" t="n">
        <v>0.9185437189662378</v>
      </c>
      <c r="G93" s="5" t="n">
        <v>1</v>
      </c>
      <c r="H93" s="5" t="n">
        <v>0</v>
      </c>
      <c r="I93" s="5" t="n">
        <v>0</v>
      </c>
      <c r="J93" s="5" t="n">
        <v>0</v>
      </c>
      <c r="K93" s="5" t="n">
        <v>0</v>
      </c>
      <c r="L93" s="5" t="n">
        <v>0</v>
      </c>
      <c r="M93" s="5" t="n">
        <v>1</v>
      </c>
      <c r="N93" s="5" t="n">
        <v>0</v>
      </c>
      <c r="O93" s="5" t="n">
        <v>0</v>
      </c>
      <c r="P93" s="5" t="n">
        <v>0</v>
      </c>
      <c r="Q93" s="5" t="n">
        <v>0</v>
      </c>
      <c r="R93" s="5" t="n">
        <v>1</v>
      </c>
      <c r="S93" s="5" t="n">
        <v>0</v>
      </c>
      <c r="T93" s="5" t="n">
        <v>0</v>
      </c>
      <c r="U93" s="5" t="inlineStr">
        <is>
          <t>testing</t>
        </is>
      </c>
      <c r="V93" s="5" t="n">
        <v>0</v>
      </c>
    </row>
    <row r="94">
      <c r="A94" s="5" t="n">
        <v>90</v>
      </c>
      <c r="B94" s="5" t="n">
        <v>1</v>
      </c>
      <c r="C94" s="6" t="n">
        <v>-0.7357010147163632</v>
      </c>
      <c r="D94" s="6" t="n">
        <v>-0.7497136782661729</v>
      </c>
      <c r="E94" s="6" t="n">
        <v>-0.6557765760629775</v>
      </c>
      <c r="F94" s="6" t="n">
        <v>0.9185437189662378</v>
      </c>
      <c r="G94" s="5" t="n">
        <v>1</v>
      </c>
      <c r="H94" s="5" t="n">
        <v>0</v>
      </c>
      <c r="I94" s="5" t="n">
        <v>0</v>
      </c>
      <c r="J94" s="5" t="n">
        <v>0</v>
      </c>
      <c r="K94" s="5" t="n">
        <v>0</v>
      </c>
      <c r="L94" s="5" t="n">
        <v>1</v>
      </c>
      <c r="M94" s="5" t="n">
        <v>0</v>
      </c>
      <c r="N94" s="5" t="n">
        <v>0</v>
      </c>
      <c r="O94" s="5" t="n">
        <v>0</v>
      </c>
      <c r="P94" s="5" t="n">
        <v>0</v>
      </c>
      <c r="Q94" s="5" t="n">
        <v>0</v>
      </c>
      <c r="R94" s="5" t="n">
        <v>0</v>
      </c>
      <c r="S94" s="5" t="n">
        <v>0</v>
      </c>
      <c r="T94" s="5" t="n">
        <v>0</v>
      </c>
      <c r="U94" s="5" t="inlineStr">
        <is>
          <t>testing</t>
        </is>
      </c>
      <c r="V94" s="5" t="n">
        <v>0</v>
      </c>
    </row>
    <row r="95">
      <c r="A95" s="5" t="n">
        <v>91</v>
      </c>
      <c r="B95" s="5" t="n">
        <v>0</v>
      </c>
      <c r="C95" s="6" t="n">
        <v>-0.7357010147163632</v>
      </c>
      <c r="D95" s="6" t="n">
        <v>-0.9211611217371126</v>
      </c>
      <c r="E95" s="6" t="n">
        <v>1.779468003481236</v>
      </c>
      <c r="F95" s="6" t="n">
        <v>0.9185437189662378</v>
      </c>
      <c r="G95" s="5" t="n">
        <v>0</v>
      </c>
      <c r="H95" s="5" t="n">
        <v>0</v>
      </c>
      <c r="I95" s="5" t="n">
        <v>0</v>
      </c>
      <c r="J95" s="5" t="n">
        <v>1</v>
      </c>
      <c r="K95" s="5" t="n">
        <v>0</v>
      </c>
      <c r="L95" s="5" t="n">
        <v>0</v>
      </c>
      <c r="M95" s="5" t="n">
        <v>0</v>
      </c>
      <c r="N95" s="5" t="n">
        <v>0</v>
      </c>
      <c r="O95" s="5" t="n">
        <v>0</v>
      </c>
      <c r="P95" s="5" t="n">
        <v>0</v>
      </c>
      <c r="Q95" s="5" t="n">
        <v>0</v>
      </c>
      <c r="R95" s="5" t="n">
        <v>0</v>
      </c>
      <c r="S95" s="5" t="n">
        <v>1</v>
      </c>
      <c r="T95" s="5" t="n">
        <v>0</v>
      </c>
      <c r="U95" s="5" t="inlineStr">
        <is>
          <t>training</t>
        </is>
      </c>
      <c r="V95" s="5" t="n">
        <v>0</v>
      </c>
    </row>
    <row r="96">
      <c r="A96" s="5" t="n">
        <v>92</v>
      </c>
      <c r="B96" s="5" t="n">
        <v>0</v>
      </c>
      <c r="C96" s="6" t="n">
        <v>-0.7357010147163632</v>
      </c>
      <c r="D96" s="6" t="n">
        <v>-0.6443959629911671</v>
      </c>
      <c r="E96" s="6" t="n">
        <v>1.605521962085221</v>
      </c>
      <c r="F96" s="6" t="n">
        <v>0.9185437189662378</v>
      </c>
      <c r="G96" s="5" t="n">
        <v>1</v>
      </c>
      <c r="H96" s="5" t="n">
        <v>0</v>
      </c>
      <c r="I96" s="5" t="n">
        <v>0</v>
      </c>
      <c r="J96" s="5" t="n">
        <v>1</v>
      </c>
      <c r="K96" s="5" t="n">
        <v>0</v>
      </c>
      <c r="L96" s="5" t="n">
        <v>0</v>
      </c>
      <c r="M96" s="5" t="n">
        <v>0</v>
      </c>
      <c r="N96" s="5" t="n">
        <v>0</v>
      </c>
      <c r="O96" s="5" t="n">
        <v>0</v>
      </c>
      <c r="P96" s="5" t="n">
        <v>0</v>
      </c>
      <c r="Q96" s="5" t="n">
        <v>0</v>
      </c>
      <c r="R96" s="5" t="n">
        <v>1</v>
      </c>
      <c r="S96" s="5" t="n">
        <v>0</v>
      </c>
      <c r="T96" s="5" t="n">
        <v>0</v>
      </c>
      <c r="U96" s="5" t="inlineStr">
        <is>
          <t>testing</t>
        </is>
      </c>
      <c r="V96" s="5" t="n">
        <v>0</v>
      </c>
    </row>
    <row r="97">
      <c r="A97" s="5" t="n">
        <v>93</v>
      </c>
      <c r="B97" s="5" t="n">
        <v>1</v>
      </c>
      <c r="C97" s="6" t="n">
        <v>-0.7357010147163632</v>
      </c>
      <c r="D97" s="6" t="n">
        <v>-0.858530320958953</v>
      </c>
      <c r="E97" s="6" t="n">
        <v>-0.2209114725729393</v>
      </c>
      <c r="F97" s="6" t="n">
        <v>0.9185437189662378</v>
      </c>
      <c r="G97" s="5" t="n">
        <v>0</v>
      </c>
      <c r="H97" s="5" t="n">
        <v>0</v>
      </c>
      <c r="I97" s="5" t="n">
        <v>0</v>
      </c>
      <c r="J97" s="5" t="n">
        <v>1</v>
      </c>
      <c r="K97" s="5" t="n">
        <v>0</v>
      </c>
      <c r="L97" s="5" t="n">
        <v>0</v>
      </c>
      <c r="M97" s="5" t="n">
        <v>0</v>
      </c>
      <c r="N97" s="5" t="n">
        <v>0</v>
      </c>
      <c r="O97" s="5" t="n">
        <v>1</v>
      </c>
      <c r="P97" s="5" t="n">
        <v>0</v>
      </c>
      <c r="Q97" s="5" t="n">
        <v>0</v>
      </c>
      <c r="R97" s="5" t="n">
        <v>0</v>
      </c>
      <c r="S97" s="5" t="n">
        <v>1</v>
      </c>
      <c r="T97" s="5" t="n">
        <v>0</v>
      </c>
      <c r="U97" s="5" t="inlineStr">
        <is>
          <t>testing</t>
        </is>
      </c>
      <c r="V97" s="5" t="n">
        <v>0</v>
      </c>
    </row>
    <row r="98">
      <c r="A98" s="5" t="n">
        <v>94</v>
      </c>
      <c r="B98" s="5" t="n">
        <v>0</v>
      </c>
      <c r="C98" s="6" t="n">
        <v>0.275406400796963</v>
      </c>
      <c r="D98" s="6" t="n">
        <v>0.1281672108533938</v>
      </c>
      <c r="E98" s="6" t="n">
        <v>-1.351560741647039</v>
      </c>
      <c r="F98" s="6" t="n">
        <v>0.9185437189662378</v>
      </c>
      <c r="G98" s="5" t="n">
        <v>0</v>
      </c>
      <c r="H98" s="5" t="n">
        <v>0</v>
      </c>
      <c r="I98" s="5" t="n">
        <v>1</v>
      </c>
      <c r="J98" s="5" t="n">
        <v>1</v>
      </c>
      <c r="K98" s="5" t="n">
        <v>0</v>
      </c>
      <c r="L98" s="5" t="n">
        <v>0</v>
      </c>
      <c r="M98" s="5" t="n">
        <v>0</v>
      </c>
      <c r="N98" s="5" t="n">
        <v>0</v>
      </c>
      <c r="O98" s="5" t="n">
        <v>1</v>
      </c>
      <c r="P98" s="5" t="n">
        <v>1</v>
      </c>
      <c r="Q98" s="5" t="n">
        <v>0</v>
      </c>
      <c r="R98" s="5" t="n">
        <v>0</v>
      </c>
      <c r="S98" s="5" t="n">
        <v>0</v>
      </c>
      <c r="T98" s="5" t="n">
        <v>1</v>
      </c>
      <c r="U98" s="5" t="inlineStr">
        <is>
          <t>training</t>
        </is>
      </c>
      <c r="V98" s="5" t="n">
        <v>0</v>
      </c>
    </row>
    <row r="99">
      <c r="A99" s="5" t="n">
        <v>95</v>
      </c>
      <c r="B99" s="5" t="n">
        <v>0</v>
      </c>
      <c r="C99" s="6" t="n">
        <v>-0.7357010147163632</v>
      </c>
      <c r="D99" s="6" t="n">
        <v>-0.6762362024929131</v>
      </c>
      <c r="E99" s="6" t="n">
        <v>1.605521962085221</v>
      </c>
      <c r="F99" s="6" t="n">
        <v>0.9185437189662378</v>
      </c>
      <c r="G99" s="5" t="n">
        <v>0</v>
      </c>
      <c r="H99" s="5" t="n">
        <v>1</v>
      </c>
      <c r="I99" s="5" t="n">
        <v>0</v>
      </c>
      <c r="J99" s="5" t="n">
        <v>0</v>
      </c>
      <c r="K99" s="5" t="n">
        <v>0</v>
      </c>
      <c r="L99" s="5" t="n">
        <v>0</v>
      </c>
      <c r="M99" s="5" t="n">
        <v>0</v>
      </c>
      <c r="N99" s="5" t="n">
        <v>1</v>
      </c>
      <c r="O99" s="5" t="n">
        <v>0</v>
      </c>
      <c r="P99" s="5" t="n">
        <v>0</v>
      </c>
      <c r="Q99" s="5" t="n">
        <v>0</v>
      </c>
      <c r="R99" s="5" t="n">
        <v>1</v>
      </c>
      <c r="S99" s="5" t="n">
        <v>0</v>
      </c>
      <c r="T99" s="5" t="n">
        <v>0</v>
      </c>
      <c r="U99" s="5" t="inlineStr">
        <is>
          <t>testing</t>
        </is>
      </c>
      <c r="V99" s="5" t="n">
        <v>0</v>
      </c>
    </row>
    <row r="100">
      <c r="A100" s="5" t="n">
        <v>96</v>
      </c>
      <c r="B100" s="5" t="n">
        <v>1</v>
      </c>
      <c r="C100" s="6" t="n">
        <v>2.803174939580279</v>
      </c>
      <c r="D100" s="6" t="n">
        <v>4.441644931485525</v>
      </c>
      <c r="E100" s="6" t="n">
        <v>1.953414044877252</v>
      </c>
      <c r="F100" s="6" t="n">
        <v>0.01674764143977723</v>
      </c>
      <c r="G100" s="5" t="n">
        <v>0</v>
      </c>
      <c r="H100" s="5" t="n">
        <v>1</v>
      </c>
      <c r="I100" s="5" t="n">
        <v>0</v>
      </c>
      <c r="J100" s="5" t="n">
        <v>0</v>
      </c>
      <c r="K100" s="5" t="n">
        <v>0</v>
      </c>
      <c r="L100" s="5" t="n">
        <v>1</v>
      </c>
      <c r="M100" s="5" t="n">
        <v>0</v>
      </c>
      <c r="N100" s="5" t="n">
        <v>0</v>
      </c>
      <c r="O100" s="5" t="n">
        <v>0</v>
      </c>
      <c r="P100" s="5" t="n">
        <v>1</v>
      </c>
      <c r="Q100" s="5" t="n">
        <v>0</v>
      </c>
      <c r="R100" s="5" t="n">
        <v>0</v>
      </c>
      <c r="S100" s="5" t="n">
        <v>0</v>
      </c>
      <c r="T100" s="5" t="n">
        <v>0</v>
      </c>
      <c r="U100" s="5" t="inlineStr">
        <is>
          <t>training</t>
        </is>
      </c>
      <c r="V100" s="5" t="n">
        <v>1</v>
      </c>
    </row>
    <row r="101">
      <c r="A101" s="5" t="n">
        <v>97</v>
      </c>
      <c r="B101" s="5" t="n">
        <v>0</v>
      </c>
      <c r="C101" s="6" t="n">
        <v>-0.7357010147163632</v>
      </c>
      <c r="D101" s="6" t="n">
        <v>-0.433410639699378</v>
      </c>
      <c r="E101" s="6" t="n">
        <v>2.214333106971274</v>
      </c>
      <c r="F101" s="6" t="n">
        <v>0.9185437189662378</v>
      </c>
      <c r="G101" s="5" t="n">
        <v>0</v>
      </c>
      <c r="H101" s="5" t="n">
        <v>0</v>
      </c>
      <c r="I101" s="5" t="n">
        <v>0</v>
      </c>
      <c r="J101" s="5" t="n">
        <v>1</v>
      </c>
      <c r="K101" s="5" t="n">
        <v>0</v>
      </c>
      <c r="L101" s="5" t="n">
        <v>0</v>
      </c>
      <c r="M101" s="5" t="n">
        <v>0</v>
      </c>
      <c r="N101" s="5" t="n">
        <v>0</v>
      </c>
      <c r="O101" s="5" t="n">
        <v>1</v>
      </c>
      <c r="P101" s="5" t="n">
        <v>0</v>
      </c>
      <c r="Q101" s="5" t="n">
        <v>0</v>
      </c>
      <c r="R101" s="5" t="n">
        <v>0</v>
      </c>
      <c r="S101" s="5" t="n">
        <v>0</v>
      </c>
      <c r="T101" s="5" t="n">
        <v>0</v>
      </c>
      <c r="U101" s="5" t="inlineStr">
        <is>
          <t>training</t>
        </is>
      </c>
      <c r="V101" s="5" t="n">
        <v>1</v>
      </c>
    </row>
    <row r="102">
      <c r="A102" s="5" t="n">
        <v>98</v>
      </c>
      <c r="B102" s="5" t="n">
        <v>0</v>
      </c>
      <c r="C102" s="6" t="n">
        <v>-0.2301473069597001</v>
      </c>
      <c r="D102" s="6" t="n">
        <v>-0.219976067215147</v>
      </c>
      <c r="E102" s="6" t="n">
        <v>-0.1339384518749317</v>
      </c>
      <c r="F102" s="6" t="n">
        <v>0.9185437189662378</v>
      </c>
      <c r="G102" s="5" t="n">
        <v>0</v>
      </c>
      <c r="H102" s="5" t="n">
        <v>1</v>
      </c>
      <c r="I102" s="5" t="n">
        <v>0</v>
      </c>
      <c r="J102" s="5" t="n">
        <v>0</v>
      </c>
      <c r="K102" s="5" t="n">
        <v>0</v>
      </c>
      <c r="L102" s="5" t="n">
        <v>0</v>
      </c>
      <c r="M102" s="5" t="n">
        <v>1</v>
      </c>
      <c r="N102" s="5" t="n">
        <v>0</v>
      </c>
      <c r="O102" s="5" t="n">
        <v>0</v>
      </c>
      <c r="P102" s="5" t="n">
        <v>0</v>
      </c>
      <c r="Q102" s="5" t="n">
        <v>0</v>
      </c>
      <c r="R102" s="5" t="n">
        <v>0</v>
      </c>
      <c r="S102" s="5" t="n">
        <v>0</v>
      </c>
      <c r="T102" s="5" t="n">
        <v>0</v>
      </c>
      <c r="U102" s="5" t="inlineStr">
        <is>
          <t>training</t>
        </is>
      </c>
      <c r="V102" s="5" t="n">
        <v>1</v>
      </c>
    </row>
    <row r="103">
      <c r="A103" s="5" t="n">
        <v>99</v>
      </c>
      <c r="B103" s="5" t="n">
        <v>0</v>
      </c>
      <c r="C103" s="6" t="n">
        <v>1.286513816310289</v>
      </c>
      <c r="D103" s="6" t="n">
        <v>-0.3196954986217139</v>
      </c>
      <c r="E103" s="6" t="n">
        <v>0.04000758952108359</v>
      </c>
      <c r="F103" s="6" t="n">
        <v>0.9185437189662378</v>
      </c>
      <c r="G103" s="5" t="n">
        <v>0</v>
      </c>
      <c r="H103" s="5" t="n">
        <v>1</v>
      </c>
      <c r="I103" s="5" t="n">
        <v>0</v>
      </c>
      <c r="J103" s="5" t="n">
        <v>1</v>
      </c>
      <c r="K103" s="5" t="n">
        <v>0</v>
      </c>
      <c r="L103" s="5" t="n">
        <v>0</v>
      </c>
      <c r="M103" s="5" t="n">
        <v>0</v>
      </c>
      <c r="N103" s="5" t="n">
        <v>0</v>
      </c>
      <c r="O103" s="5" t="n">
        <v>0</v>
      </c>
      <c r="P103" s="5" t="n">
        <v>0</v>
      </c>
      <c r="Q103" s="5" t="n">
        <v>0</v>
      </c>
      <c r="R103" s="5" t="n">
        <v>0</v>
      </c>
      <c r="S103" s="5" t="n">
        <v>1</v>
      </c>
      <c r="T103" s="5" t="n">
        <v>0</v>
      </c>
      <c r="U103" s="5" t="inlineStr">
        <is>
          <t>training</t>
        </is>
      </c>
      <c r="V103" s="5" t="n">
        <v>1</v>
      </c>
    </row>
    <row r="104">
      <c r="A104" s="5" t="n">
        <v>100</v>
      </c>
      <c r="B104" s="5" t="n">
        <v>0</v>
      </c>
      <c r="C104" s="6" t="n">
        <v>-0.06162940437414574</v>
      </c>
      <c r="D104" s="6" t="n">
        <v>1.331798242567746</v>
      </c>
      <c r="E104" s="6" t="n">
        <v>0.04000758952108359</v>
      </c>
      <c r="F104" s="6" t="n">
        <v>0.01674764143977723</v>
      </c>
      <c r="G104" s="5" t="n">
        <v>0</v>
      </c>
      <c r="H104" s="5" t="n">
        <v>1</v>
      </c>
      <c r="I104" s="5" t="n">
        <v>0</v>
      </c>
      <c r="J104" s="5" t="n">
        <v>0</v>
      </c>
      <c r="K104" s="5" t="n">
        <v>1</v>
      </c>
      <c r="L104" s="5" t="n">
        <v>0</v>
      </c>
      <c r="M104" s="5" t="n">
        <v>0</v>
      </c>
      <c r="N104" s="5" t="n">
        <v>0</v>
      </c>
      <c r="O104" s="5" t="n">
        <v>1</v>
      </c>
      <c r="P104" s="5" t="n">
        <v>1</v>
      </c>
      <c r="Q104" s="5" t="n">
        <v>0</v>
      </c>
      <c r="R104" s="5" t="n">
        <v>1</v>
      </c>
      <c r="S104" s="5" t="n">
        <v>0</v>
      </c>
      <c r="T104" s="5" t="n">
        <v>0</v>
      </c>
      <c r="U104" s="5" t="inlineStr">
        <is>
          <t>training</t>
        </is>
      </c>
      <c r="V104" s="5" t="n">
        <v>0</v>
      </c>
    </row>
    <row r="105">
      <c r="A105" s="5" t="n">
        <v>101</v>
      </c>
      <c r="B105" s="5" t="n">
        <v>0</v>
      </c>
      <c r="C105" s="6" t="n">
        <v>0.275406400796963</v>
      </c>
      <c r="D105" s="6" t="n">
        <v>-0.6234023984845214</v>
      </c>
      <c r="E105" s="6" t="n">
        <v>0.4748726930111218</v>
      </c>
      <c r="F105" s="6" t="n">
        <v>0.9185437189662378</v>
      </c>
      <c r="G105" s="5" t="n">
        <v>0</v>
      </c>
      <c r="H105" s="5" t="n">
        <v>0</v>
      </c>
      <c r="I105" s="5" t="n">
        <v>0</v>
      </c>
      <c r="J105" s="5" t="n">
        <v>0</v>
      </c>
      <c r="K105" s="5" t="n">
        <v>0</v>
      </c>
      <c r="L105" s="5" t="n">
        <v>0</v>
      </c>
      <c r="M105" s="5" t="n">
        <v>1</v>
      </c>
      <c r="N105" s="5" t="n">
        <v>0</v>
      </c>
      <c r="O105" s="5" t="n">
        <v>0</v>
      </c>
      <c r="P105" s="5" t="n">
        <v>1</v>
      </c>
      <c r="Q105" s="5" t="n">
        <v>0</v>
      </c>
      <c r="R105" s="5" t="n">
        <v>1</v>
      </c>
      <c r="S105" s="5" t="n">
        <v>0</v>
      </c>
      <c r="T105" s="5" t="n">
        <v>0</v>
      </c>
      <c r="U105" s="5" t="inlineStr">
        <is>
          <t>training</t>
        </is>
      </c>
      <c r="V105" s="5" t="n">
        <v>0</v>
      </c>
    </row>
    <row r="106">
      <c r="A106" s="5" t="n">
        <v>102</v>
      </c>
      <c r="B106" s="5" t="n">
        <v>0</v>
      </c>
      <c r="C106" s="6" t="n">
        <v>1.286513816310289</v>
      </c>
      <c r="D106" s="6" t="n">
        <v>-0.3245939970065979</v>
      </c>
      <c r="E106" s="6" t="n">
        <v>-1.003668658855008</v>
      </c>
      <c r="F106" s="6" t="n">
        <v>0.9185437189662378</v>
      </c>
      <c r="G106" s="5" t="n">
        <v>0</v>
      </c>
      <c r="H106" s="5" t="n">
        <v>1</v>
      </c>
      <c r="I106" s="5" t="n">
        <v>0</v>
      </c>
      <c r="J106" s="5" t="n">
        <v>0</v>
      </c>
      <c r="K106" s="5" t="n">
        <v>0</v>
      </c>
      <c r="L106" s="5" t="n">
        <v>0</v>
      </c>
      <c r="M106" s="5" t="n">
        <v>0</v>
      </c>
      <c r="N106" s="5" t="n">
        <v>0</v>
      </c>
      <c r="O106" s="5" t="n">
        <v>0</v>
      </c>
      <c r="P106" s="5" t="n">
        <v>1</v>
      </c>
      <c r="Q106" s="5" t="n">
        <v>0</v>
      </c>
      <c r="R106" s="5" t="n">
        <v>0</v>
      </c>
      <c r="S106" s="5" t="n">
        <v>1</v>
      </c>
      <c r="T106" s="5" t="n">
        <v>0</v>
      </c>
      <c r="U106" s="5" t="inlineStr">
        <is>
          <t>testing</t>
        </is>
      </c>
      <c r="V106" s="5" t="n">
        <v>0</v>
      </c>
    </row>
    <row r="107">
      <c r="A107" s="5" t="n">
        <v>103</v>
      </c>
      <c r="B107" s="5" t="n">
        <v>0</v>
      </c>
      <c r="C107" s="6" t="n">
        <v>-1.241254722473026</v>
      </c>
      <c r="D107" s="6" t="n">
        <v>-0.8112948008190002</v>
      </c>
      <c r="E107" s="6" t="n">
        <v>-1.003668658855008</v>
      </c>
      <c r="F107" s="6" t="n">
        <v>0.01674764143977723</v>
      </c>
      <c r="G107" s="5" t="n">
        <v>0</v>
      </c>
      <c r="H107" s="5" t="n">
        <v>0</v>
      </c>
      <c r="I107" s="5" t="n">
        <v>0</v>
      </c>
      <c r="J107" s="5" t="n">
        <v>0</v>
      </c>
      <c r="K107" s="5" t="n">
        <v>1</v>
      </c>
      <c r="L107" s="5" t="n">
        <v>0</v>
      </c>
      <c r="M107" s="5" t="n">
        <v>0</v>
      </c>
      <c r="N107" s="5" t="n">
        <v>0</v>
      </c>
      <c r="O107" s="5" t="n">
        <v>0</v>
      </c>
      <c r="P107" s="5" t="n">
        <v>0</v>
      </c>
      <c r="Q107" s="5" t="n">
        <v>0</v>
      </c>
      <c r="R107" s="5" t="n">
        <v>0</v>
      </c>
      <c r="S107" s="5" t="n">
        <v>1</v>
      </c>
      <c r="T107" s="5" t="n">
        <v>0</v>
      </c>
      <c r="U107" s="5" t="inlineStr">
        <is>
          <t>training</t>
        </is>
      </c>
      <c r="V107" s="5" t="n">
        <v>0</v>
      </c>
    </row>
    <row r="108">
      <c r="A108" s="5" t="n">
        <v>104</v>
      </c>
      <c r="B108" s="5" t="n">
        <v>0</v>
      </c>
      <c r="C108" s="6" t="n">
        <v>-0.9884778685946948</v>
      </c>
      <c r="D108" s="6" t="n">
        <v>-0.4659506646846788</v>
      </c>
      <c r="E108" s="6" t="n">
        <v>-0.04696543117692405</v>
      </c>
      <c r="F108" s="6" t="n">
        <v>0.9185437189662378</v>
      </c>
      <c r="G108" s="5" t="n">
        <v>0</v>
      </c>
      <c r="H108" s="5" t="n">
        <v>1</v>
      </c>
      <c r="I108" s="5" t="n">
        <v>0</v>
      </c>
      <c r="J108" s="5" t="n">
        <v>1</v>
      </c>
      <c r="K108" s="5" t="n">
        <v>0</v>
      </c>
      <c r="L108" s="5" t="n">
        <v>0</v>
      </c>
      <c r="M108" s="5" t="n">
        <v>0</v>
      </c>
      <c r="N108" s="5" t="n">
        <v>0</v>
      </c>
      <c r="O108" s="5" t="n">
        <v>0</v>
      </c>
      <c r="P108" s="5" t="n">
        <v>1</v>
      </c>
      <c r="Q108" s="5" t="n">
        <v>0</v>
      </c>
      <c r="R108" s="5" t="n">
        <v>0</v>
      </c>
      <c r="S108" s="5" t="n">
        <v>0</v>
      </c>
      <c r="T108" s="5" t="n">
        <v>1</v>
      </c>
      <c r="U108" s="5" t="inlineStr">
        <is>
          <t>training</t>
        </is>
      </c>
      <c r="V108" s="5" t="n">
        <v>0</v>
      </c>
    </row>
    <row r="109">
      <c r="A109" s="5" t="n">
        <v>105</v>
      </c>
      <c r="B109" s="5" t="n">
        <v>0</v>
      </c>
      <c r="C109" s="6" t="n">
        <v>-0.7357010147163632</v>
      </c>
      <c r="D109" s="6" t="n">
        <v>-0.2819070825097517</v>
      </c>
      <c r="E109" s="6" t="n">
        <v>-0.8297226174589928</v>
      </c>
      <c r="F109" s="6" t="n">
        <v>-0.8850484360866833</v>
      </c>
      <c r="G109" s="5" t="n">
        <v>0</v>
      </c>
      <c r="H109" s="5" t="n">
        <v>0</v>
      </c>
      <c r="I109" s="5" t="n">
        <v>0</v>
      </c>
      <c r="J109" s="5" t="n">
        <v>0</v>
      </c>
      <c r="K109" s="5" t="n">
        <v>0</v>
      </c>
      <c r="L109" s="5" t="n">
        <v>0</v>
      </c>
      <c r="M109" s="5" t="n">
        <v>0</v>
      </c>
      <c r="N109" s="5" t="n">
        <v>0</v>
      </c>
      <c r="O109" s="5" t="n">
        <v>1</v>
      </c>
      <c r="P109" s="5" t="n">
        <v>1</v>
      </c>
      <c r="Q109" s="5" t="n">
        <v>0</v>
      </c>
      <c r="R109" s="5" t="n">
        <v>1</v>
      </c>
      <c r="S109" s="5" t="n">
        <v>0</v>
      </c>
      <c r="T109" s="5" t="n">
        <v>0</v>
      </c>
      <c r="U109" s="5" t="inlineStr">
        <is>
          <t>training</t>
        </is>
      </c>
      <c r="V109" s="5" t="n">
        <v>1</v>
      </c>
    </row>
    <row r="110">
      <c r="A110" s="5" t="n">
        <v>106</v>
      </c>
      <c r="B110" s="5" t="n">
        <v>1</v>
      </c>
      <c r="C110" s="6" t="n">
        <v>0.275406400796963</v>
      </c>
      <c r="D110" s="6" t="n">
        <v>3.039624715183372</v>
      </c>
      <c r="E110" s="6" t="n">
        <v>0.3009266516151065</v>
      </c>
      <c r="F110" s="6" t="n">
        <v>-0.8850484360866833</v>
      </c>
      <c r="G110" s="5" t="n">
        <v>0</v>
      </c>
      <c r="H110" s="5" t="n">
        <v>1</v>
      </c>
      <c r="I110" s="5" t="n">
        <v>0</v>
      </c>
      <c r="J110" s="5" t="n">
        <v>1</v>
      </c>
      <c r="K110" s="5" t="n">
        <v>0</v>
      </c>
      <c r="L110" s="5" t="n">
        <v>0</v>
      </c>
      <c r="M110" s="5" t="n">
        <v>0</v>
      </c>
      <c r="N110" s="5" t="n">
        <v>0</v>
      </c>
      <c r="O110" s="5" t="n">
        <v>0</v>
      </c>
      <c r="P110" s="5" t="n">
        <v>0</v>
      </c>
      <c r="Q110" s="5" t="n">
        <v>0</v>
      </c>
      <c r="R110" s="5" t="n">
        <v>0</v>
      </c>
      <c r="S110" s="5" t="n">
        <v>0</v>
      </c>
      <c r="T110" s="5" t="n">
        <v>0</v>
      </c>
      <c r="U110" s="5" t="inlineStr">
        <is>
          <t>training</t>
        </is>
      </c>
      <c r="V110" s="5" t="n">
        <v>1</v>
      </c>
    </row>
    <row r="111">
      <c r="A111" s="5" t="n">
        <v>107</v>
      </c>
      <c r="B111" s="5" t="n">
        <v>1</v>
      </c>
      <c r="C111" s="6" t="n">
        <v>-0.2301473069597001</v>
      </c>
      <c r="D111" s="6" t="n">
        <v>1.122212490243067</v>
      </c>
      <c r="E111" s="6" t="n">
        <v>0.3009266516151065</v>
      </c>
      <c r="F111" s="6" t="n">
        <v>-0.8850484360866833</v>
      </c>
      <c r="G111" s="5" t="n">
        <v>0</v>
      </c>
      <c r="H111" s="5" t="n">
        <v>0</v>
      </c>
      <c r="I111" s="5" t="n">
        <v>0</v>
      </c>
      <c r="J111" s="5" t="n">
        <v>0</v>
      </c>
      <c r="K111" s="5" t="n">
        <v>0</v>
      </c>
      <c r="L111" s="5" t="n">
        <v>1</v>
      </c>
      <c r="M111" s="5" t="n">
        <v>0</v>
      </c>
      <c r="N111" s="5" t="n">
        <v>0</v>
      </c>
      <c r="O111" s="5" t="n">
        <v>0</v>
      </c>
      <c r="P111" s="5" t="n">
        <v>0</v>
      </c>
      <c r="Q111" s="5" t="n">
        <v>0</v>
      </c>
      <c r="R111" s="5" t="n">
        <v>1</v>
      </c>
      <c r="S111" s="5" t="n">
        <v>0</v>
      </c>
      <c r="T111" s="5" t="n">
        <v>0</v>
      </c>
      <c r="U111" s="5" t="inlineStr">
        <is>
          <t>training</t>
        </is>
      </c>
      <c r="V111" s="5" t="n">
        <v>1</v>
      </c>
    </row>
    <row r="112">
      <c r="A112" s="5" t="n">
        <v>108</v>
      </c>
      <c r="B112" s="5" t="n">
        <v>0</v>
      </c>
      <c r="C112" s="6" t="n">
        <v>-0.7357010147163632</v>
      </c>
      <c r="D112" s="6" t="n">
        <v>0.9892532483676441</v>
      </c>
      <c r="E112" s="6" t="n">
        <v>-0.307884493270947</v>
      </c>
      <c r="F112" s="6" t="n">
        <v>-0.8850484360866833</v>
      </c>
      <c r="G112" s="5" t="n">
        <v>0</v>
      </c>
      <c r="H112" s="5" t="n">
        <v>1</v>
      </c>
      <c r="I112" s="5" t="n">
        <v>0</v>
      </c>
      <c r="J112" s="5" t="n">
        <v>0</v>
      </c>
      <c r="K112" s="5" t="n">
        <v>0</v>
      </c>
      <c r="L112" s="5" t="n">
        <v>0</v>
      </c>
      <c r="M112" s="5" t="n">
        <v>0</v>
      </c>
      <c r="N112" s="5" t="n">
        <v>0</v>
      </c>
      <c r="O112" s="5" t="n">
        <v>0</v>
      </c>
      <c r="P112" s="5" t="n">
        <v>0</v>
      </c>
      <c r="Q112" s="5" t="n">
        <v>0</v>
      </c>
      <c r="R112" s="5" t="n">
        <v>1</v>
      </c>
      <c r="S112" s="5" t="n">
        <v>0</v>
      </c>
      <c r="T112" s="5" t="n">
        <v>0</v>
      </c>
      <c r="U112" s="5" t="inlineStr">
        <is>
          <t>testing</t>
        </is>
      </c>
      <c r="V112" s="5" t="n">
        <v>0</v>
      </c>
    </row>
    <row r="113">
      <c r="A113" s="5" t="n">
        <v>109</v>
      </c>
      <c r="B113" s="5" t="n">
        <v>0</v>
      </c>
      <c r="C113" s="6" t="n">
        <v>0.275406400796963</v>
      </c>
      <c r="D113" s="6" t="n">
        <v>1.564127023107958</v>
      </c>
      <c r="E113" s="6" t="n">
        <v>-0.4818305346669622</v>
      </c>
      <c r="F113" s="6" t="n">
        <v>-1.786844513613144</v>
      </c>
      <c r="G113" s="5" t="n">
        <v>1</v>
      </c>
      <c r="H113" s="5" t="n">
        <v>0</v>
      </c>
      <c r="I113" s="5" t="n">
        <v>0</v>
      </c>
      <c r="J113" s="5" t="n">
        <v>0</v>
      </c>
      <c r="K113" s="5" t="n">
        <v>0</v>
      </c>
      <c r="L113" s="5" t="n">
        <v>0</v>
      </c>
      <c r="M113" s="5" t="n">
        <v>0</v>
      </c>
      <c r="N113" s="5" t="n">
        <v>0</v>
      </c>
      <c r="O113" s="5" t="n">
        <v>1</v>
      </c>
      <c r="P113" s="5" t="n">
        <v>0</v>
      </c>
      <c r="Q113" s="5" t="n">
        <v>0</v>
      </c>
      <c r="R113" s="5" t="n">
        <v>0</v>
      </c>
      <c r="S113" s="5" t="n">
        <v>0</v>
      </c>
      <c r="T113" s="5" t="n">
        <v>1</v>
      </c>
      <c r="U113" s="5" t="inlineStr">
        <is>
          <t>training</t>
        </is>
      </c>
      <c r="V113" s="5" t="n">
        <v>0</v>
      </c>
    </row>
    <row r="114">
      <c r="A114" s="5" t="n">
        <v>110</v>
      </c>
      <c r="B114" s="5" t="n">
        <v>0</v>
      </c>
      <c r="C114" s="6" t="n">
        <v>-0.5671831121308089</v>
      </c>
      <c r="D114" s="6" t="n">
        <v>-0.6440460702493896</v>
      </c>
      <c r="E114" s="6" t="n">
        <v>-0.04696543117692405</v>
      </c>
      <c r="F114" s="6" t="n">
        <v>-1.786844513613144</v>
      </c>
      <c r="G114" s="5" t="n">
        <v>0</v>
      </c>
      <c r="H114" s="5" t="n">
        <v>1</v>
      </c>
      <c r="I114" s="5" t="n">
        <v>0</v>
      </c>
      <c r="J114" s="5" t="n">
        <v>0</v>
      </c>
      <c r="K114" s="5" t="n">
        <v>0</v>
      </c>
      <c r="L114" s="5" t="n">
        <v>0</v>
      </c>
      <c r="M114" s="5" t="n">
        <v>1</v>
      </c>
      <c r="N114" s="5" t="n">
        <v>0</v>
      </c>
      <c r="O114" s="5" t="n">
        <v>0</v>
      </c>
      <c r="P114" s="5" t="n">
        <v>0</v>
      </c>
      <c r="Q114" s="5" t="n">
        <v>0</v>
      </c>
      <c r="R114" s="5" t="n">
        <v>0</v>
      </c>
      <c r="S114" s="5" t="n">
        <v>0</v>
      </c>
      <c r="T114" s="5" t="n">
        <v>0</v>
      </c>
      <c r="U114" s="5" t="inlineStr">
        <is>
          <t>training</t>
        </is>
      </c>
      <c r="V114" s="5" t="n">
        <v>1</v>
      </c>
    </row>
    <row r="115">
      <c r="A115" s="5" t="n">
        <v>111</v>
      </c>
      <c r="B115" s="5" t="n">
        <v>0</v>
      </c>
      <c r="C115" s="6" t="n">
        <v>-1.241254722473026</v>
      </c>
      <c r="D115" s="6" t="n">
        <v>-0.63040025332007</v>
      </c>
      <c r="E115" s="6" t="n">
        <v>-0.3948575139689546</v>
      </c>
      <c r="F115" s="6" t="n">
        <v>-1.786844513613144</v>
      </c>
      <c r="G115" s="5" t="n">
        <v>0</v>
      </c>
      <c r="H115" s="5" t="n">
        <v>1</v>
      </c>
      <c r="I115" s="5" t="n">
        <v>0</v>
      </c>
      <c r="J115" s="5" t="n">
        <v>0</v>
      </c>
      <c r="K115" s="5" t="n">
        <v>1</v>
      </c>
      <c r="L115" s="5" t="n">
        <v>0</v>
      </c>
      <c r="M115" s="5" t="n">
        <v>1</v>
      </c>
      <c r="N115" s="5" t="n">
        <v>0</v>
      </c>
      <c r="O115" s="5" t="n">
        <v>0</v>
      </c>
      <c r="P115" s="5" t="n">
        <v>0</v>
      </c>
      <c r="Q115" s="5" t="n">
        <v>0</v>
      </c>
      <c r="R115" s="5" t="n">
        <v>0</v>
      </c>
      <c r="S115" s="5" t="n">
        <v>0</v>
      </c>
      <c r="T115" s="5" t="n">
        <v>0</v>
      </c>
      <c r="U115" s="5" t="inlineStr">
        <is>
          <t>training</t>
        </is>
      </c>
      <c r="V115" s="5" t="n">
        <v>0</v>
      </c>
    </row>
    <row r="116">
      <c r="A116" s="5" t="n">
        <v>112</v>
      </c>
      <c r="B116" s="5" t="n">
        <v>0</v>
      </c>
      <c r="C116" s="6" t="n">
        <v>-0.4829241608380317</v>
      </c>
      <c r="D116" s="6" t="n">
        <v>-1.000236881378811</v>
      </c>
      <c r="E116" s="6" t="n">
        <v>-1.090641679553016</v>
      </c>
      <c r="F116" s="6" t="n">
        <v>0.9185437189662378</v>
      </c>
      <c r="G116" s="5" t="n">
        <v>0</v>
      </c>
      <c r="H116" s="5" t="n">
        <v>0</v>
      </c>
      <c r="I116" s="5" t="n">
        <v>1</v>
      </c>
      <c r="J116" s="5" t="n">
        <v>0</v>
      </c>
      <c r="K116" s="5" t="n">
        <v>0</v>
      </c>
      <c r="L116" s="5" t="n">
        <v>0</v>
      </c>
      <c r="M116" s="5" t="n">
        <v>0</v>
      </c>
      <c r="N116" s="5" t="n">
        <v>0</v>
      </c>
      <c r="O116" s="5" t="n">
        <v>0</v>
      </c>
      <c r="P116" s="5" t="n">
        <v>1</v>
      </c>
      <c r="Q116" s="5" t="n">
        <v>0</v>
      </c>
      <c r="R116" s="5" t="n">
        <v>0</v>
      </c>
      <c r="S116" s="5" t="n">
        <v>0</v>
      </c>
      <c r="T116" s="5" t="n">
        <v>0</v>
      </c>
      <c r="U116" s="5" t="inlineStr">
        <is>
          <t>testing</t>
        </is>
      </c>
      <c r="V116" s="5" t="n">
        <v>0</v>
      </c>
    </row>
    <row r="117">
      <c r="A117" s="5" t="n">
        <v>113</v>
      </c>
      <c r="B117" s="5" t="n">
        <v>0</v>
      </c>
      <c r="C117" s="6" t="n">
        <v>-0.2301473069597001</v>
      </c>
      <c r="D117" s="6" t="n">
        <v>1.052933727371136</v>
      </c>
      <c r="E117" s="6" t="n">
        <v>-0.6557765760629775</v>
      </c>
      <c r="F117" s="6" t="n">
        <v>0.01674764143977723</v>
      </c>
      <c r="G117" s="5" t="n">
        <v>0</v>
      </c>
      <c r="H117" s="5" t="n">
        <v>1</v>
      </c>
      <c r="I117" s="5" t="n">
        <v>0</v>
      </c>
      <c r="J117" s="5" t="n">
        <v>0</v>
      </c>
      <c r="K117" s="5" t="n">
        <v>0</v>
      </c>
      <c r="L117" s="5" t="n">
        <v>0</v>
      </c>
      <c r="M117" s="5" t="n">
        <v>0</v>
      </c>
      <c r="N117" s="5" t="n">
        <v>0</v>
      </c>
      <c r="O117" s="5" t="n">
        <v>0</v>
      </c>
      <c r="P117" s="5" t="n">
        <v>1</v>
      </c>
      <c r="Q117" s="5" t="n">
        <v>0</v>
      </c>
      <c r="R117" s="5" t="n">
        <v>1</v>
      </c>
      <c r="S117" s="5" t="n">
        <v>0</v>
      </c>
      <c r="T117" s="5" t="n">
        <v>0</v>
      </c>
      <c r="U117" s="5" t="inlineStr">
        <is>
          <t>training</t>
        </is>
      </c>
      <c r="V117" s="5" t="n">
        <v>0</v>
      </c>
    </row>
    <row r="118">
      <c r="A118" s="5" t="n">
        <v>114</v>
      </c>
      <c r="B118" s="5" t="n">
        <v>1</v>
      </c>
      <c r="C118" s="6" t="n">
        <v>1.286513816310289</v>
      </c>
      <c r="D118" s="6" t="n">
        <v>1.611012650506134</v>
      </c>
      <c r="E118" s="6" t="n">
        <v>-0.9166956381570004</v>
      </c>
      <c r="F118" s="6" t="n">
        <v>0.9185437189662378</v>
      </c>
      <c r="G118" s="5" t="n">
        <v>0</v>
      </c>
      <c r="H118" s="5" t="n">
        <v>0</v>
      </c>
      <c r="I118" s="5" t="n">
        <v>0</v>
      </c>
      <c r="J118" s="5" t="n">
        <v>1</v>
      </c>
      <c r="K118" s="5" t="n">
        <v>0</v>
      </c>
      <c r="L118" s="5" t="n">
        <v>0</v>
      </c>
      <c r="M118" s="5" t="n">
        <v>0</v>
      </c>
      <c r="N118" s="5" t="n">
        <v>0</v>
      </c>
      <c r="O118" s="5" t="n">
        <v>0</v>
      </c>
      <c r="P118" s="5" t="n">
        <v>0</v>
      </c>
      <c r="Q118" s="5" t="n">
        <v>0</v>
      </c>
      <c r="R118" s="5" t="n">
        <v>1</v>
      </c>
      <c r="S118" s="5" t="n">
        <v>0</v>
      </c>
      <c r="T118" s="5" t="n">
        <v>0</v>
      </c>
      <c r="U118" s="5" t="inlineStr">
        <is>
          <t>training</t>
        </is>
      </c>
      <c r="V118" s="5" t="n">
        <v>1</v>
      </c>
    </row>
    <row r="119">
      <c r="A119" s="5" t="n">
        <v>115</v>
      </c>
      <c r="B119" s="5" t="n">
        <v>0</v>
      </c>
      <c r="C119" s="6" t="n">
        <v>-0.7357010147163632</v>
      </c>
      <c r="D119" s="6" t="n">
        <v>-0.5495750299694842</v>
      </c>
      <c r="E119" s="6" t="n">
        <v>-0.04696543117692405</v>
      </c>
      <c r="F119" s="6" t="n">
        <v>0.01674764143977723</v>
      </c>
      <c r="G119" s="5" t="n">
        <v>1</v>
      </c>
      <c r="H119" s="5" t="n">
        <v>0</v>
      </c>
      <c r="I119" s="5" t="n">
        <v>0</v>
      </c>
      <c r="J119" s="5" t="n">
        <v>0</v>
      </c>
      <c r="K119" s="5" t="n">
        <v>0</v>
      </c>
      <c r="L119" s="5" t="n">
        <v>0</v>
      </c>
      <c r="M119" s="5" t="n">
        <v>1</v>
      </c>
      <c r="N119" s="5" t="n">
        <v>0</v>
      </c>
      <c r="O119" s="5" t="n">
        <v>0</v>
      </c>
      <c r="P119" s="5" t="n">
        <v>0</v>
      </c>
      <c r="Q119" s="5" t="n">
        <v>0</v>
      </c>
      <c r="R119" s="5" t="n">
        <v>0</v>
      </c>
      <c r="S119" s="5" t="n">
        <v>1</v>
      </c>
      <c r="T119" s="5" t="n">
        <v>0</v>
      </c>
      <c r="U119" s="5" t="inlineStr">
        <is>
          <t>training</t>
        </is>
      </c>
      <c r="V119" s="5" t="n">
        <v>0</v>
      </c>
    </row>
    <row r="120">
      <c r="A120" s="5" t="n">
        <v>116</v>
      </c>
      <c r="B120" s="5" t="n">
        <v>0</v>
      </c>
      <c r="C120" s="6" t="n">
        <v>2.297621231823615</v>
      </c>
      <c r="D120" s="6" t="n">
        <v>0.1145213939240741</v>
      </c>
      <c r="E120" s="6" t="n">
        <v>0.9967108171991675</v>
      </c>
      <c r="F120" s="6" t="n">
        <v>0.9185437189662378</v>
      </c>
      <c r="G120" s="5" t="n">
        <v>0</v>
      </c>
      <c r="H120" s="5" t="n">
        <v>0</v>
      </c>
      <c r="I120" s="5" t="n">
        <v>0</v>
      </c>
      <c r="J120" s="5" t="n">
        <v>1</v>
      </c>
      <c r="K120" s="5" t="n">
        <v>0</v>
      </c>
      <c r="L120" s="5" t="n">
        <v>0</v>
      </c>
      <c r="M120" s="5" t="n">
        <v>0</v>
      </c>
      <c r="N120" s="5" t="n">
        <v>0</v>
      </c>
      <c r="O120" s="5" t="n">
        <v>1</v>
      </c>
      <c r="P120" s="5" t="n">
        <v>0</v>
      </c>
      <c r="Q120" s="5" t="n">
        <v>0</v>
      </c>
      <c r="R120" s="5" t="n">
        <v>0</v>
      </c>
      <c r="S120" s="5" t="n">
        <v>1</v>
      </c>
      <c r="T120" s="5" t="n">
        <v>0</v>
      </c>
      <c r="U120" s="5" t="inlineStr">
        <is>
          <t>training</t>
        </is>
      </c>
      <c r="V120" s="5" t="n">
        <v>0</v>
      </c>
    </row>
    <row r="121">
      <c r="A121" s="5" t="n">
        <v>117</v>
      </c>
      <c r="B121" s="5" t="n">
        <v>1</v>
      </c>
      <c r="C121" s="6" t="n">
        <v>1.792067524066952</v>
      </c>
      <c r="D121" s="6" t="n">
        <v>1.372735693355705</v>
      </c>
      <c r="E121" s="6" t="n">
        <v>-0.4818305346669622</v>
      </c>
      <c r="F121" s="6" t="n">
        <v>0.9185437189662378</v>
      </c>
      <c r="G121" s="5" t="n">
        <v>1</v>
      </c>
      <c r="H121" s="5" t="n">
        <v>0</v>
      </c>
      <c r="I121" s="5" t="n">
        <v>0</v>
      </c>
      <c r="J121" s="5" t="n">
        <v>0</v>
      </c>
      <c r="K121" s="5" t="n">
        <v>0</v>
      </c>
      <c r="L121" s="5" t="n">
        <v>0</v>
      </c>
      <c r="M121" s="5" t="n">
        <v>0</v>
      </c>
      <c r="N121" s="5" t="n">
        <v>0</v>
      </c>
      <c r="O121" s="5" t="n">
        <v>1</v>
      </c>
      <c r="P121" s="5" t="n">
        <v>0</v>
      </c>
      <c r="Q121" s="5" t="n">
        <v>0</v>
      </c>
      <c r="R121" s="5" t="n">
        <v>0</v>
      </c>
      <c r="S121" s="5" t="n">
        <v>1</v>
      </c>
      <c r="T121" s="5" t="n">
        <v>0</v>
      </c>
      <c r="U121" s="5" t="inlineStr">
        <is>
          <t>testing</t>
        </is>
      </c>
      <c r="V121" s="5" t="n">
        <v>0</v>
      </c>
    </row>
    <row r="122">
      <c r="A122" s="5" t="n">
        <v>118</v>
      </c>
      <c r="B122" s="5" t="n">
        <v>0</v>
      </c>
      <c r="C122" s="6" t="n">
        <v>-0.9042189173019176</v>
      </c>
      <c r="D122" s="6" t="n">
        <v>-0.3914235106860867</v>
      </c>
      <c r="E122" s="6" t="n">
        <v>-0.7427495967609852</v>
      </c>
      <c r="F122" s="6" t="n">
        <v>-0.8850484360866833</v>
      </c>
      <c r="G122" s="5" t="n">
        <v>1</v>
      </c>
      <c r="H122" s="5" t="n">
        <v>0</v>
      </c>
      <c r="I122" s="5" t="n">
        <v>0</v>
      </c>
      <c r="J122" s="5" t="n">
        <v>1</v>
      </c>
      <c r="K122" s="5" t="n">
        <v>0</v>
      </c>
      <c r="L122" s="5" t="n">
        <v>0</v>
      </c>
      <c r="M122" s="5" t="n">
        <v>0</v>
      </c>
      <c r="N122" s="5" t="n">
        <v>0</v>
      </c>
      <c r="O122" s="5" t="n">
        <v>1</v>
      </c>
      <c r="P122" s="5" t="n">
        <v>1</v>
      </c>
      <c r="Q122" s="5" t="n">
        <v>0</v>
      </c>
      <c r="R122" s="5" t="n">
        <v>0</v>
      </c>
      <c r="S122" s="5" t="n">
        <v>0</v>
      </c>
      <c r="T122" s="5" t="n">
        <v>1</v>
      </c>
      <c r="U122" s="5" t="inlineStr">
        <is>
          <t>testing</t>
        </is>
      </c>
      <c r="V122" s="5" t="n">
        <v>0</v>
      </c>
    </row>
    <row r="123">
      <c r="A123" s="5" t="n">
        <v>119</v>
      </c>
      <c r="B123" s="5" t="n">
        <v>1</v>
      </c>
      <c r="C123" s="6" t="n">
        <v>1.033736962431958</v>
      </c>
      <c r="D123" s="6" t="n">
        <v>0.360495991393606</v>
      </c>
      <c r="E123" s="6" t="n">
        <v>-1.090641679553016</v>
      </c>
      <c r="F123" s="6" t="n">
        <v>-1.786844513613144</v>
      </c>
      <c r="G123" s="5" t="n">
        <v>1</v>
      </c>
      <c r="H123" s="5" t="n">
        <v>0</v>
      </c>
      <c r="I123" s="5" t="n">
        <v>0</v>
      </c>
      <c r="J123" s="5" t="n">
        <v>1</v>
      </c>
      <c r="K123" s="5" t="n">
        <v>0</v>
      </c>
      <c r="L123" s="5" t="n">
        <v>0</v>
      </c>
      <c r="M123" s="5" t="n">
        <v>1</v>
      </c>
      <c r="N123" s="5" t="n">
        <v>0</v>
      </c>
      <c r="O123" s="5" t="n">
        <v>0</v>
      </c>
      <c r="P123" s="5" t="n">
        <v>0</v>
      </c>
      <c r="Q123" s="5" t="n">
        <v>0</v>
      </c>
      <c r="R123" s="5" t="n">
        <v>0</v>
      </c>
      <c r="S123" s="5" t="n">
        <v>0</v>
      </c>
      <c r="T123" s="5" t="n">
        <v>1</v>
      </c>
      <c r="U123" s="5" t="inlineStr">
        <is>
          <t>training</t>
        </is>
      </c>
      <c r="V123" s="5" t="n">
        <v>1</v>
      </c>
    </row>
    <row r="124">
      <c r="A124" s="5" t="n">
        <v>120</v>
      </c>
      <c r="B124" s="5" t="n">
        <v>0</v>
      </c>
      <c r="C124" s="6" t="n">
        <v>-0.7357010147163632</v>
      </c>
      <c r="D124" s="6" t="n">
        <v>-0.3095486091101685</v>
      </c>
      <c r="E124" s="6" t="n">
        <v>0.04000758952108359</v>
      </c>
      <c r="F124" s="6" t="n">
        <v>0.01674764143977723</v>
      </c>
      <c r="G124" s="5" t="n">
        <v>0</v>
      </c>
      <c r="H124" s="5" t="n">
        <v>1</v>
      </c>
      <c r="I124" s="5" t="n">
        <v>0</v>
      </c>
      <c r="J124" s="5" t="n">
        <v>1</v>
      </c>
      <c r="K124" s="5" t="n">
        <v>0</v>
      </c>
      <c r="L124" s="5" t="n">
        <v>0</v>
      </c>
      <c r="M124" s="5" t="n">
        <v>1</v>
      </c>
      <c r="N124" s="5" t="n">
        <v>0</v>
      </c>
      <c r="O124" s="5" t="n">
        <v>0</v>
      </c>
      <c r="P124" s="5" t="n">
        <v>0</v>
      </c>
      <c r="Q124" s="5" t="n">
        <v>0</v>
      </c>
      <c r="R124" s="5" t="n">
        <v>1</v>
      </c>
      <c r="S124" s="5" t="n">
        <v>0</v>
      </c>
      <c r="T124" s="5" t="n">
        <v>0</v>
      </c>
      <c r="U124" s="5" t="inlineStr">
        <is>
          <t>training</t>
        </is>
      </c>
      <c r="V124" s="5" t="n">
        <v>0</v>
      </c>
    </row>
    <row r="125">
      <c r="A125" s="5" t="n">
        <v>121</v>
      </c>
      <c r="B125" s="5" t="n">
        <v>1</v>
      </c>
      <c r="C125" s="6" t="n">
        <v>0.02262954691863145</v>
      </c>
      <c r="D125" s="6" t="n">
        <v>-0.4953416549939827</v>
      </c>
      <c r="E125" s="6" t="n">
        <v>-0.9166956381570004</v>
      </c>
      <c r="F125" s="6" t="n">
        <v>0.01674764143977723</v>
      </c>
      <c r="G125" s="5" t="n">
        <v>1</v>
      </c>
      <c r="H125" s="5" t="n">
        <v>0</v>
      </c>
      <c r="I125" s="5" t="n">
        <v>0</v>
      </c>
      <c r="J125" s="5" t="n">
        <v>0</v>
      </c>
      <c r="K125" s="5" t="n">
        <v>0</v>
      </c>
      <c r="L125" s="5" t="n">
        <v>0</v>
      </c>
      <c r="M125" s="5" t="n">
        <v>0</v>
      </c>
      <c r="N125" s="5" t="n">
        <v>0</v>
      </c>
      <c r="O125" s="5" t="n">
        <v>0</v>
      </c>
      <c r="P125" s="5" t="n">
        <v>0</v>
      </c>
      <c r="Q125" s="5" t="n">
        <v>0</v>
      </c>
      <c r="R125" s="5" t="n">
        <v>0</v>
      </c>
      <c r="S125" s="5" t="n">
        <v>1</v>
      </c>
      <c r="T125" s="5" t="n">
        <v>0</v>
      </c>
      <c r="U125" s="5" t="inlineStr">
        <is>
          <t>training</t>
        </is>
      </c>
      <c r="V125" s="5" t="n">
        <v>1</v>
      </c>
    </row>
    <row r="126">
      <c r="A126" s="5" t="n">
        <v>122</v>
      </c>
      <c r="B126" s="5" t="n">
        <v>0</v>
      </c>
      <c r="C126" s="6" t="n">
        <v>0.275406400796963</v>
      </c>
      <c r="D126" s="6" t="n">
        <v>0.2159902890395282</v>
      </c>
      <c r="E126" s="6" t="n">
        <v>0.4748726930111218</v>
      </c>
      <c r="F126" s="6" t="n">
        <v>0.9185437189662378</v>
      </c>
      <c r="G126" s="5" t="n">
        <v>0</v>
      </c>
      <c r="H126" s="5" t="n">
        <v>0</v>
      </c>
      <c r="I126" s="5" t="n">
        <v>0</v>
      </c>
      <c r="J126" s="5" t="n">
        <v>1</v>
      </c>
      <c r="K126" s="5" t="n">
        <v>0</v>
      </c>
      <c r="L126" s="5" t="n">
        <v>0</v>
      </c>
      <c r="M126" s="5" t="n">
        <v>0</v>
      </c>
      <c r="N126" s="5" t="n">
        <v>0</v>
      </c>
      <c r="O126" s="5" t="n">
        <v>0</v>
      </c>
      <c r="P126" s="5" t="n">
        <v>1</v>
      </c>
      <c r="Q126" s="5" t="n">
        <v>0</v>
      </c>
      <c r="R126" s="5" t="n">
        <v>1</v>
      </c>
      <c r="S126" s="5" t="n">
        <v>0</v>
      </c>
      <c r="T126" s="5" t="n">
        <v>0</v>
      </c>
      <c r="U126" s="5" t="inlineStr">
        <is>
          <t>training</t>
        </is>
      </c>
      <c r="V126" s="5" t="n">
        <v>0</v>
      </c>
    </row>
    <row r="127">
      <c r="A127" s="5" t="n">
        <v>123</v>
      </c>
      <c r="B127" s="5" t="n">
        <v>0</v>
      </c>
      <c r="C127" s="6" t="n">
        <v>-0.7357010147163632</v>
      </c>
      <c r="D127" s="6" t="n">
        <v>-0.5187844686930705</v>
      </c>
      <c r="E127" s="6" t="n">
        <v>-1.003668658855008</v>
      </c>
      <c r="F127" s="6" t="n">
        <v>0.01674764143977723</v>
      </c>
      <c r="G127" s="5" t="n">
        <v>0</v>
      </c>
      <c r="H127" s="5" t="n">
        <v>0</v>
      </c>
      <c r="I127" s="5" t="n">
        <v>0</v>
      </c>
      <c r="J127" s="5" t="n">
        <v>0</v>
      </c>
      <c r="K127" s="5" t="n">
        <v>0</v>
      </c>
      <c r="L127" s="5" t="n">
        <v>0</v>
      </c>
      <c r="M127" s="5" t="n">
        <v>0</v>
      </c>
      <c r="N127" s="5" t="n">
        <v>0</v>
      </c>
      <c r="O127" s="5" t="n">
        <v>0</v>
      </c>
      <c r="P127" s="5" t="n">
        <v>1</v>
      </c>
      <c r="Q127" s="5" t="n">
        <v>0</v>
      </c>
      <c r="R127" s="5" t="n">
        <v>0</v>
      </c>
      <c r="S127" s="5" t="n">
        <v>0</v>
      </c>
      <c r="T127" s="5" t="n">
        <v>1</v>
      </c>
      <c r="U127" s="5" t="inlineStr">
        <is>
          <t>training</t>
        </is>
      </c>
      <c r="V127" s="5" t="n">
        <v>1</v>
      </c>
    </row>
    <row r="128">
      <c r="A128" s="5" t="n">
        <v>124</v>
      </c>
      <c r="B128" s="5" t="n">
        <v>0</v>
      </c>
      <c r="C128" s="6" t="n">
        <v>-0.9042189173019176</v>
      </c>
      <c r="D128" s="6" t="n">
        <v>-0.8641286048273918</v>
      </c>
      <c r="E128" s="6" t="n">
        <v>2.38827914836729</v>
      </c>
      <c r="F128" s="6" t="n">
        <v>0.9185437189662378</v>
      </c>
      <c r="G128" s="5" t="n">
        <v>0</v>
      </c>
      <c r="H128" s="5" t="n">
        <v>0</v>
      </c>
      <c r="I128" s="5" t="n">
        <v>1</v>
      </c>
      <c r="J128" s="5" t="n">
        <v>1</v>
      </c>
      <c r="K128" s="5" t="n">
        <v>0</v>
      </c>
      <c r="L128" s="5" t="n">
        <v>0</v>
      </c>
      <c r="M128" s="5" t="n">
        <v>0</v>
      </c>
      <c r="N128" s="5" t="n">
        <v>0</v>
      </c>
      <c r="O128" s="5" t="n">
        <v>0</v>
      </c>
      <c r="P128" s="5" t="n">
        <v>0</v>
      </c>
      <c r="Q128" s="5" t="n">
        <v>1</v>
      </c>
      <c r="R128" s="5" t="n">
        <v>1</v>
      </c>
      <c r="S128" s="5" t="n">
        <v>0</v>
      </c>
      <c r="T128" s="5" t="n">
        <v>0</v>
      </c>
      <c r="U128" s="5" t="inlineStr">
        <is>
          <t>training</t>
        </is>
      </c>
      <c r="V128" s="5" t="n">
        <v>0</v>
      </c>
    </row>
    <row r="129">
      <c r="A129" s="5" t="n">
        <v>125</v>
      </c>
      <c r="B129" s="5" t="n">
        <v>1</v>
      </c>
      <c r="C129" s="6" t="n">
        <v>-0.2301473069597001</v>
      </c>
      <c r="D129" s="6" t="n">
        <v>-0.4642012009757917</v>
      </c>
      <c r="E129" s="6" t="n">
        <v>-0.7427495967609852</v>
      </c>
      <c r="F129" s="6" t="n">
        <v>0.9185437189662378</v>
      </c>
      <c r="G129" s="5" t="n">
        <v>0</v>
      </c>
      <c r="H129" s="5" t="n">
        <v>1</v>
      </c>
      <c r="I129" s="5" t="n">
        <v>0</v>
      </c>
      <c r="J129" s="5" t="n">
        <v>0</v>
      </c>
      <c r="K129" s="5" t="n">
        <v>0</v>
      </c>
      <c r="L129" s="5" t="n">
        <v>0</v>
      </c>
      <c r="M129" s="5" t="n">
        <v>0</v>
      </c>
      <c r="N129" s="5" t="n">
        <v>0</v>
      </c>
      <c r="O129" s="5" t="n">
        <v>1</v>
      </c>
      <c r="P129" s="5" t="n">
        <v>1</v>
      </c>
      <c r="Q129" s="5" t="n">
        <v>0</v>
      </c>
      <c r="R129" s="5" t="n">
        <v>0</v>
      </c>
      <c r="S129" s="5" t="n">
        <v>0</v>
      </c>
      <c r="T129" s="5" t="n">
        <v>1</v>
      </c>
      <c r="U129" s="5" t="inlineStr">
        <is>
          <t>training</t>
        </is>
      </c>
      <c r="V129" s="5" t="n">
        <v>1</v>
      </c>
    </row>
    <row r="130">
      <c r="A130" s="5" t="n">
        <v>126</v>
      </c>
      <c r="B130" s="5" t="n">
        <v>0</v>
      </c>
      <c r="C130" s="6" t="n">
        <v>-0.7357010147163632</v>
      </c>
      <c r="D130" s="6" t="n">
        <v>-0.3952723308456384</v>
      </c>
      <c r="E130" s="6" t="n">
        <v>-0.4818305346669622</v>
      </c>
      <c r="F130" s="6" t="n">
        <v>0.9185437189662378</v>
      </c>
      <c r="G130" s="5" t="n">
        <v>1</v>
      </c>
      <c r="H130" s="5" t="n">
        <v>0</v>
      </c>
      <c r="I130" s="5" t="n">
        <v>0</v>
      </c>
      <c r="J130" s="5" t="n">
        <v>1</v>
      </c>
      <c r="K130" s="5" t="n">
        <v>0</v>
      </c>
      <c r="L130" s="5" t="n">
        <v>0</v>
      </c>
      <c r="M130" s="5" t="n">
        <v>0</v>
      </c>
      <c r="N130" s="5" t="n">
        <v>0</v>
      </c>
      <c r="O130" s="5" t="n">
        <v>0</v>
      </c>
      <c r="P130" s="5" t="n">
        <v>0</v>
      </c>
      <c r="Q130" s="5" t="n">
        <v>0</v>
      </c>
      <c r="R130" s="5" t="n">
        <v>1</v>
      </c>
      <c r="S130" s="5" t="n">
        <v>0</v>
      </c>
      <c r="T130" s="5" t="n">
        <v>0</v>
      </c>
      <c r="U130" s="5" t="inlineStr">
        <is>
          <t>training</t>
        </is>
      </c>
      <c r="V130" s="5" t="n">
        <v>1</v>
      </c>
    </row>
    <row r="131">
      <c r="A131" s="5" t="n">
        <v>127</v>
      </c>
      <c r="B131" s="5" t="n">
        <v>0</v>
      </c>
      <c r="C131" s="6" t="n">
        <v>-0.7357010147163632</v>
      </c>
      <c r="D131" s="6" t="n">
        <v>-0.892120024169586</v>
      </c>
      <c r="E131" s="6" t="n">
        <v>0.3878996723131141</v>
      </c>
      <c r="F131" s="6" t="n">
        <v>0.9185437189662378</v>
      </c>
      <c r="G131" s="5" t="n">
        <v>1</v>
      </c>
      <c r="H131" s="5" t="n">
        <v>0</v>
      </c>
      <c r="I131" s="5" t="n">
        <v>0</v>
      </c>
      <c r="J131" s="5" t="n">
        <v>0</v>
      </c>
      <c r="K131" s="5" t="n">
        <v>0</v>
      </c>
      <c r="L131" s="5" t="n">
        <v>0</v>
      </c>
      <c r="M131" s="5" t="n">
        <v>0</v>
      </c>
      <c r="N131" s="5" t="n">
        <v>0</v>
      </c>
      <c r="O131" s="5" t="n">
        <v>0</v>
      </c>
      <c r="P131" s="5" t="n">
        <v>0</v>
      </c>
      <c r="Q131" s="5" t="n">
        <v>0</v>
      </c>
      <c r="R131" s="5" t="n">
        <v>0</v>
      </c>
      <c r="S131" s="5" t="n">
        <v>1</v>
      </c>
      <c r="T131" s="5" t="n">
        <v>0</v>
      </c>
      <c r="U131" s="5" t="inlineStr">
        <is>
          <t>training</t>
        </is>
      </c>
      <c r="V131" s="5" t="n">
        <v>0</v>
      </c>
    </row>
    <row r="132">
      <c r="A132" s="5" t="n">
        <v>128</v>
      </c>
      <c r="B132" s="5" t="n">
        <v>1</v>
      </c>
      <c r="C132" s="6" t="n">
        <v>-0.7357010147163632</v>
      </c>
      <c r="D132" s="6" t="n">
        <v>-0.9138133741597866</v>
      </c>
      <c r="E132" s="6" t="n">
        <v>-0.4818305346669622</v>
      </c>
      <c r="F132" s="6" t="n">
        <v>0.9185437189662378</v>
      </c>
      <c r="G132" s="5" t="n">
        <v>0</v>
      </c>
      <c r="H132" s="5" t="n">
        <v>1</v>
      </c>
      <c r="I132" s="5" t="n">
        <v>0</v>
      </c>
      <c r="J132" s="5" t="n">
        <v>0</v>
      </c>
      <c r="K132" s="5" t="n">
        <v>0</v>
      </c>
      <c r="L132" s="5" t="n">
        <v>0</v>
      </c>
      <c r="M132" s="5" t="n">
        <v>0</v>
      </c>
      <c r="N132" s="5" t="n">
        <v>0</v>
      </c>
      <c r="O132" s="5" t="n">
        <v>0</v>
      </c>
      <c r="P132" s="5" t="n">
        <v>0</v>
      </c>
      <c r="Q132" s="5" t="n">
        <v>0</v>
      </c>
      <c r="R132" s="5" t="n">
        <v>0</v>
      </c>
      <c r="S132" s="5" t="n">
        <v>0</v>
      </c>
      <c r="T132" s="5" t="n">
        <v>0</v>
      </c>
      <c r="U132" s="5" t="inlineStr">
        <is>
          <t>training</t>
        </is>
      </c>
      <c r="V132" s="5" t="n">
        <v>1</v>
      </c>
    </row>
    <row r="133">
      <c r="A133" s="5" t="n">
        <v>129</v>
      </c>
      <c r="B133" s="5" t="n">
        <v>0</v>
      </c>
      <c r="C133" s="6" t="n">
        <v>-0.7357010147163632</v>
      </c>
      <c r="D133" s="6" t="n">
        <v>-0.4865943364495471</v>
      </c>
      <c r="E133" s="6" t="n">
        <v>-0.1339384518749317</v>
      </c>
      <c r="F133" s="6" t="n">
        <v>0.9185437189662378</v>
      </c>
      <c r="G133" s="5" t="n">
        <v>0</v>
      </c>
      <c r="H133" s="5" t="n">
        <v>1</v>
      </c>
      <c r="I133" s="5" t="n">
        <v>0</v>
      </c>
      <c r="J133" s="5" t="n">
        <v>1</v>
      </c>
      <c r="K133" s="5" t="n">
        <v>0</v>
      </c>
      <c r="L133" s="5" t="n">
        <v>0</v>
      </c>
      <c r="M133" s="5" t="n">
        <v>0</v>
      </c>
      <c r="N133" s="5" t="n">
        <v>0</v>
      </c>
      <c r="O133" s="5" t="n">
        <v>0</v>
      </c>
      <c r="P133" s="5" t="n">
        <v>0</v>
      </c>
      <c r="Q133" s="5" t="n">
        <v>0</v>
      </c>
      <c r="R133" s="5" t="n">
        <v>1</v>
      </c>
      <c r="S133" s="5" t="n">
        <v>0</v>
      </c>
      <c r="T133" s="5" t="n">
        <v>0</v>
      </c>
      <c r="U133" s="5" t="inlineStr">
        <is>
          <t>testing</t>
        </is>
      </c>
      <c r="V133" s="5" t="n">
        <v>0</v>
      </c>
    </row>
    <row r="134">
      <c r="A134" s="5" t="n">
        <v>130</v>
      </c>
      <c r="B134" s="5" t="n">
        <v>1</v>
      </c>
      <c r="C134" s="6" t="n">
        <v>-0.7357010147163632</v>
      </c>
      <c r="D134" s="6" t="n">
        <v>0.08687986732365734</v>
      </c>
      <c r="E134" s="6" t="n">
        <v>-0.5688035553649698</v>
      </c>
      <c r="F134" s="6" t="n">
        <v>0.01674764143977723</v>
      </c>
      <c r="G134" s="5" t="n">
        <v>1</v>
      </c>
      <c r="H134" s="5" t="n">
        <v>0</v>
      </c>
      <c r="I134" s="5" t="n">
        <v>0</v>
      </c>
      <c r="J134" s="5" t="n">
        <v>1</v>
      </c>
      <c r="K134" s="5" t="n">
        <v>0</v>
      </c>
      <c r="L134" s="5" t="n">
        <v>0</v>
      </c>
      <c r="M134" s="5" t="n">
        <v>0</v>
      </c>
      <c r="N134" s="5" t="n">
        <v>0</v>
      </c>
      <c r="O134" s="5" t="n">
        <v>0</v>
      </c>
      <c r="P134" s="5" t="n">
        <v>0</v>
      </c>
      <c r="Q134" s="5" t="n">
        <v>0</v>
      </c>
      <c r="R134" s="5" t="n">
        <v>1</v>
      </c>
      <c r="S134" s="5" t="n">
        <v>0</v>
      </c>
      <c r="T134" s="5" t="n">
        <v>0</v>
      </c>
      <c r="U134" s="5" t="inlineStr">
        <is>
          <t>training</t>
        </is>
      </c>
      <c r="V134" s="5" t="n">
        <v>1</v>
      </c>
    </row>
    <row r="135">
      <c r="A135" s="5" t="n">
        <v>131</v>
      </c>
      <c r="B135" s="5" t="n">
        <v>0</v>
      </c>
      <c r="C135" s="6" t="n">
        <v>2.297621231823615</v>
      </c>
      <c r="D135" s="6" t="n">
        <v>1.832144863309468</v>
      </c>
      <c r="E135" s="6" t="n">
        <v>-1.003668658855008</v>
      </c>
      <c r="F135" s="6" t="n">
        <v>-1.786844513613144</v>
      </c>
      <c r="G135" s="5" t="n">
        <v>0</v>
      </c>
      <c r="H135" s="5" t="n">
        <v>1</v>
      </c>
      <c r="I135" s="5" t="n">
        <v>0</v>
      </c>
      <c r="J135" s="5" t="n">
        <v>0</v>
      </c>
      <c r="K135" s="5" t="n">
        <v>0</v>
      </c>
      <c r="L135" s="5" t="n">
        <v>0</v>
      </c>
      <c r="M135" s="5" t="n">
        <v>0</v>
      </c>
      <c r="N135" s="5" t="n">
        <v>0</v>
      </c>
      <c r="O135" s="5" t="n">
        <v>1</v>
      </c>
      <c r="P135" s="5" t="n">
        <v>0</v>
      </c>
      <c r="Q135" s="5" t="n">
        <v>0</v>
      </c>
      <c r="R135" s="5" t="n">
        <v>1</v>
      </c>
      <c r="S135" s="5" t="n">
        <v>0</v>
      </c>
      <c r="T135" s="5" t="n">
        <v>0</v>
      </c>
      <c r="U135" s="5" t="inlineStr">
        <is>
          <t>training</t>
        </is>
      </c>
      <c r="V135" s="5" t="n">
        <v>0</v>
      </c>
    </row>
    <row r="136">
      <c r="A136" s="5" t="n">
        <v>132</v>
      </c>
      <c r="B136" s="5" t="n">
        <v>1</v>
      </c>
      <c r="C136" s="6" t="n">
        <v>1.286513816310289</v>
      </c>
      <c r="D136" s="6" t="n">
        <v>1.272316476465583</v>
      </c>
      <c r="E136" s="6" t="n">
        <v>-0.5688035553649698</v>
      </c>
      <c r="F136" s="6" t="n">
        <v>0.9185437189662378</v>
      </c>
      <c r="G136" s="5" t="n">
        <v>1</v>
      </c>
      <c r="H136" s="5" t="n">
        <v>0</v>
      </c>
      <c r="I136" s="5" t="n">
        <v>0</v>
      </c>
      <c r="J136" s="5" t="n">
        <v>0</v>
      </c>
      <c r="K136" s="5" t="n">
        <v>1</v>
      </c>
      <c r="L136" s="5" t="n">
        <v>0</v>
      </c>
      <c r="M136" s="5" t="n">
        <v>0</v>
      </c>
      <c r="N136" s="5" t="n">
        <v>0</v>
      </c>
      <c r="O136" s="5" t="n">
        <v>0</v>
      </c>
      <c r="P136" s="5" t="n">
        <v>0</v>
      </c>
      <c r="Q136" s="5" t="n">
        <v>0</v>
      </c>
      <c r="R136" s="5" t="n">
        <v>0</v>
      </c>
      <c r="S136" s="5" t="n">
        <v>0</v>
      </c>
      <c r="T136" s="5" t="n">
        <v>0</v>
      </c>
      <c r="U136" s="5" t="inlineStr">
        <is>
          <t>testing</t>
        </is>
      </c>
      <c r="V136" s="5" t="n">
        <v>0</v>
      </c>
    </row>
    <row r="137">
      <c r="A137" s="5" t="n">
        <v>133</v>
      </c>
      <c r="B137" s="5" t="n">
        <v>0</v>
      </c>
      <c r="C137" s="6" t="n">
        <v>-0.4829241608380317</v>
      </c>
      <c r="D137" s="6" t="n">
        <v>-0.1898852914222882</v>
      </c>
      <c r="E137" s="6" t="n">
        <v>-0.7427495967609852</v>
      </c>
      <c r="F137" s="6" t="n">
        <v>-0.8850484360866833</v>
      </c>
      <c r="G137" s="5" t="n">
        <v>0</v>
      </c>
      <c r="H137" s="5" t="n">
        <v>0</v>
      </c>
      <c r="I137" s="5" t="n">
        <v>0</v>
      </c>
      <c r="J137" s="5" t="n">
        <v>0</v>
      </c>
      <c r="K137" s="5" t="n">
        <v>0</v>
      </c>
      <c r="L137" s="5" t="n">
        <v>0</v>
      </c>
      <c r="M137" s="5" t="n">
        <v>0</v>
      </c>
      <c r="N137" s="5" t="n">
        <v>0</v>
      </c>
      <c r="O137" s="5" t="n">
        <v>0</v>
      </c>
      <c r="P137" s="5" t="n">
        <v>0</v>
      </c>
      <c r="Q137" s="5" t="n">
        <v>0</v>
      </c>
      <c r="R137" s="5" t="n">
        <v>0</v>
      </c>
      <c r="S137" s="5" t="n">
        <v>0</v>
      </c>
      <c r="T137" s="5" t="n">
        <v>1</v>
      </c>
      <c r="U137" s="5" t="inlineStr">
        <is>
          <t>training</t>
        </is>
      </c>
      <c r="V137" s="5" t="n">
        <v>1</v>
      </c>
    </row>
    <row r="138">
      <c r="A138" s="5" t="n">
        <v>134</v>
      </c>
      <c r="B138" s="5" t="n">
        <v>0</v>
      </c>
      <c r="C138" s="6" t="n">
        <v>-0.2301473069597001</v>
      </c>
      <c r="D138" s="6" t="n">
        <v>-0.443207636469146</v>
      </c>
      <c r="E138" s="6" t="n">
        <v>0.9967108171991675</v>
      </c>
      <c r="F138" s="6" t="n">
        <v>0.9185437189662378</v>
      </c>
      <c r="G138" s="5" t="n">
        <v>0</v>
      </c>
      <c r="H138" s="5" t="n">
        <v>0</v>
      </c>
      <c r="I138" s="5" t="n">
        <v>0</v>
      </c>
      <c r="J138" s="5" t="n">
        <v>0</v>
      </c>
      <c r="K138" s="5" t="n">
        <v>0</v>
      </c>
      <c r="L138" s="5" t="n">
        <v>0</v>
      </c>
      <c r="M138" s="5" t="n">
        <v>0</v>
      </c>
      <c r="N138" s="5" t="n">
        <v>0</v>
      </c>
      <c r="O138" s="5" t="n">
        <v>0</v>
      </c>
      <c r="P138" s="5" t="n">
        <v>0</v>
      </c>
      <c r="Q138" s="5" t="n">
        <v>1</v>
      </c>
      <c r="R138" s="5" t="n">
        <v>0</v>
      </c>
      <c r="S138" s="5" t="n">
        <v>0</v>
      </c>
      <c r="T138" s="5" t="n">
        <v>1</v>
      </c>
      <c r="U138" s="5" t="inlineStr">
        <is>
          <t>training</t>
        </is>
      </c>
      <c r="V138" s="5" t="n">
        <v>0</v>
      </c>
    </row>
    <row r="139">
      <c r="A139" s="5" t="n">
        <v>135</v>
      </c>
      <c r="B139" s="5" t="n">
        <v>0</v>
      </c>
      <c r="C139" s="6" t="n">
        <v>3.308728647336942</v>
      </c>
      <c r="D139" s="6" t="n">
        <v>2.411917136434666</v>
      </c>
      <c r="E139" s="6" t="n">
        <v>-1.264587720949031</v>
      </c>
      <c r="F139" s="6" t="n">
        <v>-0.8850484360866833</v>
      </c>
      <c r="G139" s="5" t="n">
        <v>0</v>
      </c>
      <c r="H139" s="5" t="n">
        <v>0</v>
      </c>
      <c r="I139" s="5" t="n">
        <v>0</v>
      </c>
      <c r="J139" s="5" t="n">
        <v>0</v>
      </c>
      <c r="K139" s="5" t="n">
        <v>0</v>
      </c>
      <c r="L139" s="5" t="n">
        <v>0</v>
      </c>
      <c r="M139" s="5" t="n">
        <v>1</v>
      </c>
      <c r="N139" s="5" t="n">
        <v>0</v>
      </c>
      <c r="O139" s="5" t="n">
        <v>0</v>
      </c>
      <c r="P139" s="5" t="n">
        <v>0</v>
      </c>
      <c r="Q139" s="5" t="n">
        <v>0</v>
      </c>
      <c r="R139" s="5" t="n">
        <v>0</v>
      </c>
      <c r="S139" s="5" t="n">
        <v>1</v>
      </c>
      <c r="T139" s="5" t="n">
        <v>0</v>
      </c>
      <c r="U139" s="5" t="inlineStr">
        <is>
          <t>training</t>
        </is>
      </c>
      <c r="V139" s="5" t="n">
        <v>0</v>
      </c>
    </row>
    <row r="140">
      <c r="A140" s="5" t="n">
        <v>136</v>
      </c>
      <c r="B140" s="5" t="n">
        <v>0</v>
      </c>
      <c r="C140" s="6" t="n">
        <v>-0.7357010147163632</v>
      </c>
      <c r="D140" s="6" t="n">
        <v>-0.7035278363515524</v>
      </c>
      <c r="E140" s="6" t="n">
        <v>0.2139536309170988</v>
      </c>
      <c r="F140" s="6" t="n">
        <v>0.9185437189662378</v>
      </c>
      <c r="G140" s="5" t="n">
        <v>0</v>
      </c>
      <c r="H140" s="5" t="n">
        <v>0</v>
      </c>
      <c r="I140" s="5" t="n">
        <v>0</v>
      </c>
      <c r="J140" s="5" t="n">
        <v>1</v>
      </c>
      <c r="K140" s="5" t="n">
        <v>0</v>
      </c>
      <c r="L140" s="5" t="n">
        <v>0</v>
      </c>
      <c r="M140" s="5" t="n">
        <v>0</v>
      </c>
      <c r="N140" s="5" t="n">
        <v>0</v>
      </c>
      <c r="O140" s="5" t="n">
        <v>1</v>
      </c>
      <c r="P140" s="5" t="n">
        <v>0</v>
      </c>
      <c r="Q140" s="5" t="n">
        <v>0</v>
      </c>
      <c r="R140" s="5" t="n">
        <v>0</v>
      </c>
      <c r="S140" s="5" t="n">
        <v>1</v>
      </c>
      <c r="T140" s="5" t="n">
        <v>0</v>
      </c>
      <c r="U140" s="5" t="inlineStr">
        <is>
          <t>testing</t>
        </is>
      </c>
      <c r="V140" s="5" t="n">
        <v>0</v>
      </c>
    </row>
    <row r="141">
      <c r="A141" s="5" t="n">
        <v>137</v>
      </c>
      <c r="B141" s="5" t="n">
        <v>0</v>
      </c>
      <c r="C141" s="6" t="n">
        <v>0.5281832546752946</v>
      </c>
      <c r="D141" s="6" t="n">
        <v>1.876231348773424</v>
      </c>
      <c r="E141" s="6" t="n">
        <v>-0.7427495967609852</v>
      </c>
      <c r="F141" s="6" t="n">
        <v>-0.8850484360866833</v>
      </c>
      <c r="G141" s="5" t="n">
        <v>0</v>
      </c>
      <c r="H141" s="5" t="n">
        <v>0</v>
      </c>
      <c r="I141" s="5" t="n">
        <v>0</v>
      </c>
      <c r="J141" s="5" t="n">
        <v>0</v>
      </c>
      <c r="K141" s="5" t="n">
        <v>1</v>
      </c>
      <c r="L141" s="5" t="n">
        <v>0</v>
      </c>
      <c r="M141" s="5" t="n">
        <v>0</v>
      </c>
      <c r="N141" s="5" t="n">
        <v>1</v>
      </c>
      <c r="O141" s="5" t="n">
        <v>0</v>
      </c>
      <c r="P141" s="5" t="n">
        <v>0</v>
      </c>
      <c r="Q141" s="5" t="n">
        <v>0</v>
      </c>
      <c r="R141" s="5" t="n">
        <v>1</v>
      </c>
      <c r="S141" s="5" t="n">
        <v>0</v>
      </c>
      <c r="T141" s="5" t="n">
        <v>0</v>
      </c>
      <c r="U141" s="5" t="inlineStr">
        <is>
          <t>training</t>
        </is>
      </c>
      <c r="V141" s="5" t="n">
        <v>1</v>
      </c>
    </row>
    <row r="142">
      <c r="A142" s="5" t="n">
        <v>138</v>
      </c>
      <c r="B142" s="5" t="n">
        <v>1</v>
      </c>
      <c r="C142" s="6" t="n">
        <v>-0.7357010147163632</v>
      </c>
      <c r="D142" s="6" t="n">
        <v>-0.8693769959540533</v>
      </c>
      <c r="E142" s="6" t="n">
        <v>2.649198210461313</v>
      </c>
      <c r="F142" s="6" t="n">
        <v>0.9185437189662378</v>
      </c>
      <c r="G142" s="5" t="n">
        <v>0</v>
      </c>
      <c r="H142" s="5" t="n">
        <v>1</v>
      </c>
      <c r="I142" s="5" t="n">
        <v>0</v>
      </c>
      <c r="J142" s="5" t="n">
        <v>0</v>
      </c>
      <c r="K142" s="5" t="n">
        <v>0</v>
      </c>
      <c r="L142" s="5" t="n">
        <v>0</v>
      </c>
      <c r="M142" s="5" t="n">
        <v>1</v>
      </c>
      <c r="N142" s="5" t="n">
        <v>0</v>
      </c>
      <c r="O142" s="5" t="n">
        <v>0</v>
      </c>
      <c r="P142" s="5" t="n">
        <v>0</v>
      </c>
      <c r="Q142" s="5" t="n">
        <v>0</v>
      </c>
      <c r="R142" s="5" t="n">
        <v>0</v>
      </c>
      <c r="S142" s="5" t="n">
        <v>1</v>
      </c>
      <c r="T142" s="5" t="n">
        <v>0</v>
      </c>
      <c r="U142" s="5" t="inlineStr">
        <is>
          <t>training</t>
        </is>
      </c>
      <c r="V142" s="5" t="n">
        <v>1</v>
      </c>
    </row>
    <row r="143">
      <c r="A143" s="5" t="n">
        <v>139</v>
      </c>
      <c r="B143" s="5" t="n">
        <v>0</v>
      </c>
      <c r="C143" s="6" t="n">
        <v>-0.4829241608380317</v>
      </c>
      <c r="D143" s="6" t="n">
        <v>-0.1828874365867396</v>
      </c>
      <c r="E143" s="6" t="n">
        <v>-0.04696543117692405</v>
      </c>
      <c r="F143" s="6" t="n">
        <v>0.9185437189662378</v>
      </c>
      <c r="G143" s="5" t="n">
        <v>0</v>
      </c>
      <c r="H143" s="5" t="n">
        <v>1</v>
      </c>
      <c r="I143" s="5" t="n">
        <v>0</v>
      </c>
      <c r="J143" s="5" t="n">
        <v>1</v>
      </c>
      <c r="K143" s="5" t="n">
        <v>0</v>
      </c>
      <c r="L143" s="5" t="n">
        <v>0</v>
      </c>
      <c r="M143" s="5" t="n">
        <v>0</v>
      </c>
      <c r="N143" s="5" t="n">
        <v>0</v>
      </c>
      <c r="O143" s="5" t="n">
        <v>1</v>
      </c>
      <c r="P143" s="5" t="n">
        <v>0</v>
      </c>
      <c r="Q143" s="5" t="n">
        <v>0</v>
      </c>
      <c r="R143" s="5" t="n">
        <v>0</v>
      </c>
      <c r="S143" s="5" t="n">
        <v>1</v>
      </c>
      <c r="T143" s="5" t="n">
        <v>0</v>
      </c>
      <c r="U143" s="5" t="inlineStr">
        <is>
          <t>training</t>
        </is>
      </c>
      <c r="V143" s="5" t="n">
        <v>0</v>
      </c>
    </row>
    <row r="144">
      <c r="A144" s="5" t="n">
        <v>140</v>
      </c>
      <c r="B144" s="5" t="n">
        <v>0</v>
      </c>
      <c r="C144" s="6" t="n">
        <v>-0.7357010147163632</v>
      </c>
      <c r="D144" s="6" t="n">
        <v>-0.4792465888722211</v>
      </c>
      <c r="E144" s="6" t="n">
        <v>0.7357917551051447</v>
      </c>
      <c r="F144" s="6" t="n">
        <v>-0.8850484360866833</v>
      </c>
      <c r="G144" s="5" t="n">
        <v>0</v>
      </c>
      <c r="H144" s="5" t="n">
        <v>0</v>
      </c>
      <c r="I144" s="5" t="n">
        <v>1</v>
      </c>
      <c r="J144" s="5" t="n">
        <v>0</v>
      </c>
      <c r="K144" s="5" t="n">
        <v>0</v>
      </c>
      <c r="L144" s="5" t="n">
        <v>0</v>
      </c>
      <c r="M144" s="5" t="n">
        <v>0</v>
      </c>
      <c r="N144" s="5" t="n">
        <v>0</v>
      </c>
      <c r="O144" s="5" t="n">
        <v>0</v>
      </c>
      <c r="P144" s="5" t="n">
        <v>1</v>
      </c>
      <c r="Q144" s="5" t="n">
        <v>0</v>
      </c>
      <c r="R144" s="5" t="n">
        <v>0</v>
      </c>
      <c r="S144" s="5" t="n">
        <v>1</v>
      </c>
      <c r="T144" s="5" t="n">
        <v>0</v>
      </c>
      <c r="U144" s="5" t="inlineStr">
        <is>
          <t>testing</t>
        </is>
      </c>
      <c r="V144" s="5" t="n">
        <v>0</v>
      </c>
    </row>
    <row r="145">
      <c r="A145" s="5" t="n">
        <v>141</v>
      </c>
      <c r="B145" s="5" t="n">
        <v>0</v>
      </c>
      <c r="C145" s="6" t="n">
        <v>-1.241254722473026</v>
      </c>
      <c r="D145" s="6" t="n">
        <v>-0.8893208822353666</v>
      </c>
      <c r="E145" s="6" t="n">
        <v>-0.7427495967609852</v>
      </c>
      <c r="F145" s="6" t="n">
        <v>-0.8850484360866833</v>
      </c>
      <c r="G145" s="5" t="n">
        <v>0</v>
      </c>
      <c r="H145" s="5" t="n">
        <v>0</v>
      </c>
      <c r="I145" s="5" t="n">
        <v>1</v>
      </c>
      <c r="J145" s="5" t="n">
        <v>0</v>
      </c>
      <c r="K145" s="5" t="n">
        <v>0</v>
      </c>
      <c r="L145" s="5" t="n">
        <v>0</v>
      </c>
      <c r="M145" s="5" t="n">
        <v>0</v>
      </c>
      <c r="N145" s="5" t="n">
        <v>1</v>
      </c>
      <c r="O145" s="5" t="n">
        <v>0</v>
      </c>
      <c r="P145" s="5" t="n">
        <v>0</v>
      </c>
      <c r="Q145" s="5" t="n">
        <v>0</v>
      </c>
      <c r="R145" s="5" t="n">
        <v>1</v>
      </c>
      <c r="S145" s="5" t="n">
        <v>0</v>
      </c>
      <c r="T145" s="5" t="n">
        <v>0</v>
      </c>
      <c r="U145" s="5" t="inlineStr">
        <is>
          <t>training</t>
        </is>
      </c>
      <c r="V145" s="5" t="n">
        <v>0</v>
      </c>
    </row>
    <row r="146">
      <c r="A146" s="5" t="n">
        <v>142</v>
      </c>
      <c r="B146" s="5" t="n">
        <v>0</v>
      </c>
      <c r="C146" s="6" t="n">
        <v>1.286513816310289</v>
      </c>
      <c r="D146" s="6" t="n">
        <v>0.540340860667204</v>
      </c>
      <c r="E146" s="6" t="n">
        <v>-0.4818305346669622</v>
      </c>
      <c r="F146" s="6" t="n">
        <v>0.9185437189662378</v>
      </c>
      <c r="G146" s="5" t="n">
        <v>0</v>
      </c>
      <c r="H146" s="5" t="n">
        <v>1</v>
      </c>
      <c r="I146" s="5" t="n">
        <v>0</v>
      </c>
      <c r="J146" s="5" t="n">
        <v>0</v>
      </c>
      <c r="K146" s="5" t="n">
        <v>0</v>
      </c>
      <c r="L146" s="5" t="n">
        <v>0</v>
      </c>
      <c r="M146" s="5" t="n">
        <v>0</v>
      </c>
      <c r="N146" s="5" t="n">
        <v>0</v>
      </c>
      <c r="O146" s="5" t="n">
        <v>0</v>
      </c>
      <c r="P146" s="5" t="n">
        <v>0</v>
      </c>
      <c r="Q146" s="5" t="n">
        <v>0</v>
      </c>
      <c r="R146" s="5" t="n">
        <v>0</v>
      </c>
      <c r="S146" s="5" t="n">
        <v>1</v>
      </c>
      <c r="T146" s="5" t="n">
        <v>0</v>
      </c>
      <c r="U146" s="5" t="inlineStr">
        <is>
          <t>training</t>
        </is>
      </c>
      <c r="V146" s="5" t="n">
        <v>1</v>
      </c>
    </row>
    <row r="147">
      <c r="A147" s="5" t="n">
        <v>143</v>
      </c>
      <c r="B147" s="5" t="n">
        <v>0</v>
      </c>
      <c r="C147" s="6" t="n">
        <v>0.5281832546752946</v>
      </c>
      <c r="D147" s="6" t="n">
        <v>0.05783876975613082</v>
      </c>
      <c r="E147" s="6" t="n">
        <v>-0.7427495967609852</v>
      </c>
      <c r="F147" s="6" t="n">
        <v>0.01674764143977723</v>
      </c>
      <c r="G147" s="5" t="n">
        <v>1</v>
      </c>
      <c r="H147" s="5" t="n">
        <v>0</v>
      </c>
      <c r="I147" s="5" t="n">
        <v>0</v>
      </c>
      <c r="J147" s="5" t="n">
        <v>0</v>
      </c>
      <c r="K147" s="5" t="n">
        <v>0</v>
      </c>
      <c r="L147" s="5" t="n">
        <v>0</v>
      </c>
      <c r="M147" s="5" t="n">
        <v>0</v>
      </c>
      <c r="N147" s="5" t="n">
        <v>0</v>
      </c>
      <c r="O147" s="5" t="n">
        <v>0</v>
      </c>
      <c r="P147" s="5" t="n">
        <v>0</v>
      </c>
      <c r="Q147" s="5" t="n">
        <v>0</v>
      </c>
      <c r="R147" s="5" t="n">
        <v>0</v>
      </c>
      <c r="S147" s="5" t="n">
        <v>1</v>
      </c>
      <c r="T147" s="5" t="n">
        <v>0</v>
      </c>
      <c r="U147" s="5" t="inlineStr">
        <is>
          <t>training</t>
        </is>
      </c>
      <c r="V147" s="5" t="n">
        <v>0</v>
      </c>
    </row>
    <row r="148">
      <c r="A148" s="5" t="n">
        <v>144</v>
      </c>
      <c r="B148" s="5" t="n">
        <v>1</v>
      </c>
      <c r="C148" s="6" t="n">
        <v>-0.2301473069597001</v>
      </c>
      <c r="D148" s="6" t="n">
        <v>-0.2759589058995354</v>
      </c>
      <c r="E148" s="6" t="n">
        <v>-1.177614700251023</v>
      </c>
      <c r="F148" s="6" t="n">
        <v>-0.8850484360866833</v>
      </c>
      <c r="G148" s="5" t="n">
        <v>1</v>
      </c>
      <c r="H148" s="5" t="n">
        <v>0</v>
      </c>
      <c r="I148" s="5" t="n">
        <v>0</v>
      </c>
      <c r="J148" s="5" t="n">
        <v>0</v>
      </c>
      <c r="K148" s="5" t="n">
        <v>0</v>
      </c>
      <c r="L148" s="5" t="n">
        <v>0</v>
      </c>
      <c r="M148" s="5" t="n">
        <v>0</v>
      </c>
      <c r="N148" s="5" t="n">
        <v>0</v>
      </c>
      <c r="O148" s="5" t="n">
        <v>0</v>
      </c>
      <c r="P148" s="5" t="n">
        <v>0</v>
      </c>
      <c r="Q148" s="5" t="n">
        <v>0</v>
      </c>
      <c r="R148" s="5" t="n">
        <v>0</v>
      </c>
      <c r="S148" s="5" t="n">
        <v>0</v>
      </c>
      <c r="T148" s="5" t="n">
        <v>1</v>
      </c>
      <c r="U148" s="5" t="inlineStr">
        <is>
          <t>training</t>
        </is>
      </c>
      <c r="V148" s="5" t="n">
        <v>1</v>
      </c>
    </row>
    <row r="149">
      <c r="A149" s="5" t="n">
        <v>145</v>
      </c>
      <c r="B149" s="5" t="n">
        <v>0</v>
      </c>
      <c r="C149" s="6" t="n">
        <v>0.02262954691863145</v>
      </c>
      <c r="D149" s="6" t="n">
        <v>-0.3368402429688079</v>
      </c>
      <c r="E149" s="6" t="n">
        <v>-1.090641679553016</v>
      </c>
      <c r="F149" s="6" t="n">
        <v>0.9185437189662378</v>
      </c>
      <c r="G149" s="5" t="n">
        <v>0</v>
      </c>
      <c r="H149" s="5" t="n">
        <v>0</v>
      </c>
      <c r="I149" s="5" t="n">
        <v>0</v>
      </c>
      <c r="J149" s="5" t="n">
        <v>1</v>
      </c>
      <c r="K149" s="5" t="n">
        <v>0</v>
      </c>
      <c r="L149" s="5" t="n">
        <v>0</v>
      </c>
      <c r="M149" s="5" t="n">
        <v>0</v>
      </c>
      <c r="N149" s="5" t="n">
        <v>0</v>
      </c>
      <c r="O149" s="5" t="n">
        <v>0</v>
      </c>
      <c r="P149" s="5" t="n">
        <v>0</v>
      </c>
      <c r="Q149" s="5" t="n">
        <v>0</v>
      </c>
      <c r="R149" s="5" t="n">
        <v>0</v>
      </c>
      <c r="S149" s="5" t="n">
        <v>0</v>
      </c>
      <c r="T149" s="5" t="n">
        <v>1</v>
      </c>
      <c r="U149" s="5" t="inlineStr">
        <is>
          <t>training</t>
        </is>
      </c>
      <c r="V149" s="5" t="n">
        <v>1</v>
      </c>
    </row>
    <row r="150">
      <c r="A150" s="5" t="n">
        <v>146</v>
      </c>
      <c r="B150" s="5" t="n">
        <v>0</v>
      </c>
      <c r="C150" s="6" t="n">
        <v>2.297621231823615</v>
      </c>
      <c r="D150" s="6" t="n">
        <v>0.110322681022745</v>
      </c>
      <c r="E150" s="6" t="n">
        <v>-0.4818305346669622</v>
      </c>
      <c r="F150" s="6" t="n">
        <v>0.9185437189662378</v>
      </c>
      <c r="G150" s="5" t="n">
        <v>0</v>
      </c>
      <c r="H150" s="5" t="n">
        <v>1</v>
      </c>
      <c r="I150" s="5" t="n">
        <v>0</v>
      </c>
      <c r="J150" s="5" t="n">
        <v>0</v>
      </c>
      <c r="K150" s="5" t="n">
        <v>0</v>
      </c>
      <c r="L150" s="5" t="n">
        <v>1</v>
      </c>
      <c r="M150" s="5" t="n">
        <v>1</v>
      </c>
      <c r="N150" s="5" t="n">
        <v>0</v>
      </c>
      <c r="O150" s="5" t="n">
        <v>0</v>
      </c>
      <c r="P150" s="5" t="n">
        <v>0</v>
      </c>
      <c r="Q150" s="5" t="n">
        <v>0</v>
      </c>
      <c r="R150" s="5" t="n">
        <v>0</v>
      </c>
      <c r="S150" s="5" t="n">
        <v>0</v>
      </c>
      <c r="T150" s="5" t="n">
        <v>0</v>
      </c>
      <c r="U150" s="5" t="inlineStr">
        <is>
          <t>testing</t>
        </is>
      </c>
      <c r="V150" s="5" t="n">
        <v>0</v>
      </c>
    </row>
    <row r="151">
      <c r="A151" s="5" t="n">
        <v>147</v>
      </c>
      <c r="B151" s="5" t="n">
        <v>0</v>
      </c>
      <c r="C151" s="6" t="n">
        <v>-1.241254722473026</v>
      </c>
      <c r="D151" s="6" t="n">
        <v>-0.836487078226975</v>
      </c>
      <c r="E151" s="6" t="n">
        <v>0.3009266516151065</v>
      </c>
      <c r="F151" s="6" t="n">
        <v>-1.786844513613144</v>
      </c>
      <c r="G151" s="5" t="n">
        <v>1</v>
      </c>
      <c r="H151" s="5" t="n">
        <v>0</v>
      </c>
      <c r="I151" s="5" t="n">
        <v>0</v>
      </c>
      <c r="J151" s="5" t="n">
        <v>1</v>
      </c>
      <c r="K151" s="5" t="n">
        <v>0</v>
      </c>
      <c r="L151" s="5" t="n">
        <v>0</v>
      </c>
      <c r="M151" s="5" t="n">
        <v>0</v>
      </c>
      <c r="N151" s="5" t="n">
        <v>0</v>
      </c>
      <c r="O151" s="5" t="n">
        <v>0</v>
      </c>
      <c r="P151" s="5" t="n">
        <v>0</v>
      </c>
      <c r="Q151" s="5" t="n">
        <v>0</v>
      </c>
      <c r="R151" s="5" t="n">
        <v>1</v>
      </c>
      <c r="S151" s="5" t="n">
        <v>0</v>
      </c>
      <c r="T151" s="5" t="n">
        <v>0</v>
      </c>
      <c r="U151" s="5" t="inlineStr">
        <is>
          <t>testing</t>
        </is>
      </c>
      <c r="V151" s="5" t="n">
        <v>0</v>
      </c>
    </row>
    <row r="152">
      <c r="A152" s="5" t="n">
        <v>148</v>
      </c>
      <c r="B152" s="5" t="n">
        <v>0</v>
      </c>
      <c r="C152" s="6" t="n">
        <v>-0.7357010147163632</v>
      </c>
      <c r="D152" s="6" t="n">
        <v>-0.8987679862633572</v>
      </c>
      <c r="E152" s="6" t="n">
        <v>1.344602899991198</v>
      </c>
      <c r="F152" s="6" t="n">
        <v>0.9185437189662378</v>
      </c>
      <c r="G152" s="5" t="n">
        <v>0</v>
      </c>
      <c r="H152" s="5" t="n">
        <v>0</v>
      </c>
      <c r="I152" s="5" t="n">
        <v>0</v>
      </c>
      <c r="J152" s="5" t="n">
        <v>1</v>
      </c>
      <c r="K152" s="5" t="n">
        <v>0</v>
      </c>
      <c r="L152" s="5" t="n">
        <v>0</v>
      </c>
      <c r="M152" s="5" t="n">
        <v>1</v>
      </c>
      <c r="N152" s="5" t="n">
        <v>0</v>
      </c>
      <c r="O152" s="5" t="n">
        <v>0</v>
      </c>
      <c r="P152" s="5" t="n">
        <v>0</v>
      </c>
      <c r="Q152" s="5" t="n">
        <v>0</v>
      </c>
      <c r="R152" s="5" t="n">
        <v>1</v>
      </c>
      <c r="S152" s="5" t="n">
        <v>0</v>
      </c>
      <c r="T152" s="5" t="n">
        <v>0</v>
      </c>
      <c r="U152" s="5" t="inlineStr">
        <is>
          <t>training</t>
        </is>
      </c>
      <c r="V152" s="5" t="n">
        <v>0</v>
      </c>
    </row>
    <row r="153">
      <c r="A153" s="5" t="n">
        <v>149</v>
      </c>
      <c r="B153" s="5" t="n">
        <v>0</v>
      </c>
      <c r="C153" s="6" t="n">
        <v>1.286513816310289</v>
      </c>
      <c r="D153" s="6" t="n">
        <v>0.7418790799310024</v>
      </c>
      <c r="E153" s="6" t="n">
        <v>-0.6557765760629775</v>
      </c>
      <c r="F153" s="6" t="n">
        <v>0.01674764143977723</v>
      </c>
      <c r="G153" s="5" t="n">
        <v>1</v>
      </c>
      <c r="H153" s="5" t="n">
        <v>0</v>
      </c>
      <c r="I153" s="5" t="n">
        <v>0</v>
      </c>
      <c r="J153" s="5" t="n">
        <v>1</v>
      </c>
      <c r="K153" s="5" t="n">
        <v>0</v>
      </c>
      <c r="L153" s="5" t="n">
        <v>0</v>
      </c>
      <c r="M153" s="5" t="n">
        <v>0</v>
      </c>
      <c r="N153" s="5" t="n">
        <v>0</v>
      </c>
      <c r="O153" s="5" t="n">
        <v>0</v>
      </c>
      <c r="P153" s="5" t="n">
        <v>0</v>
      </c>
      <c r="Q153" s="5" t="n">
        <v>0</v>
      </c>
      <c r="R153" s="5" t="n">
        <v>0</v>
      </c>
      <c r="S153" s="5" t="n">
        <v>0</v>
      </c>
      <c r="T153" s="5" t="n">
        <v>1</v>
      </c>
      <c r="U153" s="5" t="inlineStr">
        <is>
          <t>training</t>
        </is>
      </c>
      <c r="V153" s="5" t="n">
        <v>1</v>
      </c>
    </row>
    <row r="154">
      <c r="A154" s="5" t="n">
        <v>150</v>
      </c>
      <c r="B154" s="5" t="n">
        <v>0</v>
      </c>
      <c r="C154" s="6" t="n">
        <v>-0.2301473069597001</v>
      </c>
      <c r="D154" s="6" t="n">
        <v>-0.5838645186636721</v>
      </c>
      <c r="E154" s="6" t="n">
        <v>0.9097377965011599</v>
      </c>
      <c r="F154" s="6" t="n">
        <v>0.9185437189662378</v>
      </c>
      <c r="G154" s="5" t="n">
        <v>0</v>
      </c>
      <c r="H154" s="5" t="n">
        <v>0</v>
      </c>
      <c r="I154" s="5" t="n">
        <v>0</v>
      </c>
      <c r="J154" s="5" t="n">
        <v>1</v>
      </c>
      <c r="K154" s="5" t="n">
        <v>0</v>
      </c>
      <c r="L154" s="5" t="n">
        <v>0</v>
      </c>
      <c r="M154" s="5" t="n">
        <v>0</v>
      </c>
      <c r="N154" s="5" t="n">
        <v>1</v>
      </c>
      <c r="O154" s="5" t="n">
        <v>0</v>
      </c>
      <c r="P154" s="5" t="n">
        <v>0</v>
      </c>
      <c r="Q154" s="5" t="n">
        <v>0</v>
      </c>
      <c r="R154" s="5" t="n">
        <v>0</v>
      </c>
      <c r="S154" s="5" t="n">
        <v>1</v>
      </c>
      <c r="T154" s="5" t="n">
        <v>0</v>
      </c>
      <c r="U154" s="5" t="inlineStr">
        <is>
          <t>training</t>
        </is>
      </c>
      <c r="V154" s="5" t="n">
        <v>1</v>
      </c>
    </row>
    <row r="155">
      <c r="A155" s="5" t="n">
        <v>151</v>
      </c>
      <c r="B155" s="5" t="n">
        <v>0</v>
      </c>
      <c r="C155" s="6" t="n">
        <v>-1.241254722473026</v>
      </c>
      <c r="D155" s="6" t="n">
        <v>-0.6664392057231451</v>
      </c>
      <c r="E155" s="6" t="n">
        <v>0.5618457137091294</v>
      </c>
      <c r="F155" s="6" t="n">
        <v>-0.8850484360866833</v>
      </c>
      <c r="G155" s="5" t="n">
        <v>0</v>
      </c>
      <c r="H155" s="5" t="n">
        <v>0</v>
      </c>
      <c r="I155" s="5" t="n">
        <v>0</v>
      </c>
      <c r="J155" s="5" t="n">
        <v>0</v>
      </c>
      <c r="K155" s="5" t="n">
        <v>0</v>
      </c>
      <c r="L155" s="5" t="n">
        <v>0</v>
      </c>
      <c r="M155" s="5" t="n">
        <v>1</v>
      </c>
      <c r="N155" s="5" t="n">
        <v>0</v>
      </c>
      <c r="O155" s="5" t="n">
        <v>0</v>
      </c>
      <c r="P155" s="5" t="n">
        <v>0</v>
      </c>
      <c r="Q155" s="5" t="n">
        <v>1</v>
      </c>
      <c r="R155" s="5" t="n">
        <v>0</v>
      </c>
      <c r="S155" s="5" t="n">
        <v>1</v>
      </c>
      <c r="T155" s="5" t="n">
        <v>0</v>
      </c>
      <c r="U155" s="5" t="inlineStr">
        <is>
          <t>training</t>
        </is>
      </c>
      <c r="V155" s="5" t="n">
        <v>0</v>
      </c>
    </row>
    <row r="156">
      <c r="A156" s="5" t="n">
        <v>152</v>
      </c>
      <c r="B156" s="5" t="n">
        <v>0</v>
      </c>
      <c r="C156" s="6" t="n">
        <v>-0.9042189173019176</v>
      </c>
      <c r="D156" s="6" t="n">
        <v>-0.4642012009757917</v>
      </c>
      <c r="E156" s="6" t="n">
        <v>0.2139536309170988</v>
      </c>
      <c r="F156" s="6" t="n">
        <v>-1.786844513613144</v>
      </c>
      <c r="G156" s="5" t="n">
        <v>0</v>
      </c>
      <c r="H156" s="5" t="n">
        <v>0</v>
      </c>
      <c r="I156" s="5" t="n">
        <v>0</v>
      </c>
      <c r="J156" s="5" t="n">
        <v>0</v>
      </c>
      <c r="K156" s="5" t="n">
        <v>0</v>
      </c>
      <c r="L156" s="5" t="n">
        <v>0</v>
      </c>
      <c r="M156" s="5" t="n">
        <v>0</v>
      </c>
      <c r="N156" s="5" t="n">
        <v>0</v>
      </c>
      <c r="O156" s="5" t="n">
        <v>0</v>
      </c>
      <c r="P156" s="5" t="n">
        <v>0</v>
      </c>
      <c r="Q156" s="5" t="n">
        <v>0</v>
      </c>
      <c r="R156" s="5" t="n">
        <v>0</v>
      </c>
      <c r="S156" s="5" t="n">
        <v>1</v>
      </c>
      <c r="T156" s="5" t="n">
        <v>0</v>
      </c>
      <c r="U156" s="5" t="inlineStr">
        <is>
          <t>training</t>
        </is>
      </c>
      <c r="V156" s="5" t="n">
        <v>0</v>
      </c>
    </row>
    <row r="157">
      <c r="A157" s="5" t="n">
        <v>153</v>
      </c>
      <c r="B157" s="5" t="n">
        <v>0</v>
      </c>
      <c r="C157" s="6" t="n">
        <v>1.286513816310289</v>
      </c>
      <c r="D157" s="6" t="n">
        <v>0.9087779177588355</v>
      </c>
      <c r="E157" s="6" t="n">
        <v>-1.003668658855008</v>
      </c>
      <c r="F157" s="6" t="n">
        <v>0.9185437189662378</v>
      </c>
      <c r="G157" s="5" t="n">
        <v>0</v>
      </c>
      <c r="H157" s="5" t="n">
        <v>0</v>
      </c>
      <c r="I157" s="5" t="n">
        <v>1</v>
      </c>
      <c r="J157" s="5" t="n">
        <v>0</v>
      </c>
      <c r="K157" s="5" t="n">
        <v>0</v>
      </c>
      <c r="L157" s="5" t="n">
        <v>0</v>
      </c>
      <c r="M157" s="5" t="n">
        <v>0</v>
      </c>
      <c r="N157" s="5" t="n">
        <v>0</v>
      </c>
      <c r="O157" s="5" t="n">
        <v>0</v>
      </c>
      <c r="P157" s="5" t="n">
        <v>0</v>
      </c>
      <c r="Q157" s="5" t="n">
        <v>0</v>
      </c>
      <c r="R157" s="5" t="n">
        <v>0</v>
      </c>
      <c r="S157" s="5" t="n">
        <v>1</v>
      </c>
      <c r="T157" s="5" t="n">
        <v>0</v>
      </c>
      <c r="U157" s="5" t="inlineStr">
        <is>
          <t>training</t>
        </is>
      </c>
      <c r="V157" s="5" t="n">
        <v>1</v>
      </c>
    </row>
    <row r="158">
      <c r="A158" s="5" t="n">
        <v>154</v>
      </c>
      <c r="B158" s="5" t="n">
        <v>0</v>
      </c>
      <c r="C158" s="6" t="n">
        <v>0.275406400796963</v>
      </c>
      <c r="D158" s="6" t="n">
        <v>1.577073054553723</v>
      </c>
      <c r="E158" s="6" t="n">
        <v>-0.5688035553649698</v>
      </c>
      <c r="F158" s="6" t="n">
        <v>-0.8850484360866833</v>
      </c>
      <c r="G158" s="5" t="n">
        <v>0</v>
      </c>
      <c r="H158" s="5" t="n">
        <v>1</v>
      </c>
      <c r="I158" s="5" t="n">
        <v>0</v>
      </c>
      <c r="J158" s="5" t="n">
        <v>1</v>
      </c>
      <c r="K158" s="5" t="n">
        <v>0</v>
      </c>
      <c r="L158" s="5" t="n">
        <v>0</v>
      </c>
      <c r="M158" s="5" t="n">
        <v>0</v>
      </c>
      <c r="N158" s="5" t="n">
        <v>1</v>
      </c>
      <c r="O158" s="5" t="n">
        <v>0</v>
      </c>
      <c r="P158" s="5" t="n">
        <v>1</v>
      </c>
      <c r="Q158" s="5" t="n">
        <v>0</v>
      </c>
      <c r="R158" s="5" t="n">
        <v>1</v>
      </c>
      <c r="S158" s="5" t="n">
        <v>0</v>
      </c>
      <c r="T158" s="5" t="n">
        <v>0</v>
      </c>
      <c r="U158" s="5" t="inlineStr">
        <is>
          <t>training</t>
        </is>
      </c>
      <c r="V158" s="5" t="n">
        <v>1</v>
      </c>
    </row>
    <row r="159">
      <c r="A159" s="5" t="n">
        <v>155</v>
      </c>
      <c r="B159" s="5" t="n">
        <v>0</v>
      </c>
      <c r="C159" s="6" t="n">
        <v>0.275406400796963</v>
      </c>
      <c r="D159" s="6" t="n">
        <v>1.300307895807777</v>
      </c>
      <c r="E159" s="6" t="n">
        <v>0.04000758952108359</v>
      </c>
      <c r="F159" s="6" t="n">
        <v>0.9185437189662378</v>
      </c>
      <c r="G159" s="5" t="n">
        <v>0</v>
      </c>
      <c r="H159" s="5" t="n">
        <v>1</v>
      </c>
      <c r="I159" s="5" t="n">
        <v>0</v>
      </c>
      <c r="J159" s="5" t="n">
        <v>0</v>
      </c>
      <c r="K159" s="5" t="n">
        <v>1</v>
      </c>
      <c r="L159" s="5" t="n">
        <v>0</v>
      </c>
      <c r="M159" s="5" t="n">
        <v>1</v>
      </c>
      <c r="N159" s="5" t="n">
        <v>0</v>
      </c>
      <c r="O159" s="5" t="n">
        <v>0</v>
      </c>
      <c r="P159" s="5" t="n">
        <v>1</v>
      </c>
      <c r="Q159" s="5" t="n">
        <v>0</v>
      </c>
      <c r="R159" s="5" t="n">
        <v>0</v>
      </c>
      <c r="S159" s="5" t="n">
        <v>0</v>
      </c>
      <c r="T159" s="5" t="n">
        <v>0</v>
      </c>
      <c r="U159" s="5" t="inlineStr">
        <is>
          <t>testing</t>
        </is>
      </c>
      <c r="V159" s="5" t="n">
        <v>0</v>
      </c>
    </row>
    <row r="160">
      <c r="A160" s="5" t="n">
        <v>156</v>
      </c>
      <c r="B160" s="5" t="n">
        <v>1</v>
      </c>
      <c r="C160" s="6" t="n">
        <v>-0.7357010147163632</v>
      </c>
      <c r="D160" s="6" t="n">
        <v>-0.6888323411969004</v>
      </c>
      <c r="E160" s="6" t="n">
        <v>-1.351560741647039</v>
      </c>
      <c r="F160" s="6" t="n">
        <v>-0.8850484360866833</v>
      </c>
      <c r="G160" s="5" t="n">
        <v>1</v>
      </c>
      <c r="H160" s="5" t="n">
        <v>0</v>
      </c>
      <c r="I160" s="5" t="n">
        <v>0</v>
      </c>
      <c r="J160" s="5" t="n">
        <v>0</v>
      </c>
      <c r="K160" s="5" t="n">
        <v>0</v>
      </c>
      <c r="L160" s="5" t="n">
        <v>0</v>
      </c>
      <c r="M160" s="5" t="n">
        <v>0</v>
      </c>
      <c r="N160" s="5" t="n">
        <v>0</v>
      </c>
      <c r="O160" s="5" t="n">
        <v>0</v>
      </c>
      <c r="P160" s="5" t="n">
        <v>1</v>
      </c>
      <c r="Q160" s="5" t="n">
        <v>0</v>
      </c>
      <c r="R160" s="5" t="n">
        <v>0</v>
      </c>
      <c r="S160" s="5" t="n">
        <v>0</v>
      </c>
      <c r="T160" s="5" t="n">
        <v>1</v>
      </c>
      <c r="U160" s="5" t="inlineStr">
        <is>
          <t>training</t>
        </is>
      </c>
      <c r="V160" s="5" t="n">
        <v>1</v>
      </c>
    </row>
    <row r="161">
      <c r="A161" s="5" t="n">
        <v>157</v>
      </c>
      <c r="B161" s="5" t="n">
        <v>0</v>
      </c>
      <c r="C161" s="6" t="n">
        <v>-0.9884778685946948</v>
      </c>
      <c r="D161" s="6" t="n">
        <v>-0.6867329847462359</v>
      </c>
      <c r="E161" s="6" t="n">
        <v>1.083683837897175</v>
      </c>
      <c r="F161" s="6" t="n">
        <v>0.01674764143977723</v>
      </c>
      <c r="G161" s="5" t="n">
        <v>1</v>
      </c>
      <c r="H161" s="5" t="n">
        <v>0</v>
      </c>
      <c r="I161" s="5" t="n">
        <v>0</v>
      </c>
      <c r="J161" s="5" t="n">
        <v>1</v>
      </c>
      <c r="K161" s="5" t="n">
        <v>0</v>
      </c>
      <c r="L161" s="5" t="n">
        <v>0</v>
      </c>
      <c r="M161" s="5" t="n">
        <v>1</v>
      </c>
      <c r="N161" s="5" t="n">
        <v>0</v>
      </c>
      <c r="O161" s="5" t="n">
        <v>0</v>
      </c>
      <c r="P161" s="5" t="n">
        <v>0</v>
      </c>
      <c r="Q161" s="5" t="n">
        <v>0</v>
      </c>
      <c r="R161" s="5" t="n">
        <v>0</v>
      </c>
      <c r="S161" s="5" t="n">
        <v>0</v>
      </c>
      <c r="T161" s="5" t="n">
        <v>0</v>
      </c>
      <c r="U161" s="5" t="inlineStr">
        <is>
          <t>testing</t>
        </is>
      </c>
      <c r="V161" s="5" t="n">
        <v>0</v>
      </c>
    </row>
    <row r="162">
      <c r="A162" s="5" t="n">
        <v>158</v>
      </c>
      <c r="B162" s="5" t="n">
        <v>0</v>
      </c>
      <c r="C162" s="6" t="n">
        <v>-0.7357010147163632</v>
      </c>
      <c r="D162" s="6" t="n">
        <v>-1.018781196693015</v>
      </c>
      <c r="E162" s="6" t="n">
        <v>0.8227647758031523</v>
      </c>
      <c r="F162" s="6" t="n">
        <v>0.9185437189662378</v>
      </c>
      <c r="G162" s="5" t="n">
        <v>1</v>
      </c>
      <c r="H162" s="5" t="n">
        <v>0</v>
      </c>
      <c r="I162" s="5" t="n">
        <v>0</v>
      </c>
      <c r="J162" s="5" t="n">
        <v>0</v>
      </c>
      <c r="K162" s="5" t="n">
        <v>0</v>
      </c>
      <c r="L162" s="5" t="n">
        <v>1</v>
      </c>
      <c r="M162" s="5" t="n">
        <v>0</v>
      </c>
      <c r="N162" s="5" t="n">
        <v>0</v>
      </c>
      <c r="O162" s="5" t="n">
        <v>0</v>
      </c>
      <c r="P162" s="5" t="n">
        <v>0</v>
      </c>
      <c r="Q162" s="5" t="n">
        <v>0</v>
      </c>
      <c r="R162" s="5" t="n">
        <v>0</v>
      </c>
      <c r="S162" s="5" t="n">
        <v>0</v>
      </c>
      <c r="T162" s="5" t="n">
        <v>0</v>
      </c>
      <c r="U162" s="5" t="inlineStr">
        <is>
          <t>training</t>
        </is>
      </c>
      <c r="V162" s="5" t="n">
        <v>0</v>
      </c>
    </row>
    <row r="163">
      <c r="A163" s="5" t="n">
        <v>159</v>
      </c>
      <c r="B163" s="5" t="n">
        <v>0</v>
      </c>
      <c r="C163" s="6" t="n">
        <v>0.275406400796963</v>
      </c>
      <c r="D163" s="6" t="n">
        <v>0.0914284729667639</v>
      </c>
      <c r="E163" s="6" t="n">
        <v>0.2139536309170988</v>
      </c>
      <c r="F163" s="6" t="n">
        <v>-0.8850484360866833</v>
      </c>
      <c r="G163" s="5" t="n">
        <v>0</v>
      </c>
      <c r="H163" s="5" t="n">
        <v>1</v>
      </c>
      <c r="I163" s="5" t="n">
        <v>0</v>
      </c>
      <c r="J163" s="5" t="n">
        <v>0</v>
      </c>
      <c r="K163" s="5" t="n">
        <v>0</v>
      </c>
      <c r="L163" s="5" t="n">
        <v>0</v>
      </c>
      <c r="M163" s="5" t="n">
        <v>1</v>
      </c>
      <c r="N163" s="5" t="n">
        <v>0</v>
      </c>
      <c r="O163" s="5" t="n">
        <v>0</v>
      </c>
      <c r="P163" s="5" t="n">
        <v>0</v>
      </c>
      <c r="Q163" s="5" t="n">
        <v>0</v>
      </c>
      <c r="R163" s="5" t="n">
        <v>1</v>
      </c>
      <c r="S163" s="5" t="n">
        <v>0</v>
      </c>
      <c r="T163" s="5" t="n">
        <v>0</v>
      </c>
      <c r="U163" s="5" t="inlineStr">
        <is>
          <t>training</t>
        </is>
      </c>
      <c r="V163" s="5" t="n">
        <v>1</v>
      </c>
    </row>
    <row r="164">
      <c r="A164" s="5" t="n">
        <v>160</v>
      </c>
      <c r="B164" s="5" t="n">
        <v>0</v>
      </c>
      <c r="C164" s="6" t="n">
        <v>-1.241254722473026</v>
      </c>
      <c r="D164" s="6" t="n">
        <v>-0.4732984122620048</v>
      </c>
      <c r="E164" s="6" t="n">
        <v>-0.1339384518749317</v>
      </c>
      <c r="F164" s="6" t="n">
        <v>-1.786844513613144</v>
      </c>
      <c r="G164" s="5" t="n">
        <v>0</v>
      </c>
      <c r="H164" s="5" t="n">
        <v>0</v>
      </c>
      <c r="I164" s="5" t="n">
        <v>0</v>
      </c>
      <c r="J164" s="5" t="n">
        <v>1</v>
      </c>
      <c r="K164" s="5" t="n">
        <v>0</v>
      </c>
      <c r="L164" s="5" t="n">
        <v>0</v>
      </c>
      <c r="M164" s="5" t="n">
        <v>0</v>
      </c>
      <c r="N164" s="5" t="n">
        <v>0</v>
      </c>
      <c r="O164" s="5" t="n">
        <v>1</v>
      </c>
      <c r="P164" s="5" t="n">
        <v>0</v>
      </c>
      <c r="Q164" s="5" t="n">
        <v>0</v>
      </c>
      <c r="R164" s="5" t="n">
        <v>0</v>
      </c>
      <c r="S164" s="5" t="n">
        <v>1</v>
      </c>
      <c r="T164" s="5" t="n">
        <v>0</v>
      </c>
      <c r="U164" s="5" t="inlineStr">
        <is>
          <t>training</t>
        </is>
      </c>
      <c r="V164" s="5" t="n">
        <v>1</v>
      </c>
    </row>
    <row r="165">
      <c r="A165" s="5" t="n">
        <v>161</v>
      </c>
      <c r="B165" s="5" t="n">
        <v>0</v>
      </c>
      <c r="C165" s="6" t="n">
        <v>0.275406400796963</v>
      </c>
      <c r="D165" s="6" t="n">
        <v>-0.13250288177079</v>
      </c>
      <c r="E165" s="6" t="n">
        <v>0.04000758952108359</v>
      </c>
      <c r="F165" s="6" t="n">
        <v>0.01674764143977723</v>
      </c>
      <c r="G165" s="5" t="n">
        <v>0</v>
      </c>
      <c r="H165" s="5" t="n">
        <v>0</v>
      </c>
      <c r="I165" s="5" t="n">
        <v>0</v>
      </c>
      <c r="J165" s="5" t="n">
        <v>1</v>
      </c>
      <c r="K165" s="5" t="n">
        <v>0</v>
      </c>
      <c r="L165" s="5" t="n">
        <v>0</v>
      </c>
      <c r="M165" s="5" t="n">
        <v>1</v>
      </c>
      <c r="N165" s="5" t="n">
        <v>0</v>
      </c>
      <c r="O165" s="5" t="n">
        <v>0</v>
      </c>
      <c r="P165" s="5" t="n">
        <v>0</v>
      </c>
      <c r="Q165" s="5" t="n">
        <v>0</v>
      </c>
      <c r="R165" s="5" t="n">
        <v>0</v>
      </c>
      <c r="S165" s="5" t="n">
        <v>1</v>
      </c>
      <c r="T165" s="5" t="n">
        <v>0</v>
      </c>
      <c r="U165" s="5" t="inlineStr">
        <is>
          <t>training</t>
        </is>
      </c>
      <c r="V165" s="5" t="n">
        <v>0</v>
      </c>
    </row>
    <row r="166">
      <c r="A166" s="5" t="n">
        <v>162</v>
      </c>
      <c r="B166" s="5" t="n">
        <v>0</v>
      </c>
      <c r="C166" s="6" t="n">
        <v>-0.2301473069597001</v>
      </c>
      <c r="D166" s="6" t="n">
        <v>-0.7682579935803766</v>
      </c>
      <c r="E166" s="6" t="n">
        <v>-0.4818305346669622</v>
      </c>
      <c r="F166" s="6" t="n">
        <v>0.9185437189662378</v>
      </c>
      <c r="G166" s="5" t="n">
        <v>0</v>
      </c>
      <c r="H166" s="5" t="n">
        <v>0</v>
      </c>
      <c r="I166" s="5" t="n">
        <v>0</v>
      </c>
      <c r="J166" s="5" t="n">
        <v>1</v>
      </c>
      <c r="K166" s="5" t="n">
        <v>0</v>
      </c>
      <c r="L166" s="5" t="n">
        <v>0</v>
      </c>
      <c r="M166" s="5" t="n">
        <v>0</v>
      </c>
      <c r="N166" s="5" t="n">
        <v>0</v>
      </c>
      <c r="O166" s="5" t="n">
        <v>0</v>
      </c>
      <c r="P166" s="5" t="n">
        <v>0</v>
      </c>
      <c r="Q166" s="5" t="n">
        <v>0</v>
      </c>
      <c r="R166" s="5" t="n">
        <v>1</v>
      </c>
      <c r="S166" s="5" t="n">
        <v>0</v>
      </c>
      <c r="T166" s="5" t="n">
        <v>0</v>
      </c>
      <c r="U166" s="5" t="inlineStr">
        <is>
          <t>training</t>
        </is>
      </c>
      <c r="V166" s="5" t="n">
        <v>0</v>
      </c>
    </row>
    <row r="167">
      <c r="A167" s="5" t="n">
        <v>163</v>
      </c>
      <c r="B167" s="5" t="n">
        <v>0</v>
      </c>
      <c r="C167" s="6" t="n">
        <v>-0.4829241608380317</v>
      </c>
      <c r="D167" s="6" t="n">
        <v>-0.695830196032449</v>
      </c>
      <c r="E167" s="6" t="n">
        <v>0.04000758952108359</v>
      </c>
      <c r="F167" s="6" t="n">
        <v>0.9185437189662378</v>
      </c>
      <c r="G167" s="5" t="n">
        <v>0</v>
      </c>
      <c r="H167" s="5" t="n">
        <v>0</v>
      </c>
      <c r="I167" s="5" t="n">
        <v>0</v>
      </c>
      <c r="J167" s="5" t="n">
        <v>0</v>
      </c>
      <c r="K167" s="5" t="n">
        <v>0</v>
      </c>
      <c r="L167" s="5" t="n">
        <v>0</v>
      </c>
      <c r="M167" s="5" t="n">
        <v>1</v>
      </c>
      <c r="N167" s="5" t="n">
        <v>0</v>
      </c>
      <c r="O167" s="5" t="n">
        <v>0</v>
      </c>
      <c r="P167" s="5" t="n">
        <v>0</v>
      </c>
      <c r="Q167" s="5" t="n">
        <v>0</v>
      </c>
      <c r="R167" s="5" t="n">
        <v>0</v>
      </c>
      <c r="S167" s="5" t="n">
        <v>0</v>
      </c>
      <c r="T167" s="5" t="n">
        <v>0</v>
      </c>
      <c r="U167" s="5" t="inlineStr">
        <is>
          <t>training</t>
        </is>
      </c>
      <c r="V167" s="5" t="n">
        <v>1</v>
      </c>
    </row>
    <row r="168">
      <c r="A168" s="5" t="n">
        <v>164</v>
      </c>
      <c r="B168" s="5" t="n">
        <v>0</v>
      </c>
      <c r="C168" s="6" t="n">
        <v>-0.9042189173019176</v>
      </c>
      <c r="D168" s="6" t="n">
        <v>1.41962132075388</v>
      </c>
      <c r="E168" s="6" t="n">
        <v>2.997090293253343</v>
      </c>
      <c r="F168" s="6" t="n">
        <v>-0.8850484360866833</v>
      </c>
      <c r="G168" s="5" t="n">
        <v>0</v>
      </c>
      <c r="H168" s="5" t="n">
        <v>1</v>
      </c>
      <c r="I168" s="5" t="n">
        <v>0</v>
      </c>
      <c r="J168" s="5" t="n">
        <v>0</v>
      </c>
      <c r="K168" s="5" t="n">
        <v>0</v>
      </c>
      <c r="L168" s="5" t="n">
        <v>0</v>
      </c>
      <c r="M168" s="5" t="n">
        <v>0</v>
      </c>
      <c r="N168" s="5" t="n">
        <v>0</v>
      </c>
      <c r="O168" s="5" t="n">
        <v>0</v>
      </c>
      <c r="P168" s="5" t="n">
        <v>0</v>
      </c>
      <c r="Q168" s="5" t="n">
        <v>1</v>
      </c>
      <c r="R168" s="5" t="n">
        <v>1</v>
      </c>
      <c r="S168" s="5" t="n">
        <v>0</v>
      </c>
      <c r="T168" s="5" t="n">
        <v>0</v>
      </c>
      <c r="U168" s="5" t="inlineStr">
        <is>
          <t>training</t>
        </is>
      </c>
      <c r="V168" s="5" t="n">
        <v>0</v>
      </c>
    </row>
    <row r="169">
      <c r="A169" s="5" t="n">
        <v>165</v>
      </c>
      <c r="B169" s="5" t="n">
        <v>0</v>
      </c>
      <c r="C169" s="6" t="n">
        <v>1.286513816310289</v>
      </c>
      <c r="D169" s="6" t="n">
        <v>-0.8193423338798811</v>
      </c>
      <c r="E169" s="6" t="n">
        <v>0.04000758952108359</v>
      </c>
      <c r="F169" s="6" t="n">
        <v>0.9185437189662378</v>
      </c>
      <c r="G169" s="5" t="n">
        <v>0</v>
      </c>
      <c r="H169" s="5" t="n">
        <v>0</v>
      </c>
      <c r="I169" s="5" t="n">
        <v>0</v>
      </c>
      <c r="J169" s="5" t="n">
        <v>0</v>
      </c>
      <c r="K169" s="5" t="n">
        <v>0</v>
      </c>
      <c r="L169" s="5" t="n">
        <v>0</v>
      </c>
      <c r="M169" s="5" t="n">
        <v>1</v>
      </c>
      <c r="N169" s="5" t="n">
        <v>0</v>
      </c>
      <c r="O169" s="5" t="n">
        <v>0</v>
      </c>
      <c r="P169" s="5" t="n">
        <v>0</v>
      </c>
      <c r="Q169" s="5" t="n">
        <v>0</v>
      </c>
      <c r="R169" s="5" t="n">
        <v>1</v>
      </c>
      <c r="S169" s="5" t="n">
        <v>0</v>
      </c>
      <c r="T169" s="5" t="n">
        <v>0</v>
      </c>
      <c r="U169" s="5" t="inlineStr">
        <is>
          <t>testing</t>
        </is>
      </c>
      <c r="V169" s="5" t="n">
        <v>0</v>
      </c>
    </row>
    <row r="170">
      <c r="A170" s="5" t="n">
        <v>166</v>
      </c>
      <c r="B170" s="5" t="n">
        <v>0</v>
      </c>
      <c r="C170" s="6" t="n">
        <v>-1.241254722473026</v>
      </c>
      <c r="D170" s="6" t="n">
        <v>-0.09541425114238263</v>
      </c>
      <c r="E170" s="6" t="n">
        <v>-0.307884493270947</v>
      </c>
      <c r="F170" s="6" t="n">
        <v>-1.786844513613144</v>
      </c>
      <c r="G170" s="5" t="n">
        <v>0</v>
      </c>
      <c r="H170" s="5" t="n">
        <v>0</v>
      </c>
      <c r="I170" s="5" t="n">
        <v>0</v>
      </c>
      <c r="J170" s="5" t="n">
        <v>0</v>
      </c>
      <c r="K170" s="5" t="n">
        <v>0</v>
      </c>
      <c r="L170" s="5" t="n">
        <v>0</v>
      </c>
      <c r="M170" s="5" t="n">
        <v>1</v>
      </c>
      <c r="N170" s="5" t="n">
        <v>0</v>
      </c>
      <c r="O170" s="5" t="n">
        <v>0</v>
      </c>
      <c r="P170" s="5" t="n">
        <v>0</v>
      </c>
      <c r="Q170" s="5" t="n">
        <v>0</v>
      </c>
      <c r="R170" s="5" t="n">
        <v>0</v>
      </c>
      <c r="S170" s="5" t="n">
        <v>0</v>
      </c>
      <c r="T170" s="5" t="n">
        <v>1</v>
      </c>
      <c r="U170" s="5" t="inlineStr">
        <is>
          <t>testing</t>
        </is>
      </c>
      <c r="V170" s="5" t="n">
        <v>0</v>
      </c>
    </row>
    <row r="171">
      <c r="A171" s="5" t="n">
        <v>167</v>
      </c>
      <c r="B171" s="5" t="n">
        <v>1</v>
      </c>
      <c r="C171" s="6" t="n">
        <v>-0.2301473069597001</v>
      </c>
      <c r="D171" s="6" t="n">
        <v>-0.7416661452052921</v>
      </c>
      <c r="E171" s="6" t="n">
        <v>-0.2209114725729393</v>
      </c>
      <c r="F171" s="6" t="n">
        <v>0.9185437189662378</v>
      </c>
      <c r="G171" s="5" t="n">
        <v>1</v>
      </c>
      <c r="H171" s="5" t="n">
        <v>0</v>
      </c>
      <c r="I171" s="5" t="n">
        <v>0</v>
      </c>
      <c r="J171" s="5" t="n">
        <v>0</v>
      </c>
      <c r="K171" s="5" t="n">
        <v>0</v>
      </c>
      <c r="L171" s="5" t="n">
        <v>0</v>
      </c>
      <c r="M171" s="5" t="n">
        <v>0</v>
      </c>
      <c r="N171" s="5" t="n">
        <v>0</v>
      </c>
      <c r="O171" s="5" t="n">
        <v>0</v>
      </c>
      <c r="P171" s="5" t="n">
        <v>0</v>
      </c>
      <c r="Q171" s="5" t="n">
        <v>0</v>
      </c>
      <c r="R171" s="5" t="n">
        <v>0</v>
      </c>
      <c r="S171" s="5" t="n">
        <v>0</v>
      </c>
      <c r="T171" s="5" t="n">
        <v>1</v>
      </c>
      <c r="U171" s="5" t="inlineStr">
        <is>
          <t>training</t>
        </is>
      </c>
      <c r="V171" s="5" t="n">
        <v>1</v>
      </c>
    </row>
    <row r="172">
      <c r="A172" s="5" t="n">
        <v>168</v>
      </c>
      <c r="B172" s="5" t="n">
        <v>0</v>
      </c>
      <c r="C172" s="6" t="n">
        <v>-0.8199599660091405</v>
      </c>
      <c r="D172" s="6" t="n">
        <v>-0.5856139823725591</v>
      </c>
      <c r="E172" s="6" t="n">
        <v>-1.351560741647039</v>
      </c>
      <c r="F172" s="6" t="n">
        <v>0.9185437189662378</v>
      </c>
      <c r="G172" s="5" t="n">
        <v>0</v>
      </c>
      <c r="H172" s="5" t="n">
        <v>1</v>
      </c>
      <c r="I172" s="5" t="n">
        <v>0</v>
      </c>
      <c r="J172" s="5" t="n">
        <v>0</v>
      </c>
      <c r="K172" s="5" t="n">
        <v>0</v>
      </c>
      <c r="L172" s="5" t="n">
        <v>0</v>
      </c>
      <c r="M172" s="5" t="n">
        <v>0</v>
      </c>
      <c r="N172" s="5" t="n">
        <v>1</v>
      </c>
      <c r="O172" s="5" t="n">
        <v>0</v>
      </c>
      <c r="P172" s="5" t="n">
        <v>0</v>
      </c>
      <c r="Q172" s="5" t="n">
        <v>0</v>
      </c>
      <c r="R172" s="5" t="n">
        <v>0</v>
      </c>
      <c r="S172" s="5" t="n">
        <v>0</v>
      </c>
      <c r="T172" s="5" t="n">
        <v>1</v>
      </c>
      <c r="U172" s="5" t="inlineStr">
        <is>
          <t>testing</t>
        </is>
      </c>
      <c r="V172" s="5" t="n">
        <v>0</v>
      </c>
    </row>
    <row r="173">
      <c r="A173" s="5" t="n">
        <v>169</v>
      </c>
      <c r="B173" s="5" t="n">
        <v>0</v>
      </c>
      <c r="C173" s="6" t="n">
        <v>0.275406400796963</v>
      </c>
      <c r="D173" s="6" t="n">
        <v>0.2523791341843807</v>
      </c>
      <c r="E173" s="6" t="n">
        <v>-0.9166956381570004</v>
      </c>
      <c r="F173" s="6" t="n">
        <v>-0.8850484360866833</v>
      </c>
      <c r="G173" s="5" t="n">
        <v>0</v>
      </c>
      <c r="H173" s="5" t="n">
        <v>0</v>
      </c>
      <c r="I173" s="5" t="n">
        <v>0</v>
      </c>
      <c r="J173" s="5" t="n">
        <v>0</v>
      </c>
      <c r="K173" s="5" t="n">
        <v>0</v>
      </c>
      <c r="L173" s="5" t="n">
        <v>0</v>
      </c>
      <c r="M173" s="5" t="n">
        <v>0</v>
      </c>
      <c r="N173" s="5" t="n">
        <v>0</v>
      </c>
      <c r="O173" s="5" t="n">
        <v>0</v>
      </c>
      <c r="P173" s="5" t="n">
        <v>1</v>
      </c>
      <c r="Q173" s="5" t="n">
        <v>0</v>
      </c>
      <c r="R173" s="5" t="n">
        <v>0</v>
      </c>
      <c r="S173" s="5" t="n">
        <v>0</v>
      </c>
      <c r="T173" s="5" t="n">
        <v>1</v>
      </c>
      <c r="U173" s="5" t="inlineStr">
        <is>
          <t>training</t>
        </is>
      </c>
      <c r="V173" s="5" t="n">
        <v>0</v>
      </c>
    </row>
    <row r="174">
      <c r="A174" s="5" t="n">
        <v>170</v>
      </c>
      <c r="B174" s="5" t="n">
        <v>1</v>
      </c>
      <c r="C174" s="6" t="n">
        <v>0.275406400796963</v>
      </c>
      <c r="D174" s="6" t="n">
        <v>-0.46035238081624</v>
      </c>
      <c r="E174" s="6" t="n">
        <v>-0.3948575139689546</v>
      </c>
      <c r="F174" s="6" t="n">
        <v>0.9185437189662378</v>
      </c>
      <c r="G174" s="5" t="n">
        <v>0</v>
      </c>
      <c r="H174" s="5" t="n">
        <v>1</v>
      </c>
      <c r="I174" s="5" t="n">
        <v>0</v>
      </c>
      <c r="J174" s="5" t="n">
        <v>1</v>
      </c>
      <c r="K174" s="5" t="n">
        <v>0</v>
      </c>
      <c r="L174" s="5" t="n">
        <v>0</v>
      </c>
      <c r="M174" s="5" t="n">
        <v>0</v>
      </c>
      <c r="N174" s="5" t="n">
        <v>0</v>
      </c>
      <c r="O174" s="5" t="n">
        <v>0</v>
      </c>
      <c r="P174" s="5" t="n">
        <v>0</v>
      </c>
      <c r="Q174" s="5" t="n">
        <v>0</v>
      </c>
      <c r="R174" s="5" t="n">
        <v>0</v>
      </c>
      <c r="S174" s="5" t="n">
        <v>0</v>
      </c>
      <c r="T174" s="5" t="n">
        <v>0</v>
      </c>
      <c r="U174" s="5" t="inlineStr">
        <is>
          <t>testing</t>
        </is>
      </c>
      <c r="V174" s="5" t="n">
        <v>0</v>
      </c>
    </row>
    <row r="175">
      <c r="A175" s="5" t="n">
        <v>171</v>
      </c>
      <c r="B175" s="5" t="n">
        <v>1</v>
      </c>
      <c r="C175" s="6" t="n">
        <v>-0.4829241608380317</v>
      </c>
      <c r="D175" s="6" t="n">
        <v>-0.8049967314670065</v>
      </c>
      <c r="E175" s="6" t="n">
        <v>-0.2209114725729393</v>
      </c>
      <c r="F175" s="6" t="n">
        <v>0.9185437189662378</v>
      </c>
      <c r="G175" s="5" t="n">
        <v>1</v>
      </c>
      <c r="H175" s="5" t="n">
        <v>0</v>
      </c>
      <c r="I175" s="5" t="n">
        <v>0</v>
      </c>
      <c r="J175" s="5" t="n">
        <v>0</v>
      </c>
      <c r="K175" s="5" t="n">
        <v>0</v>
      </c>
      <c r="L175" s="5" t="n">
        <v>1</v>
      </c>
      <c r="M175" s="5" t="n">
        <v>0</v>
      </c>
      <c r="N175" s="5" t="n">
        <v>0</v>
      </c>
      <c r="O175" s="5" t="n">
        <v>0</v>
      </c>
      <c r="P175" s="5" t="n">
        <v>1</v>
      </c>
      <c r="Q175" s="5" t="n">
        <v>0</v>
      </c>
      <c r="R175" s="5" t="n">
        <v>1</v>
      </c>
      <c r="S175" s="5" t="n">
        <v>0</v>
      </c>
      <c r="T175" s="5" t="n">
        <v>0</v>
      </c>
      <c r="U175" s="5" t="inlineStr">
        <is>
          <t>testing</t>
        </is>
      </c>
      <c r="V175" s="5" t="n">
        <v>0</v>
      </c>
    </row>
    <row r="176">
      <c r="A176" s="5" t="n">
        <v>172</v>
      </c>
      <c r="B176" s="5" t="n">
        <v>0</v>
      </c>
      <c r="C176" s="6" t="n">
        <v>-0.7357010147163632</v>
      </c>
      <c r="D176" s="6" t="n">
        <v>-0.8704266741793856</v>
      </c>
      <c r="E176" s="6" t="n">
        <v>-0.8297226174589928</v>
      </c>
      <c r="F176" s="6" t="n">
        <v>0.9185437189662378</v>
      </c>
      <c r="G176" s="5" t="n">
        <v>0</v>
      </c>
      <c r="H176" s="5" t="n">
        <v>0</v>
      </c>
      <c r="I176" s="5" t="n">
        <v>0</v>
      </c>
      <c r="J176" s="5" t="n">
        <v>0</v>
      </c>
      <c r="K176" s="5" t="n">
        <v>0</v>
      </c>
      <c r="L176" s="5" t="n">
        <v>0</v>
      </c>
      <c r="M176" s="5" t="n">
        <v>0</v>
      </c>
      <c r="N176" s="5" t="n">
        <v>0</v>
      </c>
      <c r="O176" s="5" t="n">
        <v>0</v>
      </c>
      <c r="P176" s="5" t="n">
        <v>0</v>
      </c>
      <c r="Q176" s="5" t="n">
        <v>0</v>
      </c>
      <c r="R176" s="5" t="n">
        <v>0</v>
      </c>
      <c r="S176" s="5" t="n">
        <v>0</v>
      </c>
      <c r="T176" s="5" t="n">
        <v>1</v>
      </c>
      <c r="U176" s="5" t="inlineStr">
        <is>
          <t>training</t>
        </is>
      </c>
      <c r="V176" s="5" t="n">
        <v>0</v>
      </c>
    </row>
    <row r="177">
      <c r="A177" s="5" t="n">
        <v>173</v>
      </c>
      <c r="B177" s="5" t="n">
        <v>1</v>
      </c>
      <c r="C177" s="6" t="n">
        <v>0.275406400796963</v>
      </c>
      <c r="D177" s="6" t="n">
        <v>-0.4152162171269518</v>
      </c>
      <c r="E177" s="6" t="n">
        <v>-0.1339384518749317</v>
      </c>
      <c r="F177" s="6" t="n">
        <v>0.01674764143977723</v>
      </c>
      <c r="G177" s="5" t="n">
        <v>0</v>
      </c>
      <c r="H177" s="5" t="n">
        <v>1</v>
      </c>
      <c r="I177" s="5" t="n">
        <v>0</v>
      </c>
      <c r="J177" s="5" t="n">
        <v>0</v>
      </c>
      <c r="K177" s="5" t="n">
        <v>1</v>
      </c>
      <c r="L177" s="5" t="n">
        <v>0</v>
      </c>
      <c r="M177" s="5" t="n">
        <v>0</v>
      </c>
      <c r="N177" s="5" t="n">
        <v>0</v>
      </c>
      <c r="O177" s="5" t="n">
        <v>0</v>
      </c>
      <c r="P177" s="5" t="n">
        <v>0</v>
      </c>
      <c r="Q177" s="5" t="n">
        <v>0</v>
      </c>
      <c r="R177" s="5" t="n">
        <v>0</v>
      </c>
      <c r="S177" s="5" t="n">
        <v>0</v>
      </c>
      <c r="T177" s="5" t="n">
        <v>1</v>
      </c>
      <c r="U177" s="5" t="inlineStr">
        <is>
          <t>training</t>
        </is>
      </c>
      <c r="V177" s="5" t="n">
        <v>1</v>
      </c>
    </row>
    <row r="178">
      <c r="A178" s="5" t="n">
        <v>174</v>
      </c>
      <c r="B178" s="5" t="n">
        <v>0</v>
      </c>
      <c r="C178" s="6" t="n">
        <v>-1.072736819887472</v>
      </c>
      <c r="D178" s="6" t="n">
        <v>-0.6426464992822799</v>
      </c>
      <c r="E178" s="6" t="n">
        <v>-0.2209114725729393</v>
      </c>
      <c r="F178" s="6" t="n">
        <v>0.9185437189662378</v>
      </c>
      <c r="G178" s="5" t="n">
        <v>0</v>
      </c>
      <c r="H178" s="5" t="n">
        <v>1</v>
      </c>
      <c r="I178" s="5" t="n">
        <v>0</v>
      </c>
      <c r="J178" s="5" t="n">
        <v>0</v>
      </c>
      <c r="K178" s="5" t="n">
        <v>0</v>
      </c>
      <c r="L178" s="5" t="n">
        <v>0</v>
      </c>
      <c r="M178" s="5" t="n">
        <v>0</v>
      </c>
      <c r="N178" s="5" t="n">
        <v>0</v>
      </c>
      <c r="O178" s="5" t="n">
        <v>0</v>
      </c>
      <c r="P178" s="5" t="n">
        <v>0</v>
      </c>
      <c r="Q178" s="5" t="n">
        <v>0</v>
      </c>
      <c r="R178" s="5" t="n">
        <v>0</v>
      </c>
      <c r="S178" s="5" t="n">
        <v>1</v>
      </c>
      <c r="T178" s="5" t="n">
        <v>0</v>
      </c>
      <c r="U178" s="5" t="inlineStr">
        <is>
          <t>training</t>
        </is>
      </c>
      <c r="V178" s="5" t="n">
        <v>0</v>
      </c>
    </row>
    <row r="179">
      <c r="A179" s="5" t="n">
        <v>175</v>
      </c>
      <c r="B179" s="5" t="n">
        <v>1</v>
      </c>
      <c r="C179" s="6" t="n">
        <v>0.02262954691863145</v>
      </c>
      <c r="D179" s="6" t="n">
        <v>0.05713898427257596</v>
      </c>
      <c r="E179" s="6" t="n">
        <v>-0.8297226174589928</v>
      </c>
      <c r="F179" s="6" t="n">
        <v>-0.8850484360866833</v>
      </c>
      <c r="G179" s="5" t="n">
        <v>1</v>
      </c>
      <c r="H179" s="5" t="n">
        <v>0</v>
      </c>
      <c r="I179" s="5" t="n">
        <v>0</v>
      </c>
      <c r="J179" s="5" t="n">
        <v>0</v>
      </c>
      <c r="K179" s="5" t="n">
        <v>1</v>
      </c>
      <c r="L179" s="5" t="n">
        <v>0</v>
      </c>
      <c r="M179" s="5" t="n">
        <v>0</v>
      </c>
      <c r="N179" s="5" t="n">
        <v>0</v>
      </c>
      <c r="O179" s="5" t="n">
        <v>0</v>
      </c>
      <c r="P179" s="5" t="n">
        <v>0</v>
      </c>
      <c r="Q179" s="5" t="n">
        <v>0</v>
      </c>
      <c r="R179" s="5" t="n">
        <v>0</v>
      </c>
      <c r="S179" s="5" t="n">
        <v>0</v>
      </c>
      <c r="T179" s="5" t="n">
        <v>0</v>
      </c>
      <c r="U179" s="5" t="inlineStr">
        <is>
          <t>training</t>
        </is>
      </c>
      <c r="V179" s="5" t="n">
        <v>1</v>
      </c>
    </row>
    <row r="180">
      <c r="A180" s="5" t="n">
        <v>176</v>
      </c>
      <c r="B180" s="5" t="n">
        <v>1</v>
      </c>
      <c r="C180" s="6" t="n">
        <v>0.7809601085536261</v>
      </c>
      <c r="D180" s="6" t="n">
        <v>1.481552336048485</v>
      </c>
      <c r="E180" s="6" t="n">
        <v>1.518548941387213</v>
      </c>
      <c r="F180" s="6" t="n">
        <v>0.9185437189662378</v>
      </c>
      <c r="G180" s="5" t="n">
        <v>0</v>
      </c>
      <c r="H180" s="5" t="n">
        <v>0</v>
      </c>
      <c r="I180" s="5" t="n">
        <v>0</v>
      </c>
      <c r="J180" s="5" t="n">
        <v>0</v>
      </c>
      <c r="K180" s="5" t="n">
        <v>0</v>
      </c>
      <c r="L180" s="5" t="n">
        <v>1</v>
      </c>
      <c r="M180" s="5" t="n">
        <v>0</v>
      </c>
      <c r="N180" s="5" t="n">
        <v>0</v>
      </c>
      <c r="O180" s="5" t="n">
        <v>1</v>
      </c>
      <c r="P180" s="5" t="n">
        <v>0</v>
      </c>
      <c r="Q180" s="5" t="n">
        <v>0</v>
      </c>
      <c r="R180" s="5" t="n">
        <v>1</v>
      </c>
      <c r="S180" s="5" t="n">
        <v>0</v>
      </c>
      <c r="T180" s="5" t="n">
        <v>0</v>
      </c>
      <c r="U180" s="5" t="inlineStr">
        <is>
          <t>testing</t>
        </is>
      </c>
      <c r="V180" s="5" t="n">
        <v>0</v>
      </c>
    </row>
    <row r="181">
      <c r="A181" s="5" t="n">
        <v>177</v>
      </c>
      <c r="B181" s="5" t="n">
        <v>0</v>
      </c>
      <c r="C181" s="6" t="n">
        <v>-0.7357010147163632</v>
      </c>
      <c r="D181" s="6" t="n">
        <v>-0.2357212405951312</v>
      </c>
      <c r="E181" s="6" t="n">
        <v>0.5618457137091294</v>
      </c>
      <c r="F181" s="6" t="n">
        <v>-0.8850484360866833</v>
      </c>
      <c r="G181" s="5" t="n">
        <v>1</v>
      </c>
      <c r="H181" s="5" t="n">
        <v>0</v>
      </c>
      <c r="I181" s="5" t="n">
        <v>0</v>
      </c>
      <c r="J181" s="5" t="n">
        <v>0</v>
      </c>
      <c r="K181" s="5" t="n">
        <v>0</v>
      </c>
      <c r="L181" s="5" t="n">
        <v>0</v>
      </c>
      <c r="M181" s="5" t="n">
        <v>0</v>
      </c>
      <c r="N181" s="5" t="n">
        <v>0</v>
      </c>
      <c r="O181" s="5" t="n">
        <v>0</v>
      </c>
      <c r="P181" s="5" t="n">
        <v>0</v>
      </c>
      <c r="Q181" s="5" t="n">
        <v>0</v>
      </c>
      <c r="R181" s="5" t="n">
        <v>0</v>
      </c>
      <c r="S181" s="5" t="n">
        <v>0</v>
      </c>
      <c r="T181" s="5" t="n">
        <v>1</v>
      </c>
      <c r="U181" s="5" t="inlineStr">
        <is>
          <t>training</t>
        </is>
      </c>
      <c r="V181" s="5" t="n">
        <v>0</v>
      </c>
    </row>
    <row r="182">
      <c r="A182" s="5" t="n">
        <v>178</v>
      </c>
      <c r="B182" s="5" t="n">
        <v>0</v>
      </c>
      <c r="C182" s="6" t="n">
        <v>-1.241254722473026</v>
      </c>
      <c r="D182" s="6" t="n">
        <v>-1.019131089434792</v>
      </c>
      <c r="E182" s="6" t="n">
        <v>1.431575920689206</v>
      </c>
      <c r="F182" s="6" t="n">
        <v>0.9185437189662378</v>
      </c>
      <c r="G182" s="5" t="n">
        <v>1</v>
      </c>
      <c r="H182" s="5" t="n">
        <v>0</v>
      </c>
      <c r="I182" s="5" t="n">
        <v>0</v>
      </c>
      <c r="J182" s="5" t="n">
        <v>1</v>
      </c>
      <c r="K182" s="5" t="n">
        <v>0</v>
      </c>
      <c r="L182" s="5" t="n">
        <v>0</v>
      </c>
      <c r="M182" s="5" t="n">
        <v>1</v>
      </c>
      <c r="N182" s="5" t="n">
        <v>0</v>
      </c>
      <c r="O182" s="5" t="n">
        <v>0</v>
      </c>
      <c r="P182" s="5" t="n">
        <v>0</v>
      </c>
      <c r="Q182" s="5" t="n">
        <v>0</v>
      </c>
      <c r="R182" s="5" t="n">
        <v>0</v>
      </c>
      <c r="S182" s="5" t="n">
        <v>1</v>
      </c>
      <c r="T182" s="5" t="n">
        <v>0</v>
      </c>
      <c r="U182" s="5" t="inlineStr">
        <is>
          <t>training</t>
        </is>
      </c>
      <c r="V182" s="5" t="n">
        <v>0</v>
      </c>
    </row>
    <row r="183">
      <c r="A183" s="5" t="n">
        <v>179</v>
      </c>
      <c r="B183" s="5" t="n">
        <v>0</v>
      </c>
      <c r="C183" s="6" t="n">
        <v>-0.7357010147163632</v>
      </c>
      <c r="D183" s="6" t="n">
        <v>-0.450555384046472</v>
      </c>
      <c r="E183" s="6" t="n">
        <v>-0.3948575139689546</v>
      </c>
      <c r="F183" s="6" t="n">
        <v>0.9185437189662378</v>
      </c>
      <c r="G183" s="5" t="n">
        <v>0</v>
      </c>
      <c r="H183" s="5" t="n">
        <v>0</v>
      </c>
      <c r="I183" s="5" t="n">
        <v>0</v>
      </c>
      <c r="J183" s="5" t="n">
        <v>0</v>
      </c>
      <c r="K183" s="5" t="n">
        <v>0</v>
      </c>
      <c r="L183" s="5" t="n">
        <v>0</v>
      </c>
      <c r="M183" s="5" t="n">
        <v>0</v>
      </c>
      <c r="N183" s="5" t="n">
        <v>0</v>
      </c>
      <c r="O183" s="5" t="n">
        <v>0</v>
      </c>
      <c r="P183" s="5" t="n">
        <v>1</v>
      </c>
      <c r="Q183" s="5" t="n">
        <v>0</v>
      </c>
      <c r="R183" s="5" t="n">
        <v>0</v>
      </c>
      <c r="S183" s="5" t="n">
        <v>1</v>
      </c>
      <c r="T183" s="5" t="n">
        <v>0</v>
      </c>
      <c r="U183" s="5" t="inlineStr">
        <is>
          <t>training</t>
        </is>
      </c>
      <c r="V183" s="5" t="n">
        <v>0</v>
      </c>
    </row>
    <row r="184">
      <c r="A184" s="5" t="n">
        <v>180</v>
      </c>
      <c r="B184" s="5" t="n">
        <v>0</v>
      </c>
      <c r="C184" s="6" t="n">
        <v>0.02262954691863145</v>
      </c>
      <c r="D184" s="6" t="n">
        <v>-0.9376060806006516</v>
      </c>
      <c r="E184" s="6" t="n">
        <v>2.562225189763305</v>
      </c>
      <c r="F184" s="6" t="n">
        <v>0.9185437189662378</v>
      </c>
      <c r="G184" s="5" t="n">
        <v>1</v>
      </c>
      <c r="H184" s="5" t="n">
        <v>0</v>
      </c>
      <c r="I184" s="5" t="n">
        <v>0</v>
      </c>
      <c r="J184" s="5" t="n">
        <v>1</v>
      </c>
      <c r="K184" s="5" t="n">
        <v>0</v>
      </c>
      <c r="L184" s="5" t="n">
        <v>0</v>
      </c>
      <c r="M184" s="5" t="n">
        <v>0</v>
      </c>
      <c r="N184" s="5" t="n">
        <v>0</v>
      </c>
      <c r="O184" s="5" t="n">
        <v>0</v>
      </c>
      <c r="P184" s="5" t="n">
        <v>0</v>
      </c>
      <c r="Q184" s="5" t="n">
        <v>0</v>
      </c>
      <c r="R184" s="5" t="n">
        <v>1</v>
      </c>
      <c r="S184" s="5" t="n">
        <v>0</v>
      </c>
      <c r="T184" s="5" t="n">
        <v>0</v>
      </c>
      <c r="U184" s="5" t="inlineStr">
        <is>
          <t>training</t>
        </is>
      </c>
      <c r="V184" s="5" t="n">
        <v>0</v>
      </c>
    </row>
    <row r="185">
      <c r="A185" s="5" t="n">
        <v>181</v>
      </c>
      <c r="B185" s="5" t="n">
        <v>1</v>
      </c>
      <c r="C185" s="6" t="n">
        <v>1.286513816310289</v>
      </c>
      <c r="D185" s="6" t="n">
        <v>2.211778488137977</v>
      </c>
      <c r="E185" s="6" t="n">
        <v>-0.6557765760629775</v>
      </c>
      <c r="F185" s="6" t="n">
        <v>-1.786844513613144</v>
      </c>
      <c r="G185" s="5" t="n">
        <v>0</v>
      </c>
      <c r="H185" s="5" t="n">
        <v>0</v>
      </c>
      <c r="I185" s="5" t="n">
        <v>0</v>
      </c>
      <c r="J185" s="5" t="n">
        <v>0</v>
      </c>
      <c r="K185" s="5" t="n">
        <v>1</v>
      </c>
      <c r="L185" s="5" t="n">
        <v>0</v>
      </c>
      <c r="M185" s="5" t="n">
        <v>0</v>
      </c>
      <c r="N185" s="5" t="n">
        <v>0</v>
      </c>
      <c r="O185" s="5" t="n">
        <v>0</v>
      </c>
      <c r="P185" s="5" t="n">
        <v>0</v>
      </c>
      <c r="Q185" s="5" t="n">
        <v>0</v>
      </c>
      <c r="R185" s="5" t="n">
        <v>0</v>
      </c>
      <c r="S185" s="5" t="n">
        <v>0</v>
      </c>
      <c r="T185" s="5" t="n">
        <v>0</v>
      </c>
      <c r="U185" s="5" t="inlineStr">
        <is>
          <t>training</t>
        </is>
      </c>
      <c r="V185" s="5" t="n">
        <v>1</v>
      </c>
    </row>
    <row r="186">
      <c r="A186" s="5" t="n">
        <v>182</v>
      </c>
      <c r="B186" s="5" t="n">
        <v>1</v>
      </c>
      <c r="C186" s="6" t="n">
        <v>1.286513816310289</v>
      </c>
      <c r="D186" s="6" t="n">
        <v>0.4213773284628785</v>
      </c>
      <c r="E186" s="6" t="n">
        <v>-0.4818305346669622</v>
      </c>
      <c r="F186" s="6" t="n">
        <v>-0.8850484360866833</v>
      </c>
      <c r="G186" s="5" t="n">
        <v>0</v>
      </c>
      <c r="H186" s="5" t="n">
        <v>1</v>
      </c>
      <c r="I186" s="5" t="n">
        <v>0</v>
      </c>
      <c r="J186" s="5" t="n">
        <v>0</v>
      </c>
      <c r="K186" s="5" t="n">
        <v>1</v>
      </c>
      <c r="L186" s="5" t="n">
        <v>0</v>
      </c>
      <c r="M186" s="5" t="n">
        <v>0</v>
      </c>
      <c r="N186" s="5" t="n">
        <v>0</v>
      </c>
      <c r="O186" s="5" t="n">
        <v>0</v>
      </c>
      <c r="P186" s="5" t="n">
        <v>0</v>
      </c>
      <c r="Q186" s="5" t="n">
        <v>0</v>
      </c>
      <c r="R186" s="5" t="n">
        <v>0</v>
      </c>
      <c r="S186" s="5" t="n">
        <v>0</v>
      </c>
      <c r="T186" s="5" t="n">
        <v>0</v>
      </c>
      <c r="U186" s="5" t="inlineStr">
        <is>
          <t>training</t>
        </is>
      </c>
      <c r="V186" s="5" t="n">
        <v>1</v>
      </c>
    </row>
    <row r="187">
      <c r="A187" s="5" t="n">
        <v>183</v>
      </c>
      <c r="B187" s="5" t="n">
        <v>1</v>
      </c>
      <c r="C187" s="6" t="n">
        <v>0.02262954691863145</v>
      </c>
      <c r="D187" s="6" t="n">
        <v>-0.5611214904481392</v>
      </c>
      <c r="E187" s="6" t="n">
        <v>0.3878996723131141</v>
      </c>
      <c r="F187" s="6" t="n">
        <v>0.9185437189662378</v>
      </c>
      <c r="G187" s="5" t="n">
        <v>1</v>
      </c>
      <c r="H187" s="5" t="n">
        <v>0</v>
      </c>
      <c r="I187" s="5" t="n">
        <v>0</v>
      </c>
      <c r="J187" s="5" t="n">
        <v>0</v>
      </c>
      <c r="K187" s="5" t="n">
        <v>0</v>
      </c>
      <c r="L187" s="5" t="n">
        <v>1</v>
      </c>
      <c r="M187" s="5" t="n">
        <v>0</v>
      </c>
      <c r="N187" s="5" t="n">
        <v>0</v>
      </c>
      <c r="O187" s="5" t="n">
        <v>1</v>
      </c>
      <c r="P187" s="5" t="n">
        <v>0</v>
      </c>
      <c r="Q187" s="5" t="n">
        <v>0</v>
      </c>
      <c r="R187" s="5" t="n">
        <v>1</v>
      </c>
      <c r="S187" s="5" t="n">
        <v>0</v>
      </c>
      <c r="T187" s="5" t="n">
        <v>0</v>
      </c>
      <c r="U187" s="5" t="inlineStr">
        <is>
          <t>training</t>
        </is>
      </c>
      <c r="V187" s="5" t="n">
        <v>1</v>
      </c>
    </row>
    <row r="188">
      <c r="A188" s="5" t="n">
        <v>184</v>
      </c>
      <c r="B188" s="5" t="n">
        <v>0</v>
      </c>
      <c r="C188" s="6" t="n">
        <v>0.275406400796963</v>
      </c>
      <c r="D188" s="6" t="n">
        <v>0.1841500495377823</v>
      </c>
      <c r="E188" s="6" t="n">
        <v>1.257629879293191</v>
      </c>
      <c r="F188" s="6" t="n">
        <v>0.9185437189662378</v>
      </c>
      <c r="G188" s="5" t="n">
        <v>0</v>
      </c>
      <c r="H188" s="5" t="n">
        <v>0</v>
      </c>
      <c r="I188" s="5" t="n">
        <v>0</v>
      </c>
      <c r="J188" s="5" t="n">
        <v>1</v>
      </c>
      <c r="K188" s="5" t="n">
        <v>0</v>
      </c>
      <c r="L188" s="5" t="n">
        <v>0</v>
      </c>
      <c r="M188" s="5" t="n">
        <v>0</v>
      </c>
      <c r="N188" s="5" t="n">
        <v>1</v>
      </c>
      <c r="O188" s="5" t="n">
        <v>0</v>
      </c>
      <c r="P188" s="5" t="n">
        <v>0</v>
      </c>
      <c r="Q188" s="5" t="n">
        <v>0</v>
      </c>
      <c r="R188" s="5" t="n">
        <v>0</v>
      </c>
      <c r="S188" s="5" t="n">
        <v>0</v>
      </c>
      <c r="T188" s="5" t="n">
        <v>1</v>
      </c>
      <c r="U188" s="5" t="inlineStr">
        <is>
          <t>testing</t>
        </is>
      </c>
      <c r="V188" s="5" t="n">
        <v>0</v>
      </c>
    </row>
    <row r="189">
      <c r="A189" s="5" t="n">
        <v>185</v>
      </c>
      <c r="B189" s="5" t="n">
        <v>1</v>
      </c>
      <c r="C189" s="6" t="n">
        <v>-0.2301473069597001</v>
      </c>
      <c r="D189" s="6" t="n">
        <v>-0.8280896524243168</v>
      </c>
      <c r="E189" s="6" t="n">
        <v>0.04000758952108359</v>
      </c>
      <c r="F189" s="6" t="n">
        <v>0.9185437189662378</v>
      </c>
      <c r="G189" s="5" t="n">
        <v>0</v>
      </c>
      <c r="H189" s="5" t="n">
        <v>1</v>
      </c>
      <c r="I189" s="5" t="n">
        <v>0</v>
      </c>
      <c r="J189" s="5" t="n">
        <v>1</v>
      </c>
      <c r="K189" s="5" t="n">
        <v>0</v>
      </c>
      <c r="L189" s="5" t="n">
        <v>0</v>
      </c>
      <c r="M189" s="5" t="n">
        <v>0</v>
      </c>
      <c r="N189" s="5" t="n">
        <v>0</v>
      </c>
      <c r="O189" s="5" t="n">
        <v>0</v>
      </c>
      <c r="P189" s="5" t="n">
        <v>0</v>
      </c>
      <c r="Q189" s="5" t="n">
        <v>0</v>
      </c>
      <c r="R189" s="5" t="n">
        <v>1</v>
      </c>
      <c r="S189" s="5" t="n">
        <v>0</v>
      </c>
      <c r="T189" s="5" t="n">
        <v>0</v>
      </c>
      <c r="U189" s="5" t="inlineStr">
        <is>
          <t>training</t>
        </is>
      </c>
      <c r="V189" s="5" t="n">
        <v>1</v>
      </c>
    </row>
    <row r="190">
      <c r="A190" s="5" t="n">
        <v>186</v>
      </c>
      <c r="B190" s="5" t="n">
        <v>0</v>
      </c>
      <c r="C190" s="6" t="n">
        <v>-0.4829241608380317</v>
      </c>
      <c r="D190" s="6" t="n">
        <v>-0.6615407073382611</v>
      </c>
      <c r="E190" s="6" t="n">
        <v>-0.3948575139689546</v>
      </c>
      <c r="F190" s="6" t="n">
        <v>0.9185437189662378</v>
      </c>
      <c r="G190" s="5" t="n">
        <v>0</v>
      </c>
      <c r="H190" s="5" t="n">
        <v>0</v>
      </c>
      <c r="I190" s="5" t="n">
        <v>0</v>
      </c>
      <c r="J190" s="5" t="n">
        <v>1</v>
      </c>
      <c r="K190" s="5" t="n">
        <v>0</v>
      </c>
      <c r="L190" s="5" t="n">
        <v>0</v>
      </c>
      <c r="M190" s="5" t="n">
        <v>0</v>
      </c>
      <c r="N190" s="5" t="n">
        <v>0</v>
      </c>
      <c r="O190" s="5" t="n">
        <v>0</v>
      </c>
      <c r="P190" s="5" t="n">
        <v>0</v>
      </c>
      <c r="Q190" s="5" t="n">
        <v>0</v>
      </c>
      <c r="R190" s="5" t="n">
        <v>0</v>
      </c>
      <c r="S190" s="5" t="n">
        <v>1</v>
      </c>
      <c r="T190" s="5" t="n">
        <v>0</v>
      </c>
      <c r="U190" s="5" t="inlineStr">
        <is>
          <t>training</t>
        </is>
      </c>
      <c r="V190" s="5" t="n">
        <v>0</v>
      </c>
    </row>
    <row r="191">
      <c r="A191" s="5" t="n">
        <v>187</v>
      </c>
      <c r="B191" s="5" t="n">
        <v>1</v>
      </c>
      <c r="C191" s="6" t="n">
        <v>-0.9884778685946948</v>
      </c>
      <c r="D191" s="6" t="n">
        <v>0.6572050364208649</v>
      </c>
      <c r="E191" s="6" t="n">
        <v>3.344982376045374</v>
      </c>
      <c r="F191" s="6" t="n">
        <v>-0.8850484360866833</v>
      </c>
      <c r="G191" s="5" t="n">
        <v>0</v>
      </c>
      <c r="H191" s="5" t="n">
        <v>1</v>
      </c>
      <c r="I191" s="5" t="n">
        <v>0</v>
      </c>
      <c r="J191" s="5" t="n">
        <v>0</v>
      </c>
      <c r="K191" s="5" t="n">
        <v>0</v>
      </c>
      <c r="L191" s="5" t="n">
        <v>1</v>
      </c>
      <c r="M191" s="5" t="n">
        <v>0</v>
      </c>
      <c r="N191" s="5" t="n">
        <v>0</v>
      </c>
      <c r="O191" s="5" t="n">
        <v>0</v>
      </c>
      <c r="P191" s="5" t="n">
        <v>0</v>
      </c>
      <c r="Q191" s="5" t="n">
        <v>1</v>
      </c>
      <c r="R191" s="5" t="n">
        <v>1</v>
      </c>
      <c r="S191" s="5" t="n">
        <v>0</v>
      </c>
      <c r="T191" s="5" t="n">
        <v>0</v>
      </c>
      <c r="U191" s="5" t="inlineStr">
        <is>
          <t>training</t>
        </is>
      </c>
      <c r="V191" s="5" t="n">
        <v>1</v>
      </c>
    </row>
    <row r="192">
      <c r="A192" s="5" t="n">
        <v>188</v>
      </c>
      <c r="B192" s="5" t="n">
        <v>0</v>
      </c>
      <c r="C192" s="6" t="n">
        <v>-0.3986652095452545</v>
      </c>
      <c r="D192" s="6" t="n">
        <v>-0.7262708645670852</v>
      </c>
      <c r="E192" s="6" t="n">
        <v>2.823144251857328</v>
      </c>
      <c r="F192" s="6" t="n">
        <v>-0.8850484360866833</v>
      </c>
      <c r="G192" s="5" t="n">
        <v>0</v>
      </c>
      <c r="H192" s="5" t="n">
        <v>1</v>
      </c>
      <c r="I192" s="5" t="n">
        <v>0</v>
      </c>
      <c r="J192" s="5" t="n">
        <v>1</v>
      </c>
      <c r="K192" s="5" t="n">
        <v>0</v>
      </c>
      <c r="L192" s="5" t="n">
        <v>0</v>
      </c>
      <c r="M192" s="5" t="n">
        <v>0</v>
      </c>
      <c r="N192" s="5" t="n">
        <v>0</v>
      </c>
      <c r="O192" s="5" t="n">
        <v>0</v>
      </c>
      <c r="P192" s="5" t="n">
        <v>0</v>
      </c>
      <c r="Q192" s="5" t="n">
        <v>1</v>
      </c>
      <c r="R192" s="5" t="n">
        <v>1</v>
      </c>
      <c r="S192" s="5" t="n">
        <v>0</v>
      </c>
      <c r="T192" s="5" t="n">
        <v>0</v>
      </c>
      <c r="U192" s="5" t="inlineStr">
        <is>
          <t>training</t>
        </is>
      </c>
      <c r="V192" s="5" t="n">
        <v>0</v>
      </c>
    </row>
    <row r="193">
      <c r="A193" s="5" t="n">
        <v>189</v>
      </c>
      <c r="B193" s="5" t="n">
        <v>1</v>
      </c>
      <c r="C193" s="6" t="n">
        <v>-0.7357010147163632</v>
      </c>
      <c r="D193" s="6" t="n">
        <v>-0.9015671281975766</v>
      </c>
      <c r="E193" s="6" t="n">
        <v>-1.351560741647039</v>
      </c>
      <c r="F193" s="6" t="n">
        <v>0.9185437189662378</v>
      </c>
      <c r="G193" s="5" t="n">
        <v>1</v>
      </c>
      <c r="H193" s="5" t="n">
        <v>0</v>
      </c>
      <c r="I193" s="5" t="n">
        <v>0</v>
      </c>
      <c r="J193" s="5" t="n">
        <v>0</v>
      </c>
      <c r="K193" s="5" t="n">
        <v>0</v>
      </c>
      <c r="L193" s="5" t="n">
        <v>0</v>
      </c>
      <c r="M193" s="5" t="n">
        <v>1</v>
      </c>
      <c r="N193" s="5" t="n">
        <v>0</v>
      </c>
      <c r="O193" s="5" t="n">
        <v>0</v>
      </c>
      <c r="P193" s="5" t="n">
        <v>0</v>
      </c>
      <c r="Q193" s="5" t="n">
        <v>0</v>
      </c>
      <c r="R193" s="5" t="n">
        <v>0</v>
      </c>
      <c r="S193" s="5" t="n">
        <v>1</v>
      </c>
      <c r="T193" s="5" t="n">
        <v>0</v>
      </c>
      <c r="U193" s="5" t="inlineStr">
        <is>
          <t>training</t>
        </is>
      </c>
      <c r="V193" s="5" t="n">
        <v>1</v>
      </c>
    </row>
    <row r="194">
      <c r="A194" s="5" t="n">
        <v>190</v>
      </c>
      <c r="B194" s="5" t="n">
        <v>0</v>
      </c>
      <c r="C194" s="6" t="n">
        <v>-0.2301473069597001</v>
      </c>
      <c r="D194" s="6" t="n">
        <v>-0.00234278182958679</v>
      </c>
      <c r="E194" s="6" t="n">
        <v>-0.2209114725729393</v>
      </c>
      <c r="F194" s="6" t="n">
        <v>-1.786844513613144</v>
      </c>
      <c r="G194" s="5" t="n">
        <v>0</v>
      </c>
      <c r="H194" s="5" t="n">
        <v>1</v>
      </c>
      <c r="I194" s="5" t="n">
        <v>0</v>
      </c>
      <c r="J194" s="5" t="n">
        <v>0</v>
      </c>
      <c r="K194" s="5" t="n">
        <v>0</v>
      </c>
      <c r="L194" s="5" t="n">
        <v>1</v>
      </c>
      <c r="M194" s="5" t="n">
        <v>0</v>
      </c>
      <c r="N194" s="5" t="n">
        <v>0</v>
      </c>
      <c r="O194" s="5" t="n">
        <v>0</v>
      </c>
      <c r="P194" s="5" t="n">
        <v>0</v>
      </c>
      <c r="Q194" s="5" t="n">
        <v>0</v>
      </c>
      <c r="R194" s="5" t="n">
        <v>0</v>
      </c>
      <c r="S194" s="5" t="n">
        <v>0</v>
      </c>
      <c r="T194" s="5" t="n">
        <v>1</v>
      </c>
      <c r="U194" s="5" t="inlineStr">
        <is>
          <t>training</t>
        </is>
      </c>
      <c r="V194" s="5" t="n">
        <v>1</v>
      </c>
    </row>
    <row r="195">
      <c r="A195" s="5" t="n">
        <v>191</v>
      </c>
      <c r="B195" s="5" t="n">
        <v>1</v>
      </c>
      <c r="C195" s="6" t="n">
        <v>0.275406400796963</v>
      </c>
      <c r="D195" s="6" t="n">
        <v>0.4689627413446086</v>
      </c>
      <c r="E195" s="6" t="n">
        <v>1.605521962085221</v>
      </c>
      <c r="F195" s="6" t="n">
        <v>-0.8850484360866833</v>
      </c>
      <c r="G195" s="5" t="n">
        <v>0</v>
      </c>
      <c r="H195" s="5" t="n">
        <v>0</v>
      </c>
      <c r="I195" s="5" t="n">
        <v>0</v>
      </c>
      <c r="J195" s="5" t="n">
        <v>0</v>
      </c>
      <c r="K195" s="5" t="n">
        <v>0</v>
      </c>
      <c r="L195" s="5" t="n">
        <v>0</v>
      </c>
      <c r="M195" s="5" t="n">
        <v>0</v>
      </c>
      <c r="N195" s="5" t="n">
        <v>1</v>
      </c>
      <c r="O195" s="5" t="n">
        <v>0</v>
      </c>
      <c r="P195" s="5" t="n">
        <v>0</v>
      </c>
      <c r="Q195" s="5" t="n">
        <v>0</v>
      </c>
      <c r="R195" s="5" t="n">
        <v>0</v>
      </c>
      <c r="S195" s="5" t="n">
        <v>0</v>
      </c>
      <c r="T195" s="5" t="n">
        <v>0</v>
      </c>
      <c r="U195" s="5" t="inlineStr">
        <is>
          <t>training</t>
        </is>
      </c>
      <c r="V195" s="5" t="n">
        <v>1</v>
      </c>
    </row>
    <row r="196">
      <c r="A196" s="5" t="n">
        <v>192</v>
      </c>
      <c r="B196" s="5" t="n">
        <v>1</v>
      </c>
      <c r="C196" s="6" t="n">
        <v>2.297621231823615</v>
      </c>
      <c r="D196" s="6" t="n">
        <v>0.20759286323687</v>
      </c>
      <c r="E196" s="6" t="n">
        <v>-0.1339384518749317</v>
      </c>
      <c r="F196" s="6" t="n">
        <v>0.9185437189662378</v>
      </c>
      <c r="G196" s="5" t="n">
        <v>0</v>
      </c>
      <c r="H196" s="5" t="n">
        <v>1</v>
      </c>
      <c r="I196" s="5" t="n">
        <v>0</v>
      </c>
      <c r="J196" s="5" t="n">
        <v>0</v>
      </c>
      <c r="K196" s="5" t="n">
        <v>0</v>
      </c>
      <c r="L196" s="5" t="n">
        <v>1</v>
      </c>
      <c r="M196" s="5" t="n">
        <v>1</v>
      </c>
      <c r="N196" s="5" t="n">
        <v>0</v>
      </c>
      <c r="O196" s="5" t="n">
        <v>0</v>
      </c>
      <c r="P196" s="5" t="n">
        <v>0</v>
      </c>
      <c r="Q196" s="5" t="n">
        <v>1</v>
      </c>
      <c r="R196" s="5" t="n">
        <v>0</v>
      </c>
      <c r="S196" s="5" t="n">
        <v>0</v>
      </c>
      <c r="T196" s="5" t="n">
        <v>0</v>
      </c>
      <c r="U196" s="5" t="inlineStr">
        <is>
          <t>training</t>
        </is>
      </c>
      <c r="V196" s="5" t="n">
        <v>1</v>
      </c>
    </row>
    <row r="197">
      <c r="A197" s="5" t="n">
        <v>193</v>
      </c>
      <c r="B197" s="5" t="n">
        <v>1</v>
      </c>
      <c r="C197" s="6" t="n">
        <v>0.5281832546752946</v>
      </c>
      <c r="D197" s="6" t="n">
        <v>0.2324352479030674</v>
      </c>
      <c r="E197" s="6" t="n">
        <v>0.04000758952108359</v>
      </c>
      <c r="F197" s="6" t="n">
        <v>0.9185437189662378</v>
      </c>
      <c r="G197" s="5" t="n">
        <v>0</v>
      </c>
      <c r="H197" s="5" t="n">
        <v>1</v>
      </c>
      <c r="I197" s="5" t="n">
        <v>0</v>
      </c>
      <c r="J197" s="5" t="n">
        <v>0</v>
      </c>
      <c r="K197" s="5" t="n">
        <v>0</v>
      </c>
      <c r="L197" s="5" t="n">
        <v>0</v>
      </c>
      <c r="M197" s="5" t="n">
        <v>0</v>
      </c>
      <c r="N197" s="5" t="n">
        <v>0</v>
      </c>
      <c r="O197" s="5" t="n">
        <v>0</v>
      </c>
      <c r="P197" s="5" t="n">
        <v>0</v>
      </c>
      <c r="Q197" s="5" t="n">
        <v>0</v>
      </c>
      <c r="R197" s="5" t="n">
        <v>0</v>
      </c>
      <c r="S197" s="5" t="n">
        <v>0</v>
      </c>
      <c r="T197" s="5" t="n">
        <v>0</v>
      </c>
      <c r="U197" s="5" t="inlineStr">
        <is>
          <t>testing</t>
        </is>
      </c>
      <c r="V197" s="5" t="n">
        <v>0</v>
      </c>
    </row>
    <row r="198">
      <c r="A198" s="5" t="n">
        <v>194</v>
      </c>
      <c r="B198" s="5" t="n">
        <v>0</v>
      </c>
      <c r="C198" s="6" t="n">
        <v>-1.241254722473026</v>
      </c>
      <c r="D198" s="6" t="n">
        <v>-0.3998209364887449</v>
      </c>
      <c r="E198" s="6" t="n">
        <v>-0.5688035553649698</v>
      </c>
      <c r="F198" s="6" t="n">
        <v>-0.8850484360866833</v>
      </c>
      <c r="G198" s="5" t="n">
        <v>0</v>
      </c>
      <c r="H198" s="5" t="n">
        <v>0</v>
      </c>
      <c r="I198" s="5" t="n">
        <v>0</v>
      </c>
      <c r="J198" s="5" t="n">
        <v>0</v>
      </c>
      <c r="K198" s="5" t="n">
        <v>0</v>
      </c>
      <c r="L198" s="5" t="n">
        <v>0</v>
      </c>
      <c r="M198" s="5" t="n">
        <v>0</v>
      </c>
      <c r="N198" s="5" t="n">
        <v>0</v>
      </c>
      <c r="O198" s="5" t="n">
        <v>0</v>
      </c>
      <c r="P198" s="5" t="n">
        <v>1</v>
      </c>
      <c r="Q198" s="5" t="n">
        <v>0</v>
      </c>
      <c r="R198" s="5" t="n">
        <v>0</v>
      </c>
      <c r="S198" s="5" t="n">
        <v>1</v>
      </c>
      <c r="T198" s="5" t="n">
        <v>0</v>
      </c>
      <c r="U198" s="5" t="inlineStr">
        <is>
          <t>testing</t>
        </is>
      </c>
      <c r="V198" s="5" t="n">
        <v>0</v>
      </c>
    </row>
    <row r="199">
      <c r="A199" s="5" t="n">
        <v>195</v>
      </c>
      <c r="B199" s="5" t="n">
        <v>1</v>
      </c>
      <c r="C199" s="6" t="n">
        <v>2.044844377945284</v>
      </c>
      <c r="D199" s="6" t="n">
        <v>-0.07686993582817894</v>
      </c>
      <c r="E199" s="6" t="n">
        <v>-1.264587720949031</v>
      </c>
      <c r="F199" s="6" t="n">
        <v>0.9185437189662378</v>
      </c>
      <c r="G199" s="5" t="n">
        <v>0</v>
      </c>
      <c r="H199" s="5" t="n">
        <v>1</v>
      </c>
      <c r="I199" s="5" t="n">
        <v>0</v>
      </c>
      <c r="J199" s="5" t="n">
        <v>0</v>
      </c>
      <c r="K199" s="5" t="n">
        <v>0</v>
      </c>
      <c r="L199" s="5" t="n">
        <v>0</v>
      </c>
      <c r="M199" s="5" t="n">
        <v>1</v>
      </c>
      <c r="N199" s="5" t="n">
        <v>0</v>
      </c>
      <c r="O199" s="5" t="n">
        <v>0</v>
      </c>
      <c r="P199" s="5" t="n">
        <v>1</v>
      </c>
      <c r="Q199" s="5" t="n">
        <v>0</v>
      </c>
      <c r="R199" s="5" t="n">
        <v>0</v>
      </c>
      <c r="S199" s="5" t="n">
        <v>1</v>
      </c>
      <c r="T199" s="5" t="n">
        <v>0</v>
      </c>
      <c r="U199" s="5" t="inlineStr">
        <is>
          <t>training</t>
        </is>
      </c>
      <c r="V199" s="5" t="n">
        <v>1</v>
      </c>
    </row>
    <row r="200">
      <c r="A200" s="5" t="n">
        <v>196</v>
      </c>
      <c r="B200" s="5" t="n">
        <v>1</v>
      </c>
      <c r="C200" s="6" t="n">
        <v>-0.9884778685946948</v>
      </c>
      <c r="D200" s="6" t="n">
        <v>-0.6122058307476437</v>
      </c>
      <c r="E200" s="6" t="n">
        <v>-0.1339384518749317</v>
      </c>
      <c r="F200" s="6" t="n">
        <v>-0.8850484360866833</v>
      </c>
      <c r="G200" s="5" t="n">
        <v>0</v>
      </c>
      <c r="H200" s="5" t="n">
        <v>1</v>
      </c>
      <c r="I200" s="5" t="n">
        <v>0</v>
      </c>
      <c r="J200" s="5" t="n">
        <v>1</v>
      </c>
      <c r="K200" s="5" t="n">
        <v>0</v>
      </c>
      <c r="L200" s="5" t="n">
        <v>0</v>
      </c>
      <c r="M200" s="5" t="n">
        <v>0</v>
      </c>
      <c r="N200" s="5" t="n">
        <v>0</v>
      </c>
      <c r="O200" s="5" t="n">
        <v>0</v>
      </c>
      <c r="P200" s="5" t="n">
        <v>0</v>
      </c>
      <c r="Q200" s="5" t="n">
        <v>0</v>
      </c>
      <c r="R200" s="5" t="n">
        <v>0</v>
      </c>
      <c r="S200" s="5" t="n">
        <v>0</v>
      </c>
      <c r="T200" s="5" t="n">
        <v>0</v>
      </c>
      <c r="U200" s="5" t="inlineStr">
        <is>
          <t>training</t>
        </is>
      </c>
      <c r="V200" s="5" t="n">
        <v>1</v>
      </c>
    </row>
    <row r="201">
      <c r="A201" s="5" t="n">
        <v>197</v>
      </c>
      <c r="B201" s="5" t="n">
        <v>0</v>
      </c>
      <c r="C201" s="6" t="n">
        <v>-1.241254722473026</v>
      </c>
      <c r="D201" s="6" t="n">
        <v>-0.6538430670191576</v>
      </c>
      <c r="E201" s="6" t="n">
        <v>-0.6557765760629775</v>
      </c>
      <c r="F201" s="6" t="n">
        <v>-1.786844513613144</v>
      </c>
      <c r="G201" s="5" t="n">
        <v>0</v>
      </c>
      <c r="H201" s="5" t="n">
        <v>0</v>
      </c>
      <c r="I201" s="5" t="n">
        <v>0</v>
      </c>
      <c r="J201" s="5" t="n">
        <v>1</v>
      </c>
      <c r="K201" s="5" t="n">
        <v>0</v>
      </c>
      <c r="L201" s="5" t="n">
        <v>0</v>
      </c>
      <c r="M201" s="5" t="n">
        <v>0</v>
      </c>
      <c r="N201" s="5" t="n">
        <v>0</v>
      </c>
      <c r="O201" s="5" t="n">
        <v>0</v>
      </c>
      <c r="P201" s="5" t="n">
        <v>0</v>
      </c>
      <c r="Q201" s="5" t="n">
        <v>0</v>
      </c>
      <c r="R201" s="5" t="n">
        <v>0</v>
      </c>
      <c r="S201" s="5" t="n">
        <v>1</v>
      </c>
      <c r="T201" s="5" t="n">
        <v>0</v>
      </c>
      <c r="U201" s="5" t="inlineStr">
        <is>
          <t>training</t>
        </is>
      </c>
      <c r="V201" s="5" t="n">
        <v>0</v>
      </c>
    </row>
    <row r="202">
      <c r="A202" s="5" t="n">
        <v>198</v>
      </c>
      <c r="B202" s="5" t="n">
        <v>1</v>
      </c>
      <c r="C202" s="6" t="n">
        <v>-0.7357010147163632</v>
      </c>
      <c r="D202" s="6" t="n">
        <v>-0.804646838725229</v>
      </c>
      <c r="E202" s="6" t="n">
        <v>-0.7427495967609852</v>
      </c>
      <c r="F202" s="6" t="n">
        <v>0.9185437189662378</v>
      </c>
      <c r="G202" s="5" t="n">
        <v>0</v>
      </c>
      <c r="H202" s="5" t="n">
        <v>1</v>
      </c>
      <c r="I202" s="5" t="n">
        <v>0</v>
      </c>
      <c r="J202" s="5" t="n">
        <v>0</v>
      </c>
      <c r="K202" s="5" t="n">
        <v>0</v>
      </c>
      <c r="L202" s="5" t="n">
        <v>0</v>
      </c>
      <c r="M202" s="5" t="n">
        <v>1</v>
      </c>
      <c r="N202" s="5" t="n">
        <v>0</v>
      </c>
      <c r="O202" s="5" t="n">
        <v>0</v>
      </c>
      <c r="P202" s="5" t="n">
        <v>1</v>
      </c>
      <c r="Q202" s="5" t="n">
        <v>0</v>
      </c>
      <c r="R202" s="5" t="n">
        <v>0</v>
      </c>
      <c r="S202" s="5" t="n">
        <v>0</v>
      </c>
      <c r="T202" s="5" t="n">
        <v>1</v>
      </c>
      <c r="U202" s="5" t="inlineStr">
        <is>
          <t>training</t>
        </is>
      </c>
      <c r="V202" s="5" t="n">
        <v>1</v>
      </c>
    </row>
    <row r="203">
      <c r="A203" s="5" t="n">
        <v>199</v>
      </c>
      <c r="B203" s="5" t="n">
        <v>0</v>
      </c>
      <c r="C203" s="6" t="n">
        <v>0.275406400796963</v>
      </c>
      <c r="D203" s="6" t="n">
        <v>-0.1716908688498619</v>
      </c>
      <c r="E203" s="6" t="n">
        <v>0.04000758952108359</v>
      </c>
      <c r="F203" s="6" t="n">
        <v>0.9185437189662378</v>
      </c>
      <c r="G203" s="5" t="n">
        <v>0</v>
      </c>
      <c r="H203" s="5" t="n">
        <v>1</v>
      </c>
      <c r="I203" s="5" t="n">
        <v>0</v>
      </c>
      <c r="J203" s="5" t="n">
        <v>0</v>
      </c>
      <c r="K203" s="5" t="n">
        <v>0</v>
      </c>
      <c r="L203" s="5" t="n">
        <v>0</v>
      </c>
      <c r="M203" s="5" t="n">
        <v>0</v>
      </c>
      <c r="N203" s="5" t="n">
        <v>0</v>
      </c>
      <c r="O203" s="5" t="n">
        <v>1</v>
      </c>
      <c r="P203" s="5" t="n">
        <v>0</v>
      </c>
      <c r="Q203" s="5" t="n">
        <v>1</v>
      </c>
      <c r="R203" s="5" t="n">
        <v>1</v>
      </c>
      <c r="S203" s="5" t="n">
        <v>0</v>
      </c>
      <c r="T203" s="5" t="n">
        <v>0</v>
      </c>
      <c r="U203" s="5" t="inlineStr">
        <is>
          <t>training</t>
        </is>
      </c>
      <c r="V203" s="5" t="n">
        <v>0</v>
      </c>
    </row>
    <row r="204">
      <c r="A204" s="5" t="n">
        <v>200</v>
      </c>
      <c r="B204" s="5" t="n">
        <v>1</v>
      </c>
      <c r="C204" s="6" t="n">
        <v>-0.2301473069597001</v>
      </c>
      <c r="D204" s="6" t="n">
        <v>0.3660942752620449</v>
      </c>
      <c r="E204" s="6" t="n">
        <v>0.3878996723131141</v>
      </c>
      <c r="F204" s="6" t="n">
        <v>0.9185437189662378</v>
      </c>
      <c r="G204" s="5" t="n">
        <v>0</v>
      </c>
      <c r="H204" s="5" t="n">
        <v>1</v>
      </c>
      <c r="I204" s="5" t="n">
        <v>0</v>
      </c>
      <c r="J204" s="5" t="n">
        <v>0</v>
      </c>
      <c r="K204" s="5" t="n">
        <v>1</v>
      </c>
      <c r="L204" s="5" t="n">
        <v>0</v>
      </c>
      <c r="M204" s="5" t="n">
        <v>0</v>
      </c>
      <c r="N204" s="5" t="n">
        <v>0</v>
      </c>
      <c r="O204" s="5" t="n">
        <v>0</v>
      </c>
      <c r="P204" s="5" t="n">
        <v>0</v>
      </c>
      <c r="Q204" s="5" t="n">
        <v>0</v>
      </c>
      <c r="R204" s="5" t="n">
        <v>0</v>
      </c>
      <c r="S204" s="5" t="n">
        <v>0</v>
      </c>
      <c r="T204" s="5" t="n">
        <v>1</v>
      </c>
      <c r="U204" s="5" t="inlineStr">
        <is>
          <t>training</t>
        </is>
      </c>
      <c r="V204" s="5" t="n">
        <v>1</v>
      </c>
    </row>
    <row r="205">
      <c r="A205" s="5" t="n">
        <v>201</v>
      </c>
      <c r="B205" s="5" t="n">
        <v>0</v>
      </c>
      <c r="C205" s="6" t="n">
        <v>-0.9884778685946948</v>
      </c>
      <c r="D205" s="6" t="n">
        <v>-0.8098952298518904</v>
      </c>
      <c r="E205" s="6" t="n">
        <v>1.431575920689206</v>
      </c>
      <c r="F205" s="6" t="n">
        <v>0.9185437189662378</v>
      </c>
      <c r="G205" s="5" t="n">
        <v>0</v>
      </c>
      <c r="H205" s="5" t="n">
        <v>0</v>
      </c>
      <c r="I205" s="5" t="n">
        <v>0</v>
      </c>
      <c r="J205" s="5" t="n">
        <v>1</v>
      </c>
      <c r="K205" s="5" t="n">
        <v>0</v>
      </c>
      <c r="L205" s="5" t="n">
        <v>0</v>
      </c>
      <c r="M205" s="5" t="n">
        <v>1</v>
      </c>
      <c r="N205" s="5" t="n">
        <v>0</v>
      </c>
      <c r="O205" s="5" t="n">
        <v>0</v>
      </c>
      <c r="P205" s="5" t="n">
        <v>0</v>
      </c>
      <c r="Q205" s="5" t="n">
        <v>0</v>
      </c>
      <c r="R205" s="5" t="n">
        <v>0</v>
      </c>
      <c r="S205" s="5" t="n">
        <v>0</v>
      </c>
      <c r="T205" s="5" t="n">
        <v>0</v>
      </c>
      <c r="U205" s="5" t="inlineStr">
        <is>
          <t>training</t>
        </is>
      </c>
      <c r="V205" s="5" t="n">
        <v>0</v>
      </c>
    </row>
    <row r="206">
      <c r="A206" s="5" t="n">
        <v>202</v>
      </c>
      <c r="B206" s="5" t="n">
        <v>0</v>
      </c>
      <c r="C206" s="6" t="n">
        <v>-0.7357010147163632</v>
      </c>
      <c r="D206" s="6" t="n">
        <v>-0.7287201137595272</v>
      </c>
      <c r="E206" s="6" t="n">
        <v>-0.7427495967609852</v>
      </c>
      <c r="F206" s="6" t="n">
        <v>0.9185437189662378</v>
      </c>
      <c r="G206" s="5" t="n">
        <v>1</v>
      </c>
      <c r="H206" s="5" t="n">
        <v>0</v>
      </c>
      <c r="I206" s="5" t="n">
        <v>0</v>
      </c>
      <c r="J206" s="5" t="n">
        <v>0</v>
      </c>
      <c r="K206" s="5" t="n">
        <v>0</v>
      </c>
      <c r="L206" s="5" t="n">
        <v>0</v>
      </c>
      <c r="M206" s="5" t="n">
        <v>0</v>
      </c>
      <c r="N206" s="5" t="n">
        <v>0</v>
      </c>
      <c r="O206" s="5" t="n">
        <v>0</v>
      </c>
      <c r="P206" s="5" t="n">
        <v>0</v>
      </c>
      <c r="Q206" s="5" t="n">
        <v>0</v>
      </c>
      <c r="R206" s="5" t="n">
        <v>1</v>
      </c>
      <c r="S206" s="5" t="n">
        <v>0</v>
      </c>
      <c r="T206" s="5" t="n">
        <v>0</v>
      </c>
      <c r="U206" s="5" t="inlineStr">
        <is>
          <t>training</t>
        </is>
      </c>
      <c r="V206" s="5" t="n">
        <v>0</v>
      </c>
    </row>
    <row r="207">
      <c r="A207" s="5" t="n">
        <v>203</v>
      </c>
      <c r="B207" s="5" t="n">
        <v>0</v>
      </c>
      <c r="C207" s="6" t="n">
        <v>0.5281832546752946</v>
      </c>
      <c r="D207" s="6" t="n">
        <v>0.6530063235195358</v>
      </c>
      <c r="E207" s="6" t="n">
        <v>-0.8297226174589928</v>
      </c>
      <c r="F207" s="6" t="n">
        <v>0.01674764143977723</v>
      </c>
      <c r="G207" s="5" t="n">
        <v>0</v>
      </c>
      <c r="H207" s="5" t="n">
        <v>0</v>
      </c>
      <c r="I207" s="5" t="n">
        <v>0</v>
      </c>
      <c r="J207" s="5" t="n">
        <v>0</v>
      </c>
      <c r="K207" s="5" t="n">
        <v>1</v>
      </c>
      <c r="L207" s="5" t="n">
        <v>0</v>
      </c>
      <c r="M207" s="5" t="n">
        <v>0</v>
      </c>
      <c r="N207" s="5" t="n">
        <v>0</v>
      </c>
      <c r="O207" s="5" t="n">
        <v>0</v>
      </c>
      <c r="P207" s="5" t="n">
        <v>0</v>
      </c>
      <c r="Q207" s="5" t="n">
        <v>0</v>
      </c>
      <c r="R207" s="5" t="n">
        <v>0</v>
      </c>
      <c r="S207" s="5" t="n">
        <v>0</v>
      </c>
      <c r="T207" s="5" t="n">
        <v>0</v>
      </c>
      <c r="U207" s="5" t="inlineStr">
        <is>
          <t>testing</t>
        </is>
      </c>
      <c r="V207" s="5" t="n">
        <v>0</v>
      </c>
    </row>
    <row r="208">
      <c r="A208" s="5" t="n">
        <v>204</v>
      </c>
      <c r="B208" s="5" t="n">
        <v>1</v>
      </c>
      <c r="C208" s="6" t="n">
        <v>-0.7357010147163632</v>
      </c>
      <c r="D208" s="6" t="n">
        <v>-0.821791583072323</v>
      </c>
      <c r="E208" s="6" t="n">
        <v>-1.264587720949031</v>
      </c>
      <c r="F208" s="6" t="n">
        <v>0.9185437189662378</v>
      </c>
      <c r="G208" s="5" t="n">
        <v>1</v>
      </c>
      <c r="H208" s="5" t="n">
        <v>0</v>
      </c>
      <c r="I208" s="5" t="n">
        <v>0</v>
      </c>
      <c r="J208" s="5" t="n">
        <v>0</v>
      </c>
      <c r="K208" s="5" t="n">
        <v>0</v>
      </c>
      <c r="L208" s="5" t="n">
        <v>0</v>
      </c>
      <c r="M208" s="5" t="n">
        <v>0</v>
      </c>
      <c r="N208" s="5" t="n">
        <v>0</v>
      </c>
      <c r="O208" s="5" t="n">
        <v>0</v>
      </c>
      <c r="P208" s="5" t="n">
        <v>1</v>
      </c>
      <c r="Q208" s="5" t="n">
        <v>0</v>
      </c>
      <c r="R208" s="5" t="n">
        <v>0</v>
      </c>
      <c r="S208" s="5" t="n">
        <v>0</v>
      </c>
      <c r="T208" s="5" t="n">
        <v>0</v>
      </c>
      <c r="U208" s="5" t="inlineStr">
        <is>
          <t>testing</t>
        </is>
      </c>
      <c r="V208" s="5" t="n">
        <v>0</v>
      </c>
    </row>
    <row r="209">
      <c r="A209" s="5" t="n">
        <v>205</v>
      </c>
      <c r="B209" s="5" t="n">
        <v>0</v>
      </c>
      <c r="C209" s="6" t="n">
        <v>-0.7357010147163632</v>
      </c>
      <c r="D209" s="6" t="n">
        <v>-0.6143051871983083</v>
      </c>
      <c r="E209" s="6" t="n">
        <v>0.2139536309170988</v>
      </c>
      <c r="F209" s="6" t="n">
        <v>0.9185437189662378</v>
      </c>
      <c r="G209" s="5" t="n">
        <v>0</v>
      </c>
      <c r="H209" s="5" t="n">
        <v>0</v>
      </c>
      <c r="I209" s="5" t="n">
        <v>0</v>
      </c>
      <c r="J209" s="5" t="n">
        <v>1</v>
      </c>
      <c r="K209" s="5" t="n">
        <v>0</v>
      </c>
      <c r="L209" s="5" t="n">
        <v>0</v>
      </c>
      <c r="M209" s="5" t="n">
        <v>0</v>
      </c>
      <c r="N209" s="5" t="n">
        <v>0</v>
      </c>
      <c r="O209" s="5" t="n">
        <v>0</v>
      </c>
      <c r="P209" s="5" t="n">
        <v>0</v>
      </c>
      <c r="Q209" s="5" t="n">
        <v>0</v>
      </c>
      <c r="R209" s="5" t="n">
        <v>1</v>
      </c>
      <c r="S209" s="5" t="n">
        <v>0</v>
      </c>
      <c r="T209" s="5" t="n">
        <v>0</v>
      </c>
      <c r="U209" s="5" t="inlineStr">
        <is>
          <t>training</t>
        </is>
      </c>
      <c r="V209" s="5" t="n">
        <v>1</v>
      </c>
    </row>
    <row r="210">
      <c r="A210" s="5" t="n">
        <v>206</v>
      </c>
      <c r="B210" s="5" t="n">
        <v>0</v>
      </c>
      <c r="C210" s="6" t="n">
        <v>0.7809601085536261</v>
      </c>
      <c r="D210" s="6" t="n">
        <v>2.579515759746054</v>
      </c>
      <c r="E210" s="6" t="n">
        <v>0.2139536309170988</v>
      </c>
      <c r="F210" s="6" t="n">
        <v>0.01674764143977723</v>
      </c>
      <c r="G210" s="5" t="n">
        <v>1</v>
      </c>
      <c r="H210" s="5" t="n">
        <v>0</v>
      </c>
      <c r="I210" s="5" t="n">
        <v>0</v>
      </c>
      <c r="J210" s="5" t="n">
        <v>1</v>
      </c>
      <c r="K210" s="5" t="n">
        <v>0</v>
      </c>
      <c r="L210" s="5" t="n">
        <v>0</v>
      </c>
      <c r="M210" s="5" t="n">
        <v>0</v>
      </c>
      <c r="N210" s="5" t="n">
        <v>0</v>
      </c>
      <c r="O210" s="5" t="n">
        <v>0</v>
      </c>
      <c r="P210" s="5" t="n">
        <v>0</v>
      </c>
      <c r="Q210" s="5" t="n">
        <v>1</v>
      </c>
      <c r="R210" s="5" t="n">
        <v>1</v>
      </c>
      <c r="S210" s="5" t="n">
        <v>0</v>
      </c>
      <c r="T210" s="5" t="n">
        <v>0</v>
      </c>
      <c r="U210" s="5" t="inlineStr">
        <is>
          <t>testing</t>
        </is>
      </c>
      <c r="V210" s="5" t="n">
        <v>0</v>
      </c>
    </row>
    <row r="211">
      <c r="A211" s="5" t="n">
        <v>207</v>
      </c>
      <c r="B211" s="5" t="n">
        <v>0</v>
      </c>
      <c r="C211" s="6" t="n">
        <v>-0.7357010147163632</v>
      </c>
      <c r="D211" s="6" t="n">
        <v>-0.46035238081624</v>
      </c>
      <c r="E211" s="6" t="n">
        <v>0.648818734407137</v>
      </c>
      <c r="F211" s="6" t="n">
        <v>0.9185437189662378</v>
      </c>
      <c r="G211" s="5" t="n">
        <v>0</v>
      </c>
      <c r="H211" s="5" t="n">
        <v>0</v>
      </c>
      <c r="I211" s="5" t="n">
        <v>0</v>
      </c>
      <c r="J211" s="5" t="n">
        <v>1</v>
      </c>
      <c r="K211" s="5" t="n">
        <v>0</v>
      </c>
      <c r="L211" s="5" t="n">
        <v>0</v>
      </c>
      <c r="M211" s="5" t="n">
        <v>0</v>
      </c>
      <c r="N211" s="5" t="n">
        <v>0</v>
      </c>
      <c r="O211" s="5" t="n">
        <v>0</v>
      </c>
      <c r="P211" s="5" t="n">
        <v>0</v>
      </c>
      <c r="Q211" s="5" t="n">
        <v>0</v>
      </c>
      <c r="R211" s="5" t="n">
        <v>0</v>
      </c>
      <c r="S211" s="5" t="n">
        <v>0</v>
      </c>
      <c r="T211" s="5" t="n">
        <v>1</v>
      </c>
      <c r="U211" s="5" t="inlineStr">
        <is>
          <t>testing</t>
        </is>
      </c>
      <c r="V211" s="5" t="n">
        <v>0</v>
      </c>
    </row>
    <row r="212">
      <c r="A212" s="5" t="n">
        <v>208</v>
      </c>
      <c r="B212" s="5" t="n">
        <v>0</v>
      </c>
      <c r="C212" s="6" t="n">
        <v>-0.7357010147163632</v>
      </c>
      <c r="D212" s="6" t="n">
        <v>-0.6391475718645057</v>
      </c>
      <c r="E212" s="6" t="n">
        <v>-0.8297226174589928</v>
      </c>
      <c r="F212" s="6" t="n">
        <v>0.9185437189662378</v>
      </c>
      <c r="G212" s="5" t="n">
        <v>0</v>
      </c>
      <c r="H212" s="5" t="n">
        <v>1</v>
      </c>
      <c r="I212" s="5" t="n">
        <v>0</v>
      </c>
      <c r="J212" s="5" t="n">
        <v>1</v>
      </c>
      <c r="K212" s="5" t="n">
        <v>0</v>
      </c>
      <c r="L212" s="5" t="n">
        <v>0</v>
      </c>
      <c r="M212" s="5" t="n">
        <v>0</v>
      </c>
      <c r="N212" s="5" t="n">
        <v>0</v>
      </c>
      <c r="O212" s="5" t="n">
        <v>0</v>
      </c>
      <c r="P212" s="5" t="n">
        <v>0</v>
      </c>
      <c r="Q212" s="5" t="n">
        <v>0</v>
      </c>
      <c r="R212" s="5" t="n">
        <v>0</v>
      </c>
      <c r="S212" s="5" t="n">
        <v>0</v>
      </c>
      <c r="T212" s="5" t="n">
        <v>0</v>
      </c>
      <c r="U212" s="5" t="inlineStr">
        <is>
          <t>training</t>
        </is>
      </c>
      <c r="V212" s="5" t="n">
        <v>0</v>
      </c>
    </row>
    <row r="213">
      <c r="A213" s="5" t="n">
        <v>209</v>
      </c>
      <c r="B213" s="5" t="n">
        <v>0</v>
      </c>
      <c r="C213" s="6" t="n">
        <v>0.275406400796963</v>
      </c>
      <c r="D213" s="6" t="n">
        <v>1.160700691838584</v>
      </c>
      <c r="E213" s="6" t="n">
        <v>-1.264587720949031</v>
      </c>
      <c r="F213" s="6" t="n">
        <v>-0.8850484360866833</v>
      </c>
      <c r="G213" s="5" t="n">
        <v>1</v>
      </c>
      <c r="H213" s="5" t="n">
        <v>0</v>
      </c>
      <c r="I213" s="5" t="n">
        <v>0</v>
      </c>
      <c r="J213" s="5" t="n">
        <v>0</v>
      </c>
      <c r="K213" s="5" t="n">
        <v>0</v>
      </c>
      <c r="L213" s="5" t="n">
        <v>0</v>
      </c>
      <c r="M213" s="5" t="n">
        <v>0</v>
      </c>
      <c r="N213" s="5" t="n">
        <v>0</v>
      </c>
      <c r="O213" s="5" t="n">
        <v>0</v>
      </c>
      <c r="P213" s="5" t="n">
        <v>0</v>
      </c>
      <c r="Q213" s="5" t="n">
        <v>0</v>
      </c>
      <c r="R213" s="5" t="n">
        <v>0</v>
      </c>
      <c r="S213" s="5" t="n">
        <v>0</v>
      </c>
      <c r="T213" s="5" t="n">
        <v>0</v>
      </c>
      <c r="U213" s="5" t="inlineStr">
        <is>
          <t>training</t>
        </is>
      </c>
      <c r="V213" s="5" t="n">
        <v>0</v>
      </c>
    </row>
    <row r="214">
      <c r="A214" s="5" t="n">
        <v>210</v>
      </c>
      <c r="B214" s="5" t="n">
        <v>0</v>
      </c>
      <c r="C214" s="6" t="n">
        <v>-0.7357010147163632</v>
      </c>
      <c r="D214" s="6" t="n">
        <v>-0.6429963920240573</v>
      </c>
      <c r="E214" s="6" t="n">
        <v>1.692494982783229</v>
      </c>
      <c r="F214" s="6" t="n">
        <v>0.01674764143977723</v>
      </c>
      <c r="G214" s="5" t="n">
        <v>0</v>
      </c>
      <c r="H214" s="5" t="n">
        <v>0</v>
      </c>
      <c r="I214" s="5" t="n">
        <v>0</v>
      </c>
      <c r="J214" s="5" t="n">
        <v>0</v>
      </c>
      <c r="K214" s="5" t="n">
        <v>0</v>
      </c>
      <c r="L214" s="5" t="n">
        <v>0</v>
      </c>
      <c r="M214" s="5" t="n">
        <v>0</v>
      </c>
      <c r="N214" s="5" t="n">
        <v>1</v>
      </c>
      <c r="O214" s="5" t="n">
        <v>0</v>
      </c>
      <c r="P214" s="5" t="n">
        <v>0</v>
      </c>
      <c r="Q214" s="5" t="n">
        <v>0</v>
      </c>
      <c r="R214" s="5" t="n">
        <v>1</v>
      </c>
      <c r="S214" s="5" t="n">
        <v>0</v>
      </c>
      <c r="T214" s="5" t="n">
        <v>0</v>
      </c>
      <c r="U214" s="5" t="inlineStr">
        <is>
          <t>training</t>
        </is>
      </c>
      <c r="V214" s="5" t="n">
        <v>0</v>
      </c>
    </row>
    <row r="215">
      <c r="A215" s="5" t="n">
        <v>211</v>
      </c>
      <c r="B215" s="5" t="n">
        <v>0</v>
      </c>
      <c r="C215" s="6" t="n">
        <v>-0.9884778685946948</v>
      </c>
      <c r="D215" s="6" t="n">
        <v>-0.06182454793174954</v>
      </c>
      <c r="E215" s="6" t="n">
        <v>-0.2209114725729393</v>
      </c>
      <c r="F215" s="6" t="n">
        <v>-1.786844513613144</v>
      </c>
      <c r="G215" s="5" t="n">
        <v>0</v>
      </c>
      <c r="H215" s="5" t="n">
        <v>0</v>
      </c>
      <c r="I215" s="5" t="n">
        <v>0</v>
      </c>
      <c r="J215" s="5" t="n">
        <v>1</v>
      </c>
      <c r="K215" s="5" t="n">
        <v>0</v>
      </c>
      <c r="L215" s="5" t="n">
        <v>0</v>
      </c>
      <c r="M215" s="5" t="n">
        <v>0</v>
      </c>
      <c r="N215" s="5" t="n">
        <v>0</v>
      </c>
      <c r="O215" s="5" t="n">
        <v>1</v>
      </c>
      <c r="P215" s="5" t="n">
        <v>0</v>
      </c>
      <c r="Q215" s="5" t="n">
        <v>0</v>
      </c>
      <c r="R215" s="5" t="n">
        <v>0</v>
      </c>
      <c r="S215" s="5" t="n">
        <v>1</v>
      </c>
      <c r="T215" s="5" t="n">
        <v>0</v>
      </c>
      <c r="U215" s="5" t="inlineStr">
        <is>
          <t>training</t>
        </is>
      </c>
      <c r="V215" s="5" t="n">
        <v>0</v>
      </c>
    </row>
    <row r="216">
      <c r="A216" s="5" t="n">
        <v>212</v>
      </c>
      <c r="B216" s="5" t="n">
        <v>0</v>
      </c>
      <c r="C216" s="6" t="n">
        <v>1.286513816310289</v>
      </c>
      <c r="D216" s="6" t="n">
        <v>0.2044438285608731</v>
      </c>
      <c r="E216" s="6" t="n">
        <v>0.8227647758031523</v>
      </c>
      <c r="F216" s="6" t="n">
        <v>-0.8850484360866833</v>
      </c>
      <c r="G216" s="5" t="n">
        <v>0</v>
      </c>
      <c r="H216" s="5" t="n">
        <v>0</v>
      </c>
      <c r="I216" s="5" t="n">
        <v>0</v>
      </c>
      <c r="J216" s="5" t="n">
        <v>0</v>
      </c>
      <c r="K216" s="5" t="n">
        <v>0</v>
      </c>
      <c r="L216" s="5" t="n">
        <v>0</v>
      </c>
      <c r="M216" s="5" t="n">
        <v>0</v>
      </c>
      <c r="N216" s="5" t="n">
        <v>0</v>
      </c>
      <c r="O216" s="5" t="n">
        <v>1</v>
      </c>
      <c r="P216" s="5" t="n">
        <v>0</v>
      </c>
      <c r="Q216" s="5" t="n">
        <v>0</v>
      </c>
      <c r="R216" s="5" t="n">
        <v>0</v>
      </c>
      <c r="S216" s="5" t="n">
        <v>1</v>
      </c>
      <c r="T216" s="5" t="n">
        <v>0</v>
      </c>
      <c r="U216" s="5" t="inlineStr">
        <is>
          <t>training</t>
        </is>
      </c>
      <c r="V216" s="5" t="n">
        <v>1</v>
      </c>
    </row>
    <row r="217">
      <c r="A217" s="5" t="n">
        <v>213</v>
      </c>
      <c r="B217" s="5" t="n">
        <v>1</v>
      </c>
      <c r="C217" s="6" t="n">
        <v>0.5281832546752946</v>
      </c>
      <c r="D217" s="6" t="n">
        <v>0.714587446072363</v>
      </c>
      <c r="E217" s="6" t="n">
        <v>1.257629879293191</v>
      </c>
      <c r="F217" s="6" t="n">
        <v>-0.8850484360866833</v>
      </c>
      <c r="G217" s="5" t="n">
        <v>1</v>
      </c>
      <c r="H217" s="5" t="n">
        <v>0</v>
      </c>
      <c r="I217" s="5" t="n">
        <v>0</v>
      </c>
      <c r="J217" s="5" t="n">
        <v>0</v>
      </c>
      <c r="K217" s="5" t="n">
        <v>0</v>
      </c>
      <c r="L217" s="5" t="n">
        <v>1</v>
      </c>
      <c r="M217" s="5" t="n">
        <v>0</v>
      </c>
      <c r="N217" s="5" t="n">
        <v>0</v>
      </c>
      <c r="O217" s="5" t="n">
        <v>0</v>
      </c>
      <c r="P217" s="5" t="n">
        <v>0</v>
      </c>
      <c r="Q217" s="5" t="n">
        <v>0</v>
      </c>
      <c r="R217" s="5" t="n">
        <v>0</v>
      </c>
      <c r="S217" s="5" t="n">
        <v>0</v>
      </c>
      <c r="T217" s="5" t="n">
        <v>0</v>
      </c>
      <c r="U217" s="5" t="inlineStr">
        <is>
          <t>testing</t>
        </is>
      </c>
      <c r="V217" s="5" t="n">
        <v>0</v>
      </c>
    </row>
    <row r="218">
      <c r="A218" s="5" t="n">
        <v>214</v>
      </c>
      <c r="B218" s="5" t="n">
        <v>1</v>
      </c>
      <c r="C218" s="6" t="n">
        <v>0.7809601085536261</v>
      </c>
      <c r="D218" s="6" t="n">
        <v>-0.4697994848442305</v>
      </c>
      <c r="E218" s="6" t="n">
        <v>2.649198210461313</v>
      </c>
      <c r="F218" s="6" t="n">
        <v>0.9185437189662378</v>
      </c>
      <c r="G218" s="5" t="n">
        <v>0</v>
      </c>
      <c r="H218" s="5" t="n">
        <v>0</v>
      </c>
      <c r="I218" s="5" t="n">
        <v>1</v>
      </c>
      <c r="J218" s="5" t="n">
        <v>0</v>
      </c>
      <c r="K218" s="5" t="n">
        <v>1</v>
      </c>
      <c r="L218" s="5" t="n">
        <v>0</v>
      </c>
      <c r="M218" s="5" t="n">
        <v>0</v>
      </c>
      <c r="N218" s="5" t="n">
        <v>0</v>
      </c>
      <c r="O218" s="5" t="n">
        <v>0</v>
      </c>
      <c r="P218" s="5" t="n">
        <v>0</v>
      </c>
      <c r="Q218" s="5" t="n">
        <v>0</v>
      </c>
      <c r="R218" s="5" t="n">
        <v>0</v>
      </c>
      <c r="S218" s="5" t="n">
        <v>0</v>
      </c>
      <c r="T218" s="5" t="n">
        <v>0</v>
      </c>
      <c r="U218" s="5" t="inlineStr">
        <is>
          <t>testing</t>
        </is>
      </c>
      <c r="V218" s="5" t="n">
        <v>0</v>
      </c>
    </row>
    <row r="219">
      <c r="A219" s="5" t="n">
        <v>215</v>
      </c>
      <c r="B219" s="5" t="n">
        <v>0</v>
      </c>
      <c r="C219" s="6" t="n">
        <v>1.286513816310289</v>
      </c>
      <c r="D219" s="6" t="n">
        <v>0.03194670686460115</v>
      </c>
      <c r="E219" s="6" t="n">
        <v>1.344602899991198</v>
      </c>
      <c r="F219" s="6" t="n">
        <v>0.9185437189662378</v>
      </c>
      <c r="G219" s="5" t="n">
        <v>0</v>
      </c>
      <c r="H219" s="5" t="n">
        <v>0</v>
      </c>
      <c r="I219" s="5" t="n">
        <v>0</v>
      </c>
      <c r="J219" s="5" t="n">
        <v>1</v>
      </c>
      <c r="K219" s="5" t="n">
        <v>0</v>
      </c>
      <c r="L219" s="5" t="n">
        <v>0</v>
      </c>
      <c r="M219" s="5" t="n">
        <v>0</v>
      </c>
      <c r="N219" s="5" t="n">
        <v>0</v>
      </c>
      <c r="O219" s="5" t="n">
        <v>1</v>
      </c>
      <c r="P219" s="5" t="n">
        <v>0</v>
      </c>
      <c r="Q219" s="5" t="n">
        <v>0</v>
      </c>
      <c r="R219" s="5" t="n">
        <v>0</v>
      </c>
      <c r="S219" s="5" t="n">
        <v>1</v>
      </c>
      <c r="T219" s="5" t="n">
        <v>0</v>
      </c>
      <c r="U219" s="5" t="inlineStr">
        <is>
          <t>training</t>
        </is>
      </c>
      <c r="V219" s="5" t="n">
        <v>0</v>
      </c>
    </row>
    <row r="220">
      <c r="A220" s="5" t="n">
        <v>216</v>
      </c>
      <c r="B220" s="5" t="n">
        <v>0</v>
      </c>
      <c r="C220" s="6" t="n">
        <v>-1.241254722473026</v>
      </c>
      <c r="D220" s="6" t="n">
        <v>-0.8112948008190002</v>
      </c>
      <c r="E220" s="6" t="n">
        <v>0.3009266516151065</v>
      </c>
      <c r="F220" s="6" t="n">
        <v>-1.786844513613144</v>
      </c>
      <c r="G220" s="5" t="n">
        <v>0</v>
      </c>
      <c r="H220" s="5" t="n">
        <v>1</v>
      </c>
      <c r="I220" s="5" t="n">
        <v>0</v>
      </c>
      <c r="J220" s="5" t="n">
        <v>1</v>
      </c>
      <c r="K220" s="5" t="n">
        <v>0</v>
      </c>
      <c r="L220" s="5" t="n">
        <v>0</v>
      </c>
      <c r="M220" s="5" t="n">
        <v>0</v>
      </c>
      <c r="N220" s="5" t="n">
        <v>0</v>
      </c>
      <c r="O220" s="5" t="n">
        <v>1</v>
      </c>
      <c r="P220" s="5" t="n">
        <v>0</v>
      </c>
      <c r="Q220" s="5" t="n">
        <v>0</v>
      </c>
      <c r="R220" s="5" t="n">
        <v>0</v>
      </c>
      <c r="S220" s="5" t="n">
        <v>0</v>
      </c>
      <c r="T220" s="5" t="n">
        <v>0</v>
      </c>
      <c r="U220" s="5" t="inlineStr">
        <is>
          <t>training</t>
        </is>
      </c>
      <c r="V220" s="5" t="n">
        <v>1</v>
      </c>
    </row>
    <row r="221">
      <c r="A221" s="5" t="n">
        <v>217</v>
      </c>
      <c r="B221" s="5" t="n">
        <v>0</v>
      </c>
      <c r="C221" s="6" t="n">
        <v>-0.2301473069597001</v>
      </c>
      <c r="D221" s="6" t="n">
        <v>-0.0513277656784267</v>
      </c>
      <c r="E221" s="6" t="n">
        <v>-0.3948575139689546</v>
      </c>
      <c r="F221" s="6" t="n">
        <v>0.01674764143977723</v>
      </c>
      <c r="G221" s="5" t="n">
        <v>1</v>
      </c>
      <c r="H221" s="5" t="n">
        <v>0</v>
      </c>
      <c r="I221" s="5" t="n">
        <v>0</v>
      </c>
      <c r="J221" s="5" t="n">
        <v>0</v>
      </c>
      <c r="K221" s="5" t="n">
        <v>0</v>
      </c>
      <c r="L221" s="5" t="n">
        <v>1</v>
      </c>
      <c r="M221" s="5" t="n">
        <v>0</v>
      </c>
      <c r="N221" s="5" t="n">
        <v>0</v>
      </c>
      <c r="O221" s="5" t="n">
        <v>0</v>
      </c>
      <c r="P221" s="5" t="n">
        <v>0</v>
      </c>
      <c r="Q221" s="5" t="n">
        <v>0</v>
      </c>
      <c r="R221" s="5" t="n">
        <v>0</v>
      </c>
      <c r="S221" s="5" t="n">
        <v>0</v>
      </c>
      <c r="T221" s="5" t="n">
        <v>0</v>
      </c>
      <c r="U221" s="5" t="inlineStr">
        <is>
          <t>testing</t>
        </is>
      </c>
      <c r="V221" s="5" t="n">
        <v>0</v>
      </c>
    </row>
    <row r="222">
      <c r="A222" s="5" t="n">
        <v>218</v>
      </c>
      <c r="B222" s="5" t="n">
        <v>0</v>
      </c>
      <c r="C222" s="6" t="n">
        <v>1.286513816310289</v>
      </c>
      <c r="D222" s="6" t="n">
        <v>0.2317354624195125</v>
      </c>
      <c r="E222" s="6" t="n">
        <v>-1.090641679553016</v>
      </c>
      <c r="F222" s="6" t="n">
        <v>-0.8850484360866833</v>
      </c>
      <c r="G222" s="5" t="n">
        <v>0</v>
      </c>
      <c r="H222" s="5" t="n">
        <v>0</v>
      </c>
      <c r="I222" s="5" t="n">
        <v>1</v>
      </c>
      <c r="J222" s="5" t="n">
        <v>0</v>
      </c>
      <c r="K222" s="5" t="n">
        <v>0</v>
      </c>
      <c r="L222" s="5" t="n">
        <v>0</v>
      </c>
      <c r="M222" s="5" t="n">
        <v>0</v>
      </c>
      <c r="N222" s="5" t="n">
        <v>0</v>
      </c>
      <c r="O222" s="5" t="n">
        <v>0</v>
      </c>
      <c r="P222" s="5" t="n">
        <v>0</v>
      </c>
      <c r="Q222" s="5" t="n">
        <v>0</v>
      </c>
      <c r="R222" s="5" t="n">
        <v>0</v>
      </c>
      <c r="S222" s="5" t="n">
        <v>1</v>
      </c>
      <c r="T222" s="5" t="n">
        <v>0</v>
      </c>
      <c r="U222" s="5" t="inlineStr">
        <is>
          <t>training</t>
        </is>
      </c>
      <c r="V222" s="5" t="n">
        <v>1</v>
      </c>
    </row>
    <row r="223">
      <c r="A223" s="5" t="n">
        <v>219</v>
      </c>
      <c r="B223" s="5" t="n">
        <v>0</v>
      </c>
      <c r="C223" s="6" t="n">
        <v>0.275406400796963</v>
      </c>
      <c r="D223" s="6" t="n">
        <v>-0.08036886324595323</v>
      </c>
      <c r="E223" s="6" t="n">
        <v>-1.003668658855008</v>
      </c>
      <c r="F223" s="6" t="n">
        <v>-0.8850484360866833</v>
      </c>
      <c r="G223" s="5" t="n">
        <v>1</v>
      </c>
      <c r="H223" s="5" t="n">
        <v>0</v>
      </c>
      <c r="I223" s="5" t="n">
        <v>0</v>
      </c>
      <c r="J223" s="5" t="n">
        <v>0</v>
      </c>
      <c r="K223" s="5" t="n">
        <v>0</v>
      </c>
      <c r="L223" s="5" t="n">
        <v>0</v>
      </c>
      <c r="M223" s="5" t="n">
        <v>0</v>
      </c>
      <c r="N223" s="5" t="n">
        <v>0</v>
      </c>
      <c r="O223" s="5" t="n">
        <v>0</v>
      </c>
      <c r="P223" s="5" t="n">
        <v>1</v>
      </c>
      <c r="Q223" s="5" t="n">
        <v>0</v>
      </c>
      <c r="R223" s="5" t="n">
        <v>0</v>
      </c>
      <c r="S223" s="5" t="n">
        <v>0</v>
      </c>
      <c r="T223" s="5" t="n">
        <v>1</v>
      </c>
      <c r="U223" s="5" t="inlineStr">
        <is>
          <t>testing</t>
        </is>
      </c>
      <c r="V223" s="5" t="n">
        <v>0</v>
      </c>
    </row>
    <row r="224">
      <c r="A224" s="5" t="n">
        <v>220</v>
      </c>
      <c r="B224" s="5" t="n">
        <v>0</v>
      </c>
      <c r="C224" s="6" t="n">
        <v>-0.9042189173019176</v>
      </c>
      <c r="D224" s="6" t="n">
        <v>-0.6601411363711513</v>
      </c>
      <c r="E224" s="6" t="n">
        <v>2.475252169065298</v>
      </c>
      <c r="F224" s="6" t="n">
        <v>-0.8850484360866833</v>
      </c>
      <c r="G224" s="5" t="n">
        <v>0</v>
      </c>
      <c r="H224" s="5" t="n">
        <v>0</v>
      </c>
      <c r="I224" s="5" t="n">
        <v>0</v>
      </c>
      <c r="J224" s="5" t="n">
        <v>0</v>
      </c>
      <c r="K224" s="5" t="n">
        <v>0</v>
      </c>
      <c r="L224" s="5" t="n">
        <v>0</v>
      </c>
      <c r="M224" s="5" t="n">
        <v>0</v>
      </c>
      <c r="N224" s="5" t="n">
        <v>0</v>
      </c>
      <c r="O224" s="5" t="n">
        <v>0</v>
      </c>
      <c r="P224" s="5" t="n">
        <v>0</v>
      </c>
      <c r="Q224" s="5" t="n">
        <v>0</v>
      </c>
      <c r="R224" s="5" t="n">
        <v>1</v>
      </c>
      <c r="S224" s="5" t="n">
        <v>0</v>
      </c>
      <c r="T224" s="5" t="n">
        <v>0</v>
      </c>
      <c r="U224" s="5" t="inlineStr">
        <is>
          <t>training</t>
        </is>
      </c>
      <c r="V224" s="5" t="n">
        <v>0</v>
      </c>
    </row>
    <row r="225">
      <c r="A225" s="5" t="n">
        <v>221</v>
      </c>
      <c r="B225" s="5" t="n">
        <v>0</v>
      </c>
      <c r="C225" s="6" t="n">
        <v>-0.7357010147163632</v>
      </c>
      <c r="D225" s="6" t="n">
        <v>-0.9187118725446706</v>
      </c>
      <c r="E225" s="6" t="n">
        <v>-0.8297226174589928</v>
      </c>
      <c r="F225" s="6" t="n">
        <v>0.9185437189662378</v>
      </c>
      <c r="G225" s="5" t="n">
        <v>0</v>
      </c>
      <c r="H225" s="5" t="n">
        <v>1</v>
      </c>
      <c r="I225" s="5" t="n">
        <v>0</v>
      </c>
      <c r="J225" s="5" t="n">
        <v>0</v>
      </c>
      <c r="K225" s="5" t="n">
        <v>0</v>
      </c>
      <c r="L225" s="5" t="n">
        <v>0</v>
      </c>
      <c r="M225" s="5" t="n">
        <v>0</v>
      </c>
      <c r="N225" s="5" t="n">
        <v>0</v>
      </c>
      <c r="O225" s="5" t="n">
        <v>0</v>
      </c>
      <c r="P225" s="5" t="n">
        <v>0</v>
      </c>
      <c r="Q225" s="5" t="n">
        <v>0</v>
      </c>
      <c r="R225" s="5" t="n">
        <v>0</v>
      </c>
      <c r="S225" s="5" t="n">
        <v>1</v>
      </c>
      <c r="T225" s="5" t="n">
        <v>0</v>
      </c>
      <c r="U225" s="5" t="inlineStr">
        <is>
          <t>testing</t>
        </is>
      </c>
      <c r="V225" s="5" t="n">
        <v>0</v>
      </c>
    </row>
    <row r="226">
      <c r="A226" s="5" t="n">
        <v>222</v>
      </c>
      <c r="B226" s="5" t="n">
        <v>0</v>
      </c>
      <c r="C226" s="6" t="n">
        <v>-0.7357010147163632</v>
      </c>
      <c r="D226" s="6" t="n">
        <v>-0.7175235460226496</v>
      </c>
      <c r="E226" s="6" t="n">
        <v>-1.090641679553016</v>
      </c>
      <c r="F226" s="6" t="n">
        <v>0.9185437189662378</v>
      </c>
      <c r="G226" s="5" t="n">
        <v>1</v>
      </c>
      <c r="H226" s="5" t="n">
        <v>0</v>
      </c>
      <c r="I226" s="5" t="n">
        <v>0</v>
      </c>
      <c r="J226" s="5" t="n">
        <v>0</v>
      </c>
      <c r="K226" s="5" t="n">
        <v>0</v>
      </c>
      <c r="L226" s="5" t="n">
        <v>0</v>
      </c>
      <c r="M226" s="5" t="n">
        <v>0</v>
      </c>
      <c r="N226" s="5" t="n">
        <v>0</v>
      </c>
      <c r="O226" s="5" t="n">
        <v>1</v>
      </c>
      <c r="P226" s="5" t="n">
        <v>1</v>
      </c>
      <c r="Q226" s="5" t="n">
        <v>0</v>
      </c>
      <c r="R226" s="5" t="n">
        <v>0</v>
      </c>
      <c r="S226" s="5" t="n">
        <v>0</v>
      </c>
      <c r="T226" s="5" t="n">
        <v>0</v>
      </c>
      <c r="U226" s="5" t="inlineStr">
        <is>
          <t>testing</t>
        </is>
      </c>
      <c r="V226" s="5" t="n">
        <v>0</v>
      </c>
    </row>
    <row r="227">
      <c r="A227" s="5" t="n">
        <v>223</v>
      </c>
      <c r="B227" s="5" t="n">
        <v>0</v>
      </c>
      <c r="C227" s="6" t="n">
        <v>-0.7357010147163632</v>
      </c>
      <c r="D227" s="6" t="n">
        <v>-0.8900206677189215</v>
      </c>
      <c r="E227" s="6" t="n">
        <v>-0.4818305346669622</v>
      </c>
      <c r="F227" s="6" t="n">
        <v>0.9185437189662378</v>
      </c>
      <c r="G227" s="5" t="n">
        <v>0</v>
      </c>
      <c r="H227" s="5" t="n">
        <v>0</v>
      </c>
      <c r="I227" s="5" t="n">
        <v>0</v>
      </c>
      <c r="J227" s="5" t="n">
        <v>0</v>
      </c>
      <c r="K227" s="5" t="n">
        <v>0</v>
      </c>
      <c r="L227" s="5" t="n">
        <v>0</v>
      </c>
      <c r="M227" s="5" t="n">
        <v>0</v>
      </c>
      <c r="N227" s="5" t="n">
        <v>0</v>
      </c>
      <c r="O227" s="5" t="n">
        <v>0</v>
      </c>
      <c r="P227" s="5" t="n">
        <v>0</v>
      </c>
      <c r="Q227" s="5" t="n">
        <v>0</v>
      </c>
      <c r="R227" s="5" t="n">
        <v>0</v>
      </c>
      <c r="S227" s="5" t="n">
        <v>1</v>
      </c>
      <c r="T227" s="5" t="n">
        <v>0</v>
      </c>
      <c r="U227" s="5" t="inlineStr">
        <is>
          <t>training</t>
        </is>
      </c>
      <c r="V227" s="5" t="n">
        <v>0</v>
      </c>
    </row>
    <row r="228">
      <c r="A228" s="5" t="n">
        <v>224</v>
      </c>
      <c r="B228" s="5" t="n">
        <v>0</v>
      </c>
      <c r="C228" s="6" t="n">
        <v>0.275406400796963</v>
      </c>
      <c r="D228" s="6" t="n">
        <v>-0.09541425114238263</v>
      </c>
      <c r="E228" s="6" t="n">
        <v>-0.307884493270947</v>
      </c>
      <c r="F228" s="6" t="n">
        <v>0.9185437189662378</v>
      </c>
      <c r="G228" s="5" t="n">
        <v>0</v>
      </c>
      <c r="H228" s="5" t="n">
        <v>0</v>
      </c>
      <c r="I228" s="5" t="n">
        <v>0</v>
      </c>
      <c r="J228" s="5" t="n">
        <v>0</v>
      </c>
      <c r="K228" s="5" t="n">
        <v>1</v>
      </c>
      <c r="L228" s="5" t="n">
        <v>0</v>
      </c>
      <c r="M228" s="5" t="n">
        <v>0</v>
      </c>
      <c r="N228" s="5" t="n">
        <v>0</v>
      </c>
      <c r="O228" s="5" t="n">
        <v>1</v>
      </c>
      <c r="P228" s="5" t="n">
        <v>0</v>
      </c>
      <c r="Q228" s="5" t="n">
        <v>0</v>
      </c>
      <c r="R228" s="5" t="n">
        <v>0</v>
      </c>
      <c r="S228" s="5" t="n">
        <v>0</v>
      </c>
      <c r="T228" s="5" t="n">
        <v>0</v>
      </c>
      <c r="U228" s="5" t="inlineStr">
        <is>
          <t>training</t>
        </is>
      </c>
      <c r="V228" s="5" t="n">
        <v>1</v>
      </c>
    </row>
    <row r="229">
      <c r="A229" s="5" t="n">
        <v>225</v>
      </c>
      <c r="B229" s="5" t="n">
        <v>0</v>
      </c>
      <c r="C229" s="6" t="n">
        <v>-0.4829241608380317</v>
      </c>
      <c r="D229" s="6" t="n">
        <v>0.4920556623019189</v>
      </c>
      <c r="E229" s="6" t="n">
        <v>-0.4818305346669622</v>
      </c>
      <c r="F229" s="6" t="n">
        <v>0.01674764143977723</v>
      </c>
      <c r="G229" s="5" t="n">
        <v>0</v>
      </c>
      <c r="H229" s="5" t="n">
        <v>0</v>
      </c>
      <c r="I229" s="5" t="n">
        <v>0</v>
      </c>
      <c r="J229" s="5" t="n">
        <v>0</v>
      </c>
      <c r="K229" s="5" t="n">
        <v>0</v>
      </c>
      <c r="L229" s="5" t="n">
        <v>0</v>
      </c>
      <c r="M229" s="5" t="n">
        <v>0</v>
      </c>
      <c r="N229" s="5" t="n">
        <v>0</v>
      </c>
      <c r="O229" s="5" t="n">
        <v>0</v>
      </c>
      <c r="P229" s="5" t="n">
        <v>0</v>
      </c>
      <c r="Q229" s="5" t="n">
        <v>0</v>
      </c>
      <c r="R229" s="5" t="n">
        <v>1</v>
      </c>
      <c r="S229" s="5" t="n">
        <v>0</v>
      </c>
      <c r="T229" s="5" t="n">
        <v>0</v>
      </c>
      <c r="U229" s="5" t="inlineStr">
        <is>
          <t>training</t>
        </is>
      </c>
      <c r="V229" s="5" t="n">
        <v>0</v>
      </c>
    </row>
    <row r="230">
      <c r="A230" s="5" t="n">
        <v>226</v>
      </c>
      <c r="B230" s="5" t="n">
        <v>0</v>
      </c>
      <c r="C230" s="6" t="n">
        <v>1.286513816310289</v>
      </c>
      <c r="D230" s="6" t="n">
        <v>-0.2231251018911438</v>
      </c>
      <c r="E230" s="6" t="n">
        <v>-0.7427495967609852</v>
      </c>
      <c r="F230" s="6" t="n">
        <v>0.9185437189662378</v>
      </c>
      <c r="G230" s="5" t="n">
        <v>0</v>
      </c>
      <c r="H230" s="5" t="n">
        <v>0</v>
      </c>
      <c r="I230" s="5" t="n">
        <v>0</v>
      </c>
      <c r="J230" s="5" t="n">
        <v>0</v>
      </c>
      <c r="K230" s="5" t="n">
        <v>0</v>
      </c>
      <c r="L230" s="5" t="n">
        <v>1</v>
      </c>
      <c r="M230" s="5" t="n">
        <v>0</v>
      </c>
      <c r="N230" s="5" t="n">
        <v>0</v>
      </c>
      <c r="O230" s="5" t="n">
        <v>0</v>
      </c>
      <c r="P230" s="5" t="n">
        <v>0</v>
      </c>
      <c r="Q230" s="5" t="n">
        <v>0</v>
      </c>
      <c r="R230" s="5" t="n">
        <v>0</v>
      </c>
      <c r="S230" s="5" t="n">
        <v>0</v>
      </c>
      <c r="T230" s="5" t="n">
        <v>0</v>
      </c>
      <c r="U230" s="5" t="inlineStr">
        <is>
          <t>training</t>
        </is>
      </c>
      <c r="V230" s="5" t="n">
        <v>1</v>
      </c>
    </row>
    <row r="231">
      <c r="A231" s="5" t="n">
        <v>227</v>
      </c>
      <c r="B231" s="5" t="n">
        <v>1</v>
      </c>
      <c r="C231" s="6" t="n">
        <v>2.297621231823615</v>
      </c>
      <c r="D231" s="6" t="n">
        <v>2.697779506466825</v>
      </c>
      <c r="E231" s="6" t="n">
        <v>-0.7427495967609852</v>
      </c>
      <c r="F231" s="6" t="n">
        <v>-1.786844513613144</v>
      </c>
      <c r="G231" s="5" t="n">
        <v>0</v>
      </c>
      <c r="H231" s="5" t="n">
        <v>1</v>
      </c>
      <c r="I231" s="5" t="n">
        <v>0</v>
      </c>
      <c r="J231" s="5" t="n">
        <v>0</v>
      </c>
      <c r="K231" s="5" t="n">
        <v>0</v>
      </c>
      <c r="L231" s="5" t="n">
        <v>0</v>
      </c>
      <c r="M231" s="5" t="n">
        <v>0</v>
      </c>
      <c r="N231" s="5" t="n">
        <v>1</v>
      </c>
      <c r="O231" s="5" t="n">
        <v>0</v>
      </c>
      <c r="P231" s="5" t="n">
        <v>0</v>
      </c>
      <c r="Q231" s="5" t="n">
        <v>0</v>
      </c>
      <c r="R231" s="5" t="n">
        <v>0</v>
      </c>
      <c r="S231" s="5" t="n">
        <v>1</v>
      </c>
      <c r="T231" s="5" t="n">
        <v>0</v>
      </c>
      <c r="U231" s="5" t="inlineStr">
        <is>
          <t>training</t>
        </is>
      </c>
      <c r="V231" s="5" t="n">
        <v>1</v>
      </c>
    </row>
    <row r="232">
      <c r="A232" s="5" t="n">
        <v>228</v>
      </c>
      <c r="B232" s="5" t="n">
        <v>1</v>
      </c>
      <c r="C232" s="6" t="n">
        <v>-0.7357010147163632</v>
      </c>
      <c r="D232" s="6" t="n">
        <v>1.614511577923908</v>
      </c>
      <c r="E232" s="6" t="n">
        <v>1.518548941387213</v>
      </c>
      <c r="F232" s="6" t="n">
        <v>0.9185437189662378</v>
      </c>
      <c r="G232" s="5" t="n">
        <v>1</v>
      </c>
      <c r="H232" s="5" t="n">
        <v>0</v>
      </c>
      <c r="I232" s="5" t="n">
        <v>0</v>
      </c>
      <c r="J232" s="5" t="n">
        <v>0</v>
      </c>
      <c r="K232" s="5" t="n">
        <v>0</v>
      </c>
      <c r="L232" s="5" t="n">
        <v>0</v>
      </c>
      <c r="M232" s="5" t="n">
        <v>0</v>
      </c>
      <c r="N232" s="5" t="n">
        <v>0</v>
      </c>
      <c r="O232" s="5" t="n">
        <v>0</v>
      </c>
      <c r="P232" s="5" t="n">
        <v>0</v>
      </c>
      <c r="Q232" s="5" t="n">
        <v>1</v>
      </c>
      <c r="R232" s="5" t="n">
        <v>0</v>
      </c>
      <c r="S232" s="5" t="n">
        <v>0</v>
      </c>
      <c r="T232" s="5" t="n">
        <v>1</v>
      </c>
      <c r="U232" s="5" t="inlineStr">
        <is>
          <t>training</t>
        </is>
      </c>
      <c r="V232" s="5" t="n">
        <v>1</v>
      </c>
    </row>
    <row r="233">
      <c r="A233" s="5" t="n">
        <v>229</v>
      </c>
      <c r="B233" s="5" t="n">
        <v>1</v>
      </c>
      <c r="C233" s="6" t="n">
        <v>-0.9884778685946948</v>
      </c>
      <c r="D233" s="6" t="n">
        <v>-0.6202533638085246</v>
      </c>
      <c r="E233" s="6" t="n">
        <v>-1.177614700251023</v>
      </c>
      <c r="F233" s="6" t="n">
        <v>0.9185437189662378</v>
      </c>
      <c r="G233" s="5" t="n">
        <v>0</v>
      </c>
      <c r="H233" s="5" t="n">
        <v>0</v>
      </c>
      <c r="I233" s="5" t="n">
        <v>0</v>
      </c>
      <c r="J233" s="5" t="n">
        <v>0</v>
      </c>
      <c r="K233" s="5" t="n">
        <v>0</v>
      </c>
      <c r="L233" s="5" t="n">
        <v>0</v>
      </c>
      <c r="M233" s="5" t="n">
        <v>0</v>
      </c>
      <c r="N233" s="5" t="n">
        <v>0</v>
      </c>
      <c r="O233" s="5" t="n">
        <v>0</v>
      </c>
      <c r="P233" s="5" t="n">
        <v>0</v>
      </c>
      <c r="Q233" s="5" t="n">
        <v>0</v>
      </c>
      <c r="R233" s="5" t="n">
        <v>0</v>
      </c>
      <c r="S233" s="5" t="n">
        <v>1</v>
      </c>
      <c r="T233" s="5" t="n">
        <v>0</v>
      </c>
      <c r="U233" s="5" t="inlineStr">
        <is>
          <t>training</t>
        </is>
      </c>
      <c r="V233" s="5" t="n">
        <v>1</v>
      </c>
    </row>
    <row r="234">
      <c r="A234" s="5" t="n">
        <v>230</v>
      </c>
      <c r="B234" s="5" t="n">
        <v>0</v>
      </c>
      <c r="C234" s="6" t="n">
        <v>0.275406400796963</v>
      </c>
      <c r="D234" s="6" t="n">
        <v>-0.03558259229844245</v>
      </c>
      <c r="E234" s="6" t="n">
        <v>-1.177614700251023</v>
      </c>
      <c r="F234" s="6" t="n">
        <v>0.9185437189662378</v>
      </c>
      <c r="G234" s="5" t="n">
        <v>1</v>
      </c>
      <c r="H234" s="5" t="n">
        <v>0</v>
      </c>
      <c r="I234" s="5" t="n">
        <v>0</v>
      </c>
      <c r="J234" s="5" t="n">
        <v>0</v>
      </c>
      <c r="K234" s="5" t="n">
        <v>0</v>
      </c>
      <c r="L234" s="5" t="n">
        <v>0</v>
      </c>
      <c r="M234" s="5" t="n">
        <v>0</v>
      </c>
      <c r="N234" s="5" t="n">
        <v>0</v>
      </c>
      <c r="O234" s="5" t="n">
        <v>0</v>
      </c>
      <c r="P234" s="5" t="n">
        <v>0</v>
      </c>
      <c r="Q234" s="5" t="n">
        <v>1</v>
      </c>
      <c r="R234" s="5" t="n">
        <v>0</v>
      </c>
      <c r="S234" s="5" t="n">
        <v>0</v>
      </c>
      <c r="T234" s="5" t="n">
        <v>1</v>
      </c>
      <c r="U234" s="5" t="inlineStr">
        <is>
          <t>training</t>
        </is>
      </c>
      <c r="V234" s="5" t="n">
        <v>1</v>
      </c>
    </row>
    <row r="235">
      <c r="A235" s="5" t="n">
        <v>231</v>
      </c>
      <c r="B235" s="5" t="n">
        <v>1</v>
      </c>
      <c r="C235" s="6" t="n">
        <v>1.286513816310289</v>
      </c>
      <c r="D235" s="6" t="n">
        <v>0.3356536067274086</v>
      </c>
      <c r="E235" s="6" t="n">
        <v>-0.8297226174589928</v>
      </c>
      <c r="F235" s="6" t="n">
        <v>0.9185437189662378</v>
      </c>
      <c r="G235" s="5" t="n">
        <v>0</v>
      </c>
      <c r="H235" s="5" t="n">
        <v>0</v>
      </c>
      <c r="I235" s="5" t="n">
        <v>1</v>
      </c>
      <c r="J235" s="5" t="n">
        <v>0</v>
      </c>
      <c r="K235" s="5" t="n">
        <v>0</v>
      </c>
      <c r="L235" s="5" t="n">
        <v>0</v>
      </c>
      <c r="M235" s="5" t="n">
        <v>0</v>
      </c>
      <c r="N235" s="5" t="n">
        <v>0</v>
      </c>
      <c r="O235" s="5" t="n">
        <v>0</v>
      </c>
      <c r="P235" s="5" t="n">
        <v>0</v>
      </c>
      <c r="Q235" s="5" t="n">
        <v>0</v>
      </c>
      <c r="R235" s="5" t="n">
        <v>0</v>
      </c>
      <c r="S235" s="5" t="n">
        <v>1</v>
      </c>
      <c r="T235" s="5" t="n">
        <v>0</v>
      </c>
      <c r="U235" s="5" t="inlineStr">
        <is>
          <t>training</t>
        </is>
      </c>
      <c r="V235" s="5" t="n">
        <v>1</v>
      </c>
    </row>
    <row r="236">
      <c r="A236" s="5" t="n">
        <v>232</v>
      </c>
      <c r="B236" s="5" t="n">
        <v>0</v>
      </c>
      <c r="C236" s="6" t="n">
        <v>-0.9884778685946948</v>
      </c>
      <c r="D236" s="6" t="n">
        <v>-0.2602137325195512</v>
      </c>
      <c r="E236" s="6" t="n">
        <v>1.344602899991198</v>
      </c>
      <c r="F236" s="6" t="n">
        <v>-0.8850484360866833</v>
      </c>
      <c r="G236" s="5" t="n">
        <v>0</v>
      </c>
      <c r="H236" s="5" t="n">
        <v>0</v>
      </c>
      <c r="I236" s="5" t="n">
        <v>0</v>
      </c>
      <c r="J236" s="5" t="n">
        <v>0</v>
      </c>
      <c r="K236" s="5" t="n">
        <v>0</v>
      </c>
      <c r="L236" s="5" t="n">
        <v>0</v>
      </c>
      <c r="M236" s="5" t="n">
        <v>1</v>
      </c>
      <c r="N236" s="5" t="n">
        <v>0</v>
      </c>
      <c r="O236" s="5" t="n">
        <v>0</v>
      </c>
      <c r="P236" s="5" t="n">
        <v>0</v>
      </c>
      <c r="Q236" s="5" t="n">
        <v>1</v>
      </c>
      <c r="R236" s="5" t="n">
        <v>1</v>
      </c>
      <c r="S236" s="5" t="n">
        <v>0</v>
      </c>
      <c r="T236" s="5" t="n">
        <v>0</v>
      </c>
      <c r="U236" s="5" t="inlineStr">
        <is>
          <t>testing</t>
        </is>
      </c>
      <c r="V236" s="5" t="n">
        <v>0</v>
      </c>
    </row>
    <row r="237">
      <c r="A237" s="5" t="n">
        <v>233</v>
      </c>
      <c r="B237" s="5" t="n">
        <v>0</v>
      </c>
      <c r="C237" s="6" t="n">
        <v>-0.7357010147163632</v>
      </c>
      <c r="D237" s="6" t="n">
        <v>-0.3882744760100898</v>
      </c>
      <c r="E237" s="6" t="n">
        <v>-0.04696543117692405</v>
      </c>
      <c r="F237" s="6" t="n">
        <v>0.01674764143977723</v>
      </c>
      <c r="G237" s="5" t="n">
        <v>0</v>
      </c>
      <c r="H237" s="5" t="n">
        <v>0</v>
      </c>
      <c r="I237" s="5" t="n">
        <v>0</v>
      </c>
      <c r="J237" s="5" t="n">
        <v>0</v>
      </c>
      <c r="K237" s="5" t="n">
        <v>0</v>
      </c>
      <c r="L237" s="5" t="n">
        <v>0</v>
      </c>
      <c r="M237" s="5" t="n">
        <v>1</v>
      </c>
      <c r="N237" s="5" t="n">
        <v>0</v>
      </c>
      <c r="O237" s="5" t="n">
        <v>0</v>
      </c>
      <c r="P237" s="5" t="n">
        <v>0</v>
      </c>
      <c r="Q237" s="5" t="n">
        <v>0</v>
      </c>
      <c r="R237" s="5" t="n">
        <v>0</v>
      </c>
      <c r="S237" s="5" t="n">
        <v>1</v>
      </c>
      <c r="T237" s="5" t="n">
        <v>0</v>
      </c>
      <c r="U237" s="5" t="inlineStr">
        <is>
          <t>training</t>
        </is>
      </c>
      <c r="V237" s="5" t="n">
        <v>1</v>
      </c>
    </row>
    <row r="238">
      <c r="A238" s="5" t="n">
        <v>234</v>
      </c>
      <c r="B238" s="5" t="n">
        <v>0</v>
      </c>
      <c r="C238" s="6" t="n">
        <v>-0.2301473069597001</v>
      </c>
      <c r="D238" s="6" t="n">
        <v>-0.8343877217763105</v>
      </c>
      <c r="E238" s="6" t="n">
        <v>-0.9166956381570004</v>
      </c>
      <c r="F238" s="6" t="n">
        <v>0.9185437189662378</v>
      </c>
      <c r="G238" s="5" t="n">
        <v>0</v>
      </c>
      <c r="H238" s="5" t="n">
        <v>1</v>
      </c>
      <c r="I238" s="5" t="n">
        <v>0</v>
      </c>
      <c r="J238" s="5" t="n">
        <v>0</v>
      </c>
      <c r="K238" s="5" t="n">
        <v>0</v>
      </c>
      <c r="L238" s="5" t="n">
        <v>0</v>
      </c>
      <c r="M238" s="5" t="n">
        <v>0</v>
      </c>
      <c r="N238" s="5" t="n">
        <v>0</v>
      </c>
      <c r="O238" s="5" t="n">
        <v>0</v>
      </c>
      <c r="P238" s="5" t="n">
        <v>0</v>
      </c>
      <c r="Q238" s="5" t="n">
        <v>0</v>
      </c>
      <c r="R238" s="5" t="n">
        <v>0</v>
      </c>
      <c r="S238" s="5" t="n">
        <v>1</v>
      </c>
      <c r="T238" s="5" t="n">
        <v>0</v>
      </c>
      <c r="U238" s="5" t="inlineStr">
        <is>
          <t>training</t>
        </is>
      </c>
      <c r="V238" s="5" t="n">
        <v>1</v>
      </c>
    </row>
    <row r="239">
      <c r="A239" s="5" t="n">
        <v>235</v>
      </c>
      <c r="B239" s="5" t="n">
        <v>0</v>
      </c>
      <c r="C239" s="6" t="n">
        <v>-1.409772625058581</v>
      </c>
      <c r="D239" s="6" t="n">
        <v>-0.5971604428512143</v>
      </c>
      <c r="E239" s="6" t="n">
        <v>0.5618457137091294</v>
      </c>
      <c r="F239" s="6" t="n">
        <v>-0.8850484360866833</v>
      </c>
      <c r="G239" s="5" t="n">
        <v>0</v>
      </c>
      <c r="H239" s="5" t="n">
        <v>0</v>
      </c>
      <c r="I239" s="5" t="n">
        <v>0</v>
      </c>
      <c r="J239" s="5" t="n">
        <v>1</v>
      </c>
      <c r="K239" s="5" t="n">
        <v>0</v>
      </c>
      <c r="L239" s="5" t="n">
        <v>0</v>
      </c>
      <c r="M239" s="5" t="n">
        <v>0</v>
      </c>
      <c r="N239" s="5" t="n">
        <v>0</v>
      </c>
      <c r="O239" s="5" t="n">
        <v>0</v>
      </c>
      <c r="P239" s="5" t="n">
        <v>0</v>
      </c>
      <c r="Q239" s="5" t="n">
        <v>0</v>
      </c>
      <c r="R239" s="5" t="n">
        <v>0</v>
      </c>
      <c r="S239" s="5" t="n">
        <v>1</v>
      </c>
      <c r="T239" s="5" t="n">
        <v>0</v>
      </c>
      <c r="U239" s="5" t="inlineStr">
        <is>
          <t>testing</t>
        </is>
      </c>
      <c r="V239" s="5" t="n">
        <v>0</v>
      </c>
    </row>
    <row r="240">
      <c r="A240" s="5" t="n">
        <v>236</v>
      </c>
      <c r="B240" s="5" t="n">
        <v>1</v>
      </c>
      <c r="C240" s="6" t="n">
        <v>0.275406400796963</v>
      </c>
      <c r="D240" s="6" t="n">
        <v>-0.4995403678953119</v>
      </c>
      <c r="E240" s="6" t="n">
        <v>-0.4818305346669622</v>
      </c>
      <c r="F240" s="6" t="n">
        <v>0.9185437189662378</v>
      </c>
      <c r="G240" s="5" t="n">
        <v>1</v>
      </c>
      <c r="H240" s="5" t="n">
        <v>0</v>
      </c>
      <c r="I240" s="5" t="n">
        <v>0</v>
      </c>
      <c r="J240" s="5" t="n">
        <v>0</v>
      </c>
      <c r="K240" s="5" t="n">
        <v>0</v>
      </c>
      <c r="L240" s="5" t="n">
        <v>0</v>
      </c>
      <c r="M240" s="5" t="n">
        <v>0</v>
      </c>
      <c r="N240" s="5" t="n">
        <v>0</v>
      </c>
      <c r="O240" s="5" t="n">
        <v>0</v>
      </c>
      <c r="P240" s="5" t="n">
        <v>0</v>
      </c>
      <c r="Q240" s="5" t="n">
        <v>0</v>
      </c>
      <c r="R240" s="5" t="n">
        <v>0</v>
      </c>
      <c r="S240" s="5" t="n">
        <v>1</v>
      </c>
      <c r="T240" s="5" t="n">
        <v>0</v>
      </c>
      <c r="U240" s="5" t="inlineStr">
        <is>
          <t>training</t>
        </is>
      </c>
      <c r="V240" s="5" t="n">
        <v>1</v>
      </c>
    </row>
    <row r="241">
      <c r="A241" s="5" t="n">
        <v>237</v>
      </c>
      <c r="B241" s="5" t="n">
        <v>1</v>
      </c>
      <c r="C241" s="6" t="n">
        <v>-1.241254722473026</v>
      </c>
      <c r="D241" s="6" t="n">
        <v>3.955294020414901</v>
      </c>
      <c r="E241" s="6" t="n">
        <v>-1.090641679553016</v>
      </c>
      <c r="F241" s="6" t="n">
        <v>-1.786844513613144</v>
      </c>
      <c r="G241" s="5" t="n">
        <v>0</v>
      </c>
      <c r="H241" s="5" t="n">
        <v>1</v>
      </c>
      <c r="I241" s="5" t="n">
        <v>0</v>
      </c>
      <c r="J241" s="5" t="n">
        <v>0</v>
      </c>
      <c r="K241" s="5" t="n">
        <v>0</v>
      </c>
      <c r="L241" s="5" t="n">
        <v>0</v>
      </c>
      <c r="M241" s="5" t="n">
        <v>0</v>
      </c>
      <c r="N241" s="5" t="n">
        <v>0</v>
      </c>
      <c r="O241" s="5" t="n">
        <v>1</v>
      </c>
      <c r="P241" s="5" t="n">
        <v>0</v>
      </c>
      <c r="Q241" s="5" t="n">
        <v>0</v>
      </c>
      <c r="R241" s="5" t="n">
        <v>1</v>
      </c>
      <c r="S241" s="5" t="n">
        <v>0</v>
      </c>
      <c r="T241" s="5" t="n">
        <v>0</v>
      </c>
      <c r="U241" s="5" t="inlineStr">
        <is>
          <t>training</t>
        </is>
      </c>
      <c r="V241" s="5" t="n">
        <v>1</v>
      </c>
    </row>
    <row r="242">
      <c r="A242" s="5" t="n">
        <v>238</v>
      </c>
      <c r="B242" s="5" t="n">
        <v>1</v>
      </c>
      <c r="C242" s="6" t="n">
        <v>0.02262954691863145</v>
      </c>
      <c r="D242" s="6" t="n">
        <v>-0.1692416196574199</v>
      </c>
      <c r="E242" s="6" t="n">
        <v>2.214333106971274</v>
      </c>
      <c r="F242" s="6" t="n">
        <v>0.9185437189662378</v>
      </c>
      <c r="G242" s="5" t="n">
        <v>0</v>
      </c>
      <c r="H242" s="5" t="n">
        <v>1</v>
      </c>
      <c r="I242" s="5" t="n">
        <v>0</v>
      </c>
      <c r="J242" s="5" t="n">
        <v>0</v>
      </c>
      <c r="K242" s="5" t="n">
        <v>0</v>
      </c>
      <c r="L242" s="5" t="n">
        <v>0</v>
      </c>
      <c r="M242" s="5" t="n">
        <v>1</v>
      </c>
      <c r="N242" s="5" t="n">
        <v>0</v>
      </c>
      <c r="O242" s="5" t="n">
        <v>0</v>
      </c>
      <c r="P242" s="5" t="n">
        <v>1</v>
      </c>
      <c r="Q242" s="5" t="n">
        <v>0</v>
      </c>
      <c r="R242" s="5" t="n">
        <v>0</v>
      </c>
      <c r="S242" s="5" t="n">
        <v>0</v>
      </c>
      <c r="T242" s="5" t="n">
        <v>0</v>
      </c>
      <c r="U242" s="5" t="inlineStr">
        <is>
          <t>training</t>
        </is>
      </c>
      <c r="V242" s="5" t="n">
        <v>1</v>
      </c>
    </row>
    <row r="243">
      <c r="A243" s="5" t="n">
        <v>239</v>
      </c>
      <c r="B243" s="5" t="n">
        <v>0</v>
      </c>
      <c r="C243" s="6" t="n">
        <v>-0.7357010147163632</v>
      </c>
      <c r="D243" s="6" t="n">
        <v>-0.6856833065209036</v>
      </c>
      <c r="E243" s="6" t="n">
        <v>-0.04696543117692405</v>
      </c>
      <c r="F243" s="6" t="n">
        <v>0.9185437189662378</v>
      </c>
      <c r="G243" s="5" t="n">
        <v>0</v>
      </c>
      <c r="H243" s="5" t="n">
        <v>0</v>
      </c>
      <c r="I243" s="5" t="n">
        <v>0</v>
      </c>
      <c r="J243" s="5" t="n">
        <v>1</v>
      </c>
      <c r="K243" s="5" t="n">
        <v>0</v>
      </c>
      <c r="L243" s="5" t="n">
        <v>0</v>
      </c>
      <c r="M243" s="5" t="n">
        <v>0</v>
      </c>
      <c r="N243" s="5" t="n">
        <v>0</v>
      </c>
      <c r="O243" s="5" t="n">
        <v>0</v>
      </c>
      <c r="P243" s="5" t="n">
        <v>0</v>
      </c>
      <c r="Q243" s="5" t="n">
        <v>0</v>
      </c>
      <c r="R243" s="5" t="n">
        <v>0</v>
      </c>
      <c r="S243" s="5" t="n">
        <v>1</v>
      </c>
      <c r="T243" s="5" t="n">
        <v>0</v>
      </c>
      <c r="U243" s="5" t="inlineStr">
        <is>
          <t>training</t>
        </is>
      </c>
      <c r="V243" s="5" t="n">
        <v>0</v>
      </c>
    </row>
    <row r="244">
      <c r="A244" s="5" t="n">
        <v>240</v>
      </c>
      <c r="B244" s="5" t="n">
        <v>0</v>
      </c>
      <c r="C244" s="6" t="n">
        <v>0.7809601085536261</v>
      </c>
      <c r="D244" s="6" t="n">
        <v>-0.2549653413928898</v>
      </c>
      <c r="E244" s="6" t="n">
        <v>0.3009266516151065</v>
      </c>
      <c r="F244" s="6" t="n">
        <v>-1.786844513613144</v>
      </c>
      <c r="G244" s="5" t="n">
        <v>1</v>
      </c>
      <c r="H244" s="5" t="n">
        <v>0</v>
      </c>
      <c r="I244" s="5" t="n">
        <v>0</v>
      </c>
      <c r="J244" s="5" t="n">
        <v>0</v>
      </c>
      <c r="K244" s="5" t="n">
        <v>0</v>
      </c>
      <c r="L244" s="5" t="n">
        <v>0</v>
      </c>
      <c r="M244" s="5" t="n">
        <v>0</v>
      </c>
      <c r="N244" s="5" t="n">
        <v>0</v>
      </c>
      <c r="O244" s="5" t="n">
        <v>0</v>
      </c>
      <c r="P244" s="5" t="n">
        <v>0</v>
      </c>
      <c r="Q244" s="5" t="n">
        <v>0</v>
      </c>
      <c r="R244" s="5" t="n">
        <v>0</v>
      </c>
      <c r="S244" s="5" t="n">
        <v>1</v>
      </c>
      <c r="T244" s="5" t="n">
        <v>0</v>
      </c>
      <c r="U244" s="5" t="inlineStr">
        <is>
          <t>testing</t>
        </is>
      </c>
      <c r="V244" s="5" t="n">
        <v>0</v>
      </c>
    </row>
    <row r="245">
      <c r="A245" s="5" t="n">
        <v>241</v>
      </c>
      <c r="B245" s="5" t="n">
        <v>1</v>
      </c>
      <c r="C245" s="6" t="n">
        <v>0.275406400796963</v>
      </c>
      <c r="D245" s="6" t="n">
        <v>-0.8172429774292165</v>
      </c>
      <c r="E245" s="6" t="n">
        <v>-0.5688035553649698</v>
      </c>
      <c r="F245" s="6" t="n">
        <v>0.9185437189662378</v>
      </c>
      <c r="G245" s="5" t="n">
        <v>1</v>
      </c>
      <c r="H245" s="5" t="n">
        <v>0</v>
      </c>
      <c r="I245" s="5" t="n">
        <v>0</v>
      </c>
      <c r="J245" s="5" t="n">
        <v>0</v>
      </c>
      <c r="K245" s="5" t="n">
        <v>0</v>
      </c>
      <c r="L245" s="5" t="n">
        <v>0</v>
      </c>
      <c r="M245" s="5" t="n">
        <v>0</v>
      </c>
      <c r="N245" s="5" t="n">
        <v>0</v>
      </c>
      <c r="O245" s="5" t="n">
        <v>1</v>
      </c>
      <c r="P245" s="5" t="n">
        <v>0</v>
      </c>
      <c r="Q245" s="5" t="n">
        <v>0</v>
      </c>
      <c r="R245" s="5" t="n">
        <v>1</v>
      </c>
      <c r="S245" s="5" t="n">
        <v>0</v>
      </c>
      <c r="T245" s="5" t="n">
        <v>0</v>
      </c>
      <c r="U245" s="5" t="inlineStr">
        <is>
          <t>testing</t>
        </is>
      </c>
      <c r="V245" s="5" t="n">
        <v>0</v>
      </c>
    </row>
    <row r="246">
      <c r="A246" s="5" t="n">
        <v>242</v>
      </c>
      <c r="B246" s="5" t="n">
        <v>0</v>
      </c>
      <c r="C246" s="6" t="n">
        <v>-1.241254722473026</v>
      </c>
      <c r="D246" s="6" t="n">
        <v>-0.5793159130205655</v>
      </c>
      <c r="E246" s="6" t="n">
        <v>1.344602899991198</v>
      </c>
      <c r="F246" s="6" t="n">
        <v>0.01674764143977723</v>
      </c>
      <c r="G246" s="5" t="n">
        <v>0</v>
      </c>
      <c r="H246" s="5" t="n">
        <v>0</v>
      </c>
      <c r="I246" s="5" t="n">
        <v>0</v>
      </c>
      <c r="J246" s="5" t="n">
        <v>0</v>
      </c>
      <c r="K246" s="5" t="n">
        <v>0</v>
      </c>
      <c r="L246" s="5" t="n">
        <v>0</v>
      </c>
      <c r="M246" s="5" t="n">
        <v>0</v>
      </c>
      <c r="N246" s="5" t="n">
        <v>0</v>
      </c>
      <c r="O246" s="5" t="n">
        <v>0</v>
      </c>
      <c r="P246" s="5" t="n">
        <v>0</v>
      </c>
      <c r="Q246" s="5" t="n">
        <v>0</v>
      </c>
      <c r="R246" s="5" t="n">
        <v>0</v>
      </c>
      <c r="S246" s="5" t="n">
        <v>1</v>
      </c>
      <c r="T246" s="5" t="n">
        <v>0</v>
      </c>
      <c r="U246" s="5" t="inlineStr">
        <is>
          <t>testing</t>
        </is>
      </c>
      <c r="V246" s="5" t="n">
        <v>0</v>
      </c>
    </row>
    <row r="247">
      <c r="A247" s="5" t="n">
        <v>243</v>
      </c>
      <c r="B247" s="5" t="n">
        <v>1</v>
      </c>
      <c r="C247" s="6" t="n">
        <v>2.297621231823615</v>
      </c>
      <c r="D247" s="6" t="n">
        <v>0.4738612397294926</v>
      </c>
      <c r="E247" s="6" t="n">
        <v>-1.003668658855008</v>
      </c>
      <c r="F247" s="6" t="n">
        <v>0.01674764143977723</v>
      </c>
      <c r="G247" s="5" t="n">
        <v>1</v>
      </c>
      <c r="H247" s="5" t="n">
        <v>0</v>
      </c>
      <c r="I247" s="5" t="n">
        <v>0</v>
      </c>
      <c r="J247" s="5" t="n">
        <v>0</v>
      </c>
      <c r="K247" s="5" t="n">
        <v>0</v>
      </c>
      <c r="L247" s="5" t="n">
        <v>1</v>
      </c>
      <c r="M247" s="5" t="n">
        <v>0</v>
      </c>
      <c r="N247" s="5" t="n">
        <v>0</v>
      </c>
      <c r="O247" s="5" t="n">
        <v>0</v>
      </c>
      <c r="P247" s="5" t="n">
        <v>0</v>
      </c>
      <c r="Q247" s="5" t="n">
        <v>1</v>
      </c>
      <c r="R247" s="5" t="n">
        <v>1</v>
      </c>
      <c r="S247" s="5" t="n">
        <v>0</v>
      </c>
      <c r="T247" s="5" t="n">
        <v>0</v>
      </c>
      <c r="U247" s="5" t="inlineStr">
        <is>
          <t>testing</t>
        </is>
      </c>
      <c r="V247" s="5" t="n">
        <v>0</v>
      </c>
    </row>
    <row r="248">
      <c r="A248" s="5" t="n">
        <v>244</v>
      </c>
      <c r="B248" s="5" t="n">
        <v>0</v>
      </c>
      <c r="C248" s="6" t="n">
        <v>-0.7357010147163632</v>
      </c>
      <c r="D248" s="6" t="n">
        <v>-0.722771937149311</v>
      </c>
      <c r="E248" s="6" t="n">
        <v>-0.7427495967609852</v>
      </c>
      <c r="F248" s="6" t="n">
        <v>0.01674764143977723</v>
      </c>
      <c r="G248" s="5" t="n">
        <v>0</v>
      </c>
      <c r="H248" s="5" t="n">
        <v>0</v>
      </c>
      <c r="I248" s="5" t="n">
        <v>0</v>
      </c>
      <c r="J248" s="5" t="n">
        <v>1</v>
      </c>
      <c r="K248" s="5" t="n">
        <v>0</v>
      </c>
      <c r="L248" s="5" t="n">
        <v>0</v>
      </c>
      <c r="M248" s="5" t="n">
        <v>0</v>
      </c>
      <c r="N248" s="5" t="n">
        <v>0</v>
      </c>
      <c r="O248" s="5" t="n">
        <v>0</v>
      </c>
      <c r="P248" s="5" t="n">
        <v>0</v>
      </c>
      <c r="Q248" s="5" t="n">
        <v>0</v>
      </c>
      <c r="R248" s="5" t="n">
        <v>0</v>
      </c>
      <c r="S248" s="5" t="n">
        <v>0</v>
      </c>
      <c r="T248" s="5" t="n">
        <v>0</v>
      </c>
      <c r="U248" s="5" t="inlineStr">
        <is>
          <t>training</t>
        </is>
      </c>
      <c r="V248" s="5" t="n">
        <v>0</v>
      </c>
    </row>
    <row r="249">
      <c r="A249" s="5" t="n">
        <v>245</v>
      </c>
      <c r="B249" s="5" t="n">
        <v>0</v>
      </c>
      <c r="C249" s="6" t="n">
        <v>-0.7357010147163632</v>
      </c>
      <c r="D249" s="6" t="n">
        <v>0.06868544475123109</v>
      </c>
      <c r="E249" s="6" t="n">
        <v>-0.04696543117692405</v>
      </c>
      <c r="F249" s="6" t="n">
        <v>0.9185437189662378</v>
      </c>
      <c r="G249" s="5" t="n">
        <v>0</v>
      </c>
      <c r="H249" s="5" t="n">
        <v>0</v>
      </c>
      <c r="I249" s="5" t="n">
        <v>0</v>
      </c>
      <c r="J249" s="5" t="n">
        <v>0</v>
      </c>
      <c r="K249" s="5" t="n">
        <v>0</v>
      </c>
      <c r="L249" s="5" t="n">
        <v>1</v>
      </c>
      <c r="M249" s="5" t="n">
        <v>1</v>
      </c>
      <c r="N249" s="5" t="n">
        <v>0</v>
      </c>
      <c r="O249" s="5" t="n">
        <v>0</v>
      </c>
      <c r="P249" s="5" t="n">
        <v>0</v>
      </c>
      <c r="Q249" s="5" t="n">
        <v>0</v>
      </c>
      <c r="R249" s="5" t="n">
        <v>0</v>
      </c>
      <c r="S249" s="5" t="n">
        <v>0</v>
      </c>
      <c r="T249" s="5" t="n">
        <v>0</v>
      </c>
      <c r="U249" s="5" t="inlineStr">
        <is>
          <t>training</t>
        </is>
      </c>
      <c r="V249" s="5" t="n">
        <v>0</v>
      </c>
    </row>
    <row r="250">
      <c r="A250" s="5" t="n">
        <v>246</v>
      </c>
      <c r="B250" s="5" t="n">
        <v>0</v>
      </c>
      <c r="C250" s="6" t="n">
        <v>0.275406400796963</v>
      </c>
      <c r="D250" s="6" t="n">
        <v>-0.6972297669995587</v>
      </c>
      <c r="E250" s="6" t="n">
        <v>-0.9166956381570004</v>
      </c>
      <c r="F250" s="6" t="n">
        <v>0.9185437189662378</v>
      </c>
      <c r="G250" s="5" t="n">
        <v>0</v>
      </c>
      <c r="H250" s="5" t="n">
        <v>0</v>
      </c>
      <c r="I250" s="5" t="n">
        <v>0</v>
      </c>
      <c r="J250" s="5" t="n">
        <v>0</v>
      </c>
      <c r="K250" s="5" t="n">
        <v>0</v>
      </c>
      <c r="L250" s="5" t="n">
        <v>0</v>
      </c>
      <c r="M250" s="5" t="n">
        <v>0</v>
      </c>
      <c r="N250" s="5" t="n">
        <v>0</v>
      </c>
      <c r="O250" s="5" t="n">
        <v>0</v>
      </c>
      <c r="P250" s="5" t="n">
        <v>0</v>
      </c>
      <c r="Q250" s="5" t="n">
        <v>0</v>
      </c>
      <c r="R250" s="5" t="n">
        <v>0</v>
      </c>
      <c r="S250" s="5" t="n">
        <v>0</v>
      </c>
      <c r="T250" s="5" t="n">
        <v>0</v>
      </c>
      <c r="U250" s="5" t="inlineStr">
        <is>
          <t>testing</t>
        </is>
      </c>
      <c r="V250" s="5" t="n">
        <v>0</v>
      </c>
    </row>
    <row r="251">
      <c r="A251" s="5" t="n">
        <v>247</v>
      </c>
      <c r="B251" s="5" t="n">
        <v>0</v>
      </c>
      <c r="C251" s="6" t="n">
        <v>-0.7357010147163632</v>
      </c>
      <c r="D251" s="6" t="n">
        <v>-0.8865217403011472</v>
      </c>
      <c r="E251" s="6" t="n">
        <v>1.431575920689206</v>
      </c>
      <c r="F251" s="6" t="n">
        <v>0.9185437189662378</v>
      </c>
      <c r="G251" s="5" t="n">
        <v>0</v>
      </c>
      <c r="H251" s="5" t="n">
        <v>0</v>
      </c>
      <c r="I251" s="5" t="n">
        <v>0</v>
      </c>
      <c r="J251" s="5" t="n">
        <v>1</v>
      </c>
      <c r="K251" s="5" t="n">
        <v>0</v>
      </c>
      <c r="L251" s="5" t="n">
        <v>0</v>
      </c>
      <c r="M251" s="5" t="n">
        <v>0</v>
      </c>
      <c r="N251" s="5" t="n">
        <v>0</v>
      </c>
      <c r="O251" s="5" t="n">
        <v>0</v>
      </c>
      <c r="P251" s="5" t="n">
        <v>0</v>
      </c>
      <c r="Q251" s="5" t="n">
        <v>0</v>
      </c>
      <c r="R251" s="5" t="n">
        <v>0</v>
      </c>
      <c r="S251" s="5" t="n">
        <v>1</v>
      </c>
      <c r="T251" s="5" t="n">
        <v>0</v>
      </c>
      <c r="U251" s="5" t="inlineStr">
        <is>
          <t>training</t>
        </is>
      </c>
      <c r="V251" s="5" t="n">
        <v>0</v>
      </c>
    </row>
    <row r="252">
      <c r="A252" s="5" t="n">
        <v>248</v>
      </c>
      <c r="B252" s="5" t="n">
        <v>0</v>
      </c>
      <c r="C252" s="6" t="n">
        <v>-1.241254722473026</v>
      </c>
      <c r="D252" s="6" t="n">
        <v>-0.7161239750555398</v>
      </c>
      <c r="E252" s="6" t="n">
        <v>-0.04696543117692405</v>
      </c>
      <c r="F252" s="6" t="n">
        <v>0.9185437189662378</v>
      </c>
      <c r="G252" s="5" t="n">
        <v>0</v>
      </c>
      <c r="H252" s="5" t="n">
        <v>0</v>
      </c>
      <c r="I252" s="5" t="n">
        <v>0</v>
      </c>
      <c r="J252" s="5" t="n">
        <v>0</v>
      </c>
      <c r="K252" s="5" t="n">
        <v>0</v>
      </c>
      <c r="L252" s="5" t="n">
        <v>1</v>
      </c>
      <c r="M252" s="5" t="n">
        <v>1</v>
      </c>
      <c r="N252" s="5" t="n">
        <v>0</v>
      </c>
      <c r="O252" s="5" t="n">
        <v>0</v>
      </c>
      <c r="P252" s="5" t="n">
        <v>1</v>
      </c>
      <c r="Q252" s="5" t="n">
        <v>0</v>
      </c>
      <c r="R252" s="5" t="n">
        <v>1</v>
      </c>
      <c r="S252" s="5" t="n">
        <v>0</v>
      </c>
      <c r="T252" s="5" t="n">
        <v>0</v>
      </c>
      <c r="U252" s="5" t="inlineStr">
        <is>
          <t>training</t>
        </is>
      </c>
      <c r="V252" s="5" t="n">
        <v>1</v>
      </c>
    </row>
    <row r="253">
      <c r="A253" s="5" t="n">
        <v>249</v>
      </c>
      <c r="B253" s="5" t="n">
        <v>0</v>
      </c>
      <c r="C253" s="6" t="n">
        <v>0.275406400796963</v>
      </c>
      <c r="D253" s="6" t="n">
        <v>-0.4638513082340143</v>
      </c>
      <c r="E253" s="6" t="n">
        <v>-0.8297226174589928</v>
      </c>
      <c r="F253" s="6" t="n">
        <v>-0.8850484360866833</v>
      </c>
      <c r="G253" s="5" t="n">
        <v>0</v>
      </c>
      <c r="H253" s="5" t="n">
        <v>0</v>
      </c>
      <c r="I253" s="5" t="n">
        <v>1</v>
      </c>
      <c r="J253" s="5" t="n">
        <v>0</v>
      </c>
      <c r="K253" s="5" t="n">
        <v>0</v>
      </c>
      <c r="L253" s="5" t="n">
        <v>0</v>
      </c>
      <c r="M253" s="5" t="n">
        <v>0</v>
      </c>
      <c r="N253" s="5" t="n">
        <v>0</v>
      </c>
      <c r="O253" s="5" t="n">
        <v>0</v>
      </c>
      <c r="P253" s="5" t="n">
        <v>0</v>
      </c>
      <c r="Q253" s="5" t="n">
        <v>0</v>
      </c>
      <c r="R253" s="5" t="n">
        <v>0</v>
      </c>
      <c r="S253" s="5" t="n">
        <v>0</v>
      </c>
      <c r="T253" s="5" t="n">
        <v>1</v>
      </c>
      <c r="U253" s="5" t="inlineStr">
        <is>
          <t>training</t>
        </is>
      </c>
      <c r="V253" s="5" t="n">
        <v>1</v>
      </c>
    </row>
    <row r="254">
      <c r="A254" s="5" t="n">
        <v>250</v>
      </c>
      <c r="B254" s="5" t="n">
        <v>1</v>
      </c>
      <c r="C254" s="6" t="n">
        <v>-0.2301473069597001</v>
      </c>
      <c r="D254" s="6" t="n">
        <v>-0.9858912789659368</v>
      </c>
      <c r="E254" s="6" t="n">
        <v>-1.177614700251023</v>
      </c>
      <c r="F254" s="6" t="n">
        <v>0.01674764143977723</v>
      </c>
      <c r="G254" s="5" t="n">
        <v>0</v>
      </c>
      <c r="H254" s="5" t="n">
        <v>0</v>
      </c>
      <c r="I254" s="5" t="n">
        <v>0</v>
      </c>
      <c r="J254" s="5" t="n">
        <v>0</v>
      </c>
      <c r="K254" s="5" t="n">
        <v>0</v>
      </c>
      <c r="L254" s="5" t="n">
        <v>0</v>
      </c>
      <c r="M254" s="5" t="n">
        <v>0</v>
      </c>
      <c r="N254" s="5" t="n">
        <v>0</v>
      </c>
      <c r="O254" s="5" t="n">
        <v>0</v>
      </c>
      <c r="P254" s="5" t="n">
        <v>1</v>
      </c>
      <c r="Q254" s="5" t="n">
        <v>0</v>
      </c>
      <c r="R254" s="5" t="n">
        <v>0</v>
      </c>
      <c r="S254" s="5" t="n">
        <v>1</v>
      </c>
      <c r="T254" s="5" t="n">
        <v>0</v>
      </c>
      <c r="U254" s="5" t="inlineStr">
        <is>
          <t>training</t>
        </is>
      </c>
      <c r="V254" s="5" t="n">
        <v>1</v>
      </c>
    </row>
    <row r="255">
      <c r="A255" s="5" t="n">
        <v>251</v>
      </c>
      <c r="B255" s="5" t="n">
        <v>0</v>
      </c>
      <c r="C255" s="6" t="n">
        <v>-1.241254722473026</v>
      </c>
      <c r="D255" s="6" t="n">
        <v>-0.904366270131796</v>
      </c>
      <c r="E255" s="6" t="n">
        <v>0.3009266516151065</v>
      </c>
      <c r="F255" s="6" t="n">
        <v>0.01674764143977723</v>
      </c>
      <c r="G255" s="5" t="n">
        <v>1</v>
      </c>
      <c r="H255" s="5" t="n">
        <v>0</v>
      </c>
      <c r="I255" s="5" t="n">
        <v>0</v>
      </c>
      <c r="J255" s="5" t="n">
        <v>1</v>
      </c>
      <c r="K255" s="5" t="n">
        <v>0</v>
      </c>
      <c r="L255" s="5" t="n">
        <v>0</v>
      </c>
      <c r="M255" s="5" t="n">
        <v>0</v>
      </c>
      <c r="N255" s="5" t="n">
        <v>1</v>
      </c>
      <c r="O255" s="5" t="n">
        <v>0</v>
      </c>
      <c r="P255" s="5" t="n">
        <v>0</v>
      </c>
      <c r="Q255" s="5" t="n">
        <v>0</v>
      </c>
      <c r="R255" s="5" t="n">
        <v>1</v>
      </c>
      <c r="S255" s="5" t="n">
        <v>0</v>
      </c>
      <c r="T255" s="5" t="n">
        <v>0</v>
      </c>
      <c r="U255" s="5" t="inlineStr">
        <is>
          <t>testing</t>
        </is>
      </c>
      <c r="V255" s="5" t="n">
        <v>0</v>
      </c>
    </row>
    <row r="256">
      <c r="A256" s="5" t="n">
        <v>252</v>
      </c>
      <c r="B256" s="5" t="n">
        <v>0</v>
      </c>
      <c r="C256" s="6" t="n">
        <v>-0.7357010147163632</v>
      </c>
      <c r="D256" s="6" t="n">
        <v>-0.3497862744145727</v>
      </c>
      <c r="E256" s="6" t="n">
        <v>0.9097377965011599</v>
      </c>
      <c r="F256" s="6" t="n">
        <v>-1.786844513613144</v>
      </c>
      <c r="G256" s="5" t="n">
        <v>0</v>
      </c>
      <c r="H256" s="5" t="n">
        <v>0</v>
      </c>
      <c r="I256" s="5" t="n">
        <v>1</v>
      </c>
      <c r="J256" s="5" t="n">
        <v>0</v>
      </c>
      <c r="K256" s="5" t="n">
        <v>0</v>
      </c>
      <c r="L256" s="5" t="n">
        <v>0</v>
      </c>
      <c r="M256" s="5" t="n">
        <v>0</v>
      </c>
      <c r="N256" s="5" t="n">
        <v>0</v>
      </c>
      <c r="O256" s="5" t="n">
        <v>0</v>
      </c>
      <c r="P256" s="5" t="n">
        <v>0</v>
      </c>
      <c r="Q256" s="5" t="n">
        <v>0</v>
      </c>
      <c r="R256" s="5" t="n">
        <v>0</v>
      </c>
      <c r="S256" s="5" t="n">
        <v>0</v>
      </c>
      <c r="T256" s="5" t="n">
        <v>1</v>
      </c>
      <c r="U256" s="5" t="inlineStr">
        <is>
          <t>training</t>
        </is>
      </c>
      <c r="V256" s="5" t="n">
        <v>0</v>
      </c>
    </row>
    <row r="257">
      <c r="A257" s="5" t="n">
        <v>253</v>
      </c>
      <c r="B257" s="5" t="n">
        <v>1</v>
      </c>
      <c r="C257" s="6" t="n">
        <v>0.7809601085536261</v>
      </c>
      <c r="D257" s="6" t="n">
        <v>-0.385125441334093</v>
      </c>
      <c r="E257" s="6" t="n">
        <v>-1.003668658855008</v>
      </c>
      <c r="F257" s="6" t="n">
        <v>0.9185437189662378</v>
      </c>
      <c r="G257" s="5" t="n">
        <v>0</v>
      </c>
      <c r="H257" s="5" t="n">
        <v>1</v>
      </c>
      <c r="I257" s="5" t="n">
        <v>0</v>
      </c>
      <c r="J257" s="5" t="n">
        <v>0</v>
      </c>
      <c r="K257" s="5" t="n">
        <v>0</v>
      </c>
      <c r="L257" s="5" t="n">
        <v>0</v>
      </c>
      <c r="M257" s="5" t="n">
        <v>0</v>
      </c>
      <c r="N257" s="5" t="n">
        <v>0</v>
      </c>
      <c r="O257" s="5" t="n">
        <v>0</v>
      </c>
      <c r="P257" s="5" t="n">
        <v>0</v>
      </c>
      <c r="Q257" s="5" t="n">
        <v>0</v>
      </c>
      <c r="R257" s="5" t="n">
        <v>1</v>
      </c>
      <c r="S257" s="5" t="n">
        <v>0</v>
      </c>
      <c r="T257" s="5" t="n">
        <v>0</v>
      </c>
      <c r="U257" s="5" t="inlineStr">
        <is>
          <t>training</t>
        </is>
      </c>
      <c r="V257" s="5" t="n">
        <v>1</v>
      </c>
    </row>
    <row r="258">
      <c r="A258" s="5" t="n">
        <v>254</v>
      </c>
      <c r="B258" s="5" t="n">
        <v>0</v>
      </c>
      <c r="C258" s="6" t="n">
        <v>0.275406400796963</v>
      </c>
      <c r="D258" s="6" t="n">
        <v>0.3150099349625404</v>
      </c>
      <c r="E258" s="6" t="n">
        <v>-0.04696543117692405</v>
      </c>
      <c r="F258" s="6" t="n">
        <v>-0.8850484360866833</v>
      </c>
      <c r="G258" s="5" t="n">
        <v>0</v>
      </c>
      <c r="H258" s="5" t="n">
        <v>0</v>
      </c>
      <c r="I258" s="5" t="n">
        <v>0</v>
      </c>
      <c r="J258" s="5" t="n">
        <v>0</v>
      </c>
      <c r="K258" s="5" t="n">
        <v>1</v>
      </c>
      <c r="L258" s="5" t="n">
        <v>0</v>
      </c>
      <c r="M258" s="5" t="n">
        <v>1</v>
      </c>
      <c r="N258" s="5" t="n">
        <v>0</v>
      </c>
      <c r="O258" s="5" t="n">
        <v>0</v>
      </c>
      <c r="P258" s="5" t="n">
        <v>0</v>
      </c>
      <c r="Q258" s="5" t="n">
        <v>0</v>
      </c>
      <c r="R258" s="5" t="n">
        <v>0</v>
      </c>
      <c r="S258" s="5" t="n">
        <v>0</v>
      </c>
      <c r="T258" s="5" t="n">
        <v>1</v>
      </c>
      <c r="U258" s="5" t="inlineStr">
        <is>
          <t>testing</t>
        </is>
      </c>
      <c r="V258" s="5" t="n">
        <v>0</v>
      </c>
    </row>
    <row r="259">
      <c r="A259" s="5" t="n">
        <v>255</v>
      </c>
      <c r="B259" s="5" t="n">
        <v>0</v>
      </c>
      <c r="C259" s="6" t="n">
        <v>-0.9884778685946948</v>
      </c>
      <c r="D259" s="6" t="n">
        <v>-0.4271125703473843</v>
      </c>
      <c r="E259" s="6" t="n">
        <v>-1.003668658855008</v>
      </c>
      <c r="F259" s="6" t="n">
        <v>-0.8850484360866833</v>
      </c>
      <c r="G259" s="5" t="n">
        <v>0</v>
      </c>
      <c r="H259" s="5" t="n">
        <v>1</v>
      </c>
      <c r="I259" s="5" t="n">
        <v>0</v>
      </c>
      <c r="J259" s="5" t="n">
        <v>0</v>
      </c>
      <c r="K259" s="5" t="n">
        <v>0</v>
      </c>
      <c r="L259" s="5" t="n">
        <v>0</v>
      </c>
      <c r="M259" s="5" t="n">
        <v>0</v>
      </c>
      <c r="N259" s="5" t="n">
        <v>0</v>
      </c>
      <c r="O259" s="5" t="n">
        <v>1</v>
      </c>
      <c r="P259" s="5" t="n">
        <v>0</v>
      </c>
      <c r="Q259" s="5" t="n">
        <v>0</v>
      </c>
      <c r="R259" s="5" t="n">
        <v>0</v>
      </c>
      <c r="S259" s="5" t="n">
        <v>0</v>
      </c>
      <c r="T259" s="5" t="n">
        <v>1</v>
      </c>
      <c r="U259" s="5" t="inlineStr">
        <is>
          <t>testing</t>
        </is>
      </c>
      <c r="V259" s="5" t="n">
        <v>0</v>
      </c>
    </row>
    <row r="260">
      <c r="A260" s="5" t="n">
        <v>256</v>
      </c>
      <c r="B260" s="5" t="n">
        <v>0</v>
      </c>
      <c r="C260" s="6" t="n">
        <v>3.308728647336942</v>
      </c>
      <c r="D260" s="6" t="n">
        <v>1.458109522349398</v>
      </c>
      <c r="E260" s="6" t="n">
        <v>-0.7427495967609852</v>
      </c>
      <c r="F260" s="6" t="n">
        <v>-1.786844513613144</v>
      </c>
      <c r="G260" s="5" t="n">
        <v>0</v>
      </c>
      <c r="H260" s="5" t="n">
        <v>1</v>
      </c>
      <c r="I260" s="5" t="n">
        <v>0</v>
      </c>
      <c r="J260" s="5" t="n">
        <v>0</v>
      </c>
      <c r="K260" s="5" t="n">
        <v>1</v>
      </c>
      <c r="L260" s="5" t="n">
        <v>0</v>
      </c>
      <c r="M260" s="5" t="n">
        <v>0</v>
      </c>
      <c r="N260" s="5" t="n">
        <v>0</v>
      </c>
      <c r="O260" s="5" t="n">
        <v>1</v>
      </c>
      <c r="P260" s="5" t="n">
        <v>0</v>
      </c>
      <c r="Q260" s="5" t="n">
        <v>0</v>
      </c>
      <c r="R260" s="5" t="n">
        <v>0</v>
      </c>
      <c r="S260" s="5" t="n">
        <v>1</v>
      </c>
      <c r="T260" s="5" t="n">
        <v>0</v>
      </c>
      <c r="U260" s="5" t="inlineStr">
        <is>
          <t>training</t>
        </is>
      </c>
      <c r="V260" s="5" t="n">
        <v>1</v>
      </c>
    </row>
    <row r="261">
      <c r="A261" s="5" t="n">
        <v>257</v>
      </c>
      <c r="B261" s="5" t="n">
        <v>0</v>
      </c>
      <c r="C261" s="6" t="n">
        <v>0.275406400796963</v>
      </c>
      <c r="D261" s="6" t="n">
        <v>-0.1982827172249464</v>
      </c>
      <c r="E261" s="6" t="n">
        <v>-0.04696543117692405</v>
      </c>
      <c r="F261" s="6" t="n">
        <v>0.9185437189662378</v>
      </c>
      <c r="G261" s="5" t="n">
        <v>0</v>
      </c>
      <c r="H261" s="5" t="n">
        <v>0</v>
      </c>
      <c r="I261" s="5" t="n">
        <v>0</v>
      </c>
      <c r="J261" s="5" t="n">
        <v>1</v>
      </c>
      <c r="K261" s="5" t="n">
        <v>0</v>
      </c>
      <c r="L261" s="5" t="n">
        <v>0</v>
      </c>
      <c r="M261" s="5" t="n">
        <v>0</v>
      </c>
      <c r="N261" s="5" t="n">
        <v>0</v>
      </c>
      <c r="O261" s="5" t="n">
        <v>0</v>
      </c>
      <c r="P261" s="5" t="n">
        <v>0</v>
      </c>
      <c r="Q261" s="5" t="n">
        <v>0</v>
      </c>
      <c r="R261" s="5" t="n">
        <v>0</v>
      </c>
      <c r="S261" s="5" t="n">
        <v>1</v>
      </c>
      <c r="T261" s="5" t="n">
        <v>0</v>
      </c>
      <c r="U261" s="5" t="inlineStr">
        <is>
          <t>training</t>
        </is>
      </c>
      <c r="V261" s="5" t="n">
        <v>1</v>
      </c>
    </row>
    <row r="262">
      <c r="A262" s="5" t="n">
        <v>258</v>
      </c>
      <c r="B262" s="5" t="n">
        <v>1</v>
      </c>
      <c r="C262" s="6" t="n">
        <v>-0.7357010147163632</v>
      </c>
      <c r="D262" s="6" t="n">
        <v>-0.3854753340758704</v>
      </c>
      <c r="E262" s="6" t="n">
        <v>-0.5688035553649698</v>
      </c>
      <c r="F262" s="6" t="n">
        <v>0.9185437189662378</v>
      </c>
      <c r="G262" s="5" t="n">
        <v>1</v>
      </c>
      <c r="H262" s="5" t="n">
        <v>0</v>
      </c>
      <c r="I262" s="5" t="n">
        <v>0</v>
      </c>
      <c r="J262" s="5" t="n">
        <v>0</v>
      </c>
      <c r="K262" s="5" t="n">
        <v>0</v>
      </c>
      <c r="L262" s="5" t="n">
        <v>1</v>
      </c>
      <c r="M262" s="5" t="n">
        <v>0</v>
      </c>
      <c r="N262" s="5" t="n">
        <v>0</v>
      </c>
      <c r="O262" s="5" t="n">
        <v>0</v>
      </c>
      <c r="P262" s="5" t="n">
        <v>0</v>
      </c>
      <c r="Q262" s="5" t="n">
        <v>1</v>
      </c>
      <c r="R262" s="5" t="n">
        <v>0</v>
      </c>
      <c r="S262" s="5" t="n">
        <v>1</v>
      </c>
      <c r="T262" s="5" t="n">
        <v>0</v>
      </c>
      <c r="U262" s="5" t="inlineStr">
        <is>
          <t>testing</t>
        </is>
      </c>
      <c r="V262" s="5" t="n">
        <v>0</v>
      </c>
    </row>
    <row r="263">
      <c r="A263" s="5" t="n">
        <v>259</v>
      </c>
      <c r="B263" s="5" t="n">
        <v>0</v>
      </c>
      <c r="C263" s="6" t="n">
        <v>-0.4829241608380317</v>
      </c>
      <c r="D263" s="6" t="n">
        <v>0.1963962954999923</v>
      </c>
      <c r="E263" s="6" t="n">
        <v>-1.090641679553016</v>
      </c>
      <c r="F263" s="6" t="n">
        <v>-1.786844513613144</v>
      </c>
      <c r="G263" s="5" t="n">
        <v>0</v>
      </c>
      <c r="H263" s="5" t="n">
        <v>0</v>
      </c>
      <c r="I263" s="5" t="n">
        <v>0</v>
      </c>
      <c r="J263" s="5" t="n">
        <v>0</v>
      </c>
      <c r="K263" s="5" t="n">
        <v>0</v>
      </c>
      <c r="L263" s="5" t="n">
        <v>0</v>
      </c>
      <c r="M263" s="5" t="n">
        <v>1</v>
      </c>
      <c r="N263" s="5" t="n">
        <v>0</v>
      </c>
      <c r="O263" s="5" t="n">
        <v>0</v>
      </c>
      <c r="P263" s="5" t="n">
        <v>0</v>
      </c>
      <c r="Q263" s="5" t="n">
        <v>0</v>
      </c>
      <c r="R263" s="5" t="n">
        <v>1</v>
      </c>
      <c r="S263" s="5" t="n">
        <v>0</v>
      </c>
      <c r="T263" s="5" t="n">
        <v>0</v>
      </c>
      <c r="U263" s="5" t="inlineStr">
        <is>
          <t>training</t>
        </is>
      </c>
      <c r="V263" s="5" t="n">
        <v>1</v>
      </c>
    </row>
    <row r="264">
      <c r="A264" s="5" t="n">
        <v>260</v>
      </c>
      <c r="B264" s="5" t="n">
        <v>0</v>
      </c>
      <c r="C264" s="6" t="n">
        <v>-0.8199599660091405</v>
      </c>
      <c r="D264" s="6" t="n">
        <v>-0.7336186121444112</v>
      </c>
      <c r="E264" s="6" t="n">
        <v>1.866441024179244</v>
      </c>
      <c r="F264" s="6" t="n">
        <v>0.9185437189662378</v>
      </c>
      <c r="G264" s="5" t="n">
        <v>0</v>
      </c>
      <c r="H264" s="5" t="n">
        <v>0</v>
      </c>
      <c r="I264" s="5" t="n">
        <v>0</v>
      </c>
      <c r="J264" s="5" t="n">
        <v>1</v>
      </c>
      <c r="K264" s="5" t="n">
        <v>0</v>
      </c>
      <c r="L264" s="5" t="n">
        <v>0</v>
      </c>
      <c r="M264" s="5" t="n">
        <v>1</v>
      </c>
      <c r="N264" s="5" t="n">
        <v>0</v>
      </c>
      <c r="O264" s="5" t="n">
        <v>0</v>
      </c>
      <c r="P264" s="5" t="n">
        <v>0</v>
      </c>
      <c r="Q264" s="5" t="n">
        <v>0</v>
      </c>
      <c r="R264" s="5" t="n">
        <v>0</v>
      </c>
      <c r="S264" s="5" t="n">
        <v>1</v>
      </c>
      <c r="T264" s="5" t="n">
        <v>0</v>
      </c>
      <c r="U264" s="5" t="inlineStr">
        <is>
          <t>training</t>
        </is>
      </c>
      <c r="V264" s="5" t="n">
        <v>0</v>
      </c>
    </row>
    <row r="265">
      <c r="A265" s="5" t="n">
        <v>261</v>
      </c>
      <c r="B265" s="5" t="n">
        <v>0</v>
      </c>
      <c r="C265" s="6" t="n">
        <v>-0.7357010147163632</v>
      </c>
      <c r="D265" s="6" t="n">
        <v>-0.5576225630303649</v>
      </c>
      <c r="E265" s="6" t="n">
        <v>-0.7427495967609852</v>
      </c>
      <c r="F265" s="6" t="n">
        <v>-0.8850484360866833</v>
      </c>
      <c r="G265" s="5" t="n">
        <v>1</v>
      </c>
      <c r="H265" s="5" t="n">
        <v>0</v>
      </c>
      <c r="I265" s="5" t="n">
        <v>0</v>
      </c>
      <c r="J265" s="5" t="n">
        <v>0</v>
      </c>
      <c r="K265" s="5" t="n">
        <v>0</v>
      </c>
      <c r="L265" s="5" t="n">
        <v>0</v>
      </c>
      <c r="M265" s="5" t="n">
        <v>0</v>
      </c>
      <c r="N265" s="5" t="n">
        <v>0</v>
      </c>
      <c r="O265" s="5" t="n">
        <v>0</v>
      </c>
      <c r="P265" s="5" t="n">
        <v>0</v>
      </c>
      <c r="Q265" s="5" t="n">
        <v>0</v>
      </c>
      <c r="R265" s="5" t="n">
        <v>0</v>
      </c>
      <c r="S265" s="5" t="n">
        <v>0</v>
      </c>
      <c r="T265" s="5" t="n">
        <v>1</v>
      </c>
      <c r="U265" s="5" t="inlineStr">
        <is>
          <t>training</t>
        </is>
      </c>
      <c r="V265" s="5" t="n">
        <v>0</v>
      </c>
    </row>
    <row r="266">
      <c r="A266" s="5" t="n">
        <v>262</v>
      </c>
      <c r="B266" s="5" t="n">
        <v>0</v>
      </c>
      <c r="C266" s="6" t="n">
        <v>0.275406400796963</v>
      </c>
      <c r="D266" s="6" t="n">
        <v>-0.576516771086346</v>
      </c>
      <c r="E266" s="6" t="n">
        <v>1.692494982783229</v>
      </c>
      <c r="F266" s="6" t="n">
        <v>0.9185437189662378</v>
      </c>
      <c r="G266" s="5" t="n">
        <v>1</v>
      </c>
      <c r="H266" s="5" t="n">
        <v>0</v>
      </c>
      <c r="I266" s="5" t="n">
        <v>0</v>
      </c>
      <c r="J266" s="5" t="n">
        <v>0</v>
      </c>
      <c r="K266" s="5" t="n">
        <v>0</v>
      </c>
      <c r="L266" s="5" t="n">
        <v>0</v>
      </c>
      <c r="M266" s="5" t="n">
        <v>0</v>
      </c>
      <c r="N266" s="5" t="n">
        <v>0</v>
      </c>
      <c r="O266" s="5" t="n">
        <v>0</v>
      </c>
      <c r="P266" s="5" t="n">
        <v>0</v>
      </c>
      <c r="Q266" s="5" t="n">
        <v>0</v>
      </c>
      <c r="R266" s="5" t="n">
        <v>0</v>
      </c>
      <c r="S266" s="5" t="n">
        <v>1</v>
      </c>
      <c r="T266" s="5" t="n">
        <v>0</v>
      </c>
      <c r="U266" s="5" t="inlineStr">
        <is>
          <t>testing</t>
        </is>
      </c>
      <c r="V266" s="5" t="n">
        <v>0</v>
      </c>
    </row>
    <row r="267">
      <c r="A267" s="5" t="n">
        <v>263</v>
      </c>
      <c r="B267" s="5" t="n">
        <v>0</v>
      </c>
      <c r="C267" s="6" t="n">
        <v>-0.2301473069597001</v>
      </c>
      <c r="D267" s="6" t="n">
        <v>0.7177364807483599</v>
      </c>
      <c r="E267" s="6" t="n">
        <v>0.04000758952108359</v>
      </c>
      <c r="F267" s="6" t="n">
        <v>-0.8850484360866833</v>
      </c>
      <c r="G267" s="5" t="n">
        <v>1</v>
      </c>
      <c r="H267" s="5" t="n">
        <v>0</v>
      </c>
      <c r="I267" s="5" t="n">
        <v>0</v>
      </c>
      <c r="J267" s="5" t="n">
        <v>1</v>
      </c>
      <c r="K267" s="5" t="n">
        <v>0</v>
      </c>
      <c r="L267" s="5" t="n">
        <v>0</v>
      </c>
      <c r="M267" s="5" t="n">
        <v>0</v>
      </c>
      <c r="N267" s="5" t="n">
        <v>0</v>
      </c>
      <c r="O267" s="5" t="n">
        <v>0</v>
      </c>
      <c r="P267" s="5" t="n">
        <v>0</v>
      </c>
      <c r="Q267" s="5" t="n">
        <v>1</v>
      </c>
      <c r="R267" s="5" t="n">
        <v>1</v>
      </c>
      <c r="S267" s="5" t="n">
        <v>0</v>
      </c>
      <c r="T267" s="5" t="n">
        <v>0</v>
      </c>
      <c r="U267" s="5" t="inlineStr">
        <is>
          <t>training</t>
        </is>
      </c>
      <c r="V267" s="5" t="n">
        <v>0</v>
      </c>
    </row>
    <row r="268">
      <c r="A268" s="5" t="n">
        <v>264</v>
      </c>
      <c r="B268" s="5" t="n">
        <v>0</v>
      </c>
      <c r="C268" s="6" t="n">
        <v>-0.7357010147163632</v>
      </c>
      <c r="D268" s="6" t="n">
        <v>-0.175889581751191</v>
      </c>
      <c r="E268" s="6" t="n">
        <v>1.866441024179244</v>
      </c>
      <c r="F268" s="6" t="n">
        <v>-0.8850484360866833</v>
      </c>
      <c r="G268" s="5" t="n">
        <v>0</v>
      </c>
      <c r="H268" s="5" t="n">
        <v>0</v>
      </c>
      <c r="I268" s="5" t="n">
        <v>0</v>
      </c>
      <c r="J268" s="5" t="n">
        <v>1</v>
      </c>
      <c r="K268" s="5" t="n">
        <v>0</v>
      </c>
      <c r="L268" s="5" t="n">
        <v>0</v>
      </c>
      <c r="M268" s="5" t="n">
        <v>0</v>
      </c>
      <c r="N268" s="5" t="n">
        <v>0</v>
      </c>
      <c r="O268" s="5" t="n">
        <v>0</v>
      </c>
      <c r="P268" s="5" t="n">
        <v>0</v>
      </c>
      <c r="Q268" s="5" t="n">
        <v>1</v>
      </c>
      <c r="R268" s="5" t="n">
        <v>0</v>
      </c>
      <c r="S268" s="5" t="n">
        <v>0</v>
      </c>
      <c r="T268" s="5" t="n">
        <v>0</v>
      </c>
      <c r="U268" s="5" t="inlineStr">
        <is>
          <t>training</t>
        </is>
      </c>
      <c r="V268" s="5" t="n">
        <v>0</v>
      </c>
    </row>
    <row r="269">
      <c r="A269" s="5" t="n">
        <v>265</v>
      </c>
      <c r="B269" s="5" t="n">
        <v>0</v>
      </c>
      <c r="C269" s="6" t="n">
        <v>-0.9042189173019176</v>
      </c>
      <c r="D269" s="6" t="n">
        <v>-0.7066768710275493</v>
      </c>
      <c r="E269" s="6" t="n">
        <v>-0.307884493270947</v>
      </c>
      <c r="F269" s="6" t="n">
        <v>0.01674764143977723</v>
      </c>
      <c r="G269" s="5" t="n">
        <v>0</v>
      </c>
      <c r="H269" s="5" t="n">
        <v>0</v>
      </c>
      <c r="I269" s="5" t="n">
        <v>0</v>
      </c>
      <c r="J269" s="5" t="n">
        <v>1</v>
      </c>
      <c r="K269" s="5" t="n">
        <v>0</v>
      </c>
      <c r="L269" s="5" t="n">
        <v>0</v>
      </c>
      <c r="M269" s="5" t="n">
        <v>0</v>
      </c>
      <c r="N269" s="5" t="n">
        <v>0</v>
      </c>
      <c r="O269" s="5" t="n">
        <v>0</v>
      </c>
      <c r="P269" s="5" t="n">
        <v>0</v>
      </c>
      <c r="Q269" s="5" t="n">
        <v>0</v>
      </c>
      <c r="R269" s="5" t="n">
        <v>1</v>
      </c>
      <c r="S269" s="5" t="n">
        <v>0</v>
      </c>
      <c r="T269" s="5" t="n">
        <v>0</v>
      </c>
      <c r="U269" s="5" t="inlineStr">
        <is>
          <t>training</t>
        </is>
      </c>
      <c r="V269" s="5" t="n">
        <v>0</v>
      </c>
    </row>
    <row r="270">
      <c r="A270" s="5" t="n">
        <v>266</v>
      </c>
      <c r="B270" s="5" t="n">
        <v>1</v>
      </c>
      <c r="C270" s="6" t="n">
        <v>-0.4829241608380317</v>
      </c>
      <c r="D270" s="6" t="n">
        <v>-0.8567808572500658</v>
      </c>
      <c r="E270" s="6" t="n">
        <v>0.1269806102190912</v>
      </c>
      <c r="F270" s="6" t="n">
        <v>0.9185437189662378</v>
      </c>
      <c r="G270" s="5" t="n">
        <v>0</v>
      </c>
      <c r="H270" s="5" t="n">
        <v>1</v>
      </c>
      <c r="I270" s="5" t="n">
        <v>0</v>
      </c>
      <c r="J270" s="5" t="n">
        <v>0</v>
      </c>
      <c r="K270" s="5" t="n">
        <v>0</v>
      </c>
      <c r="L270" s="5" t="n">
        <v>0</v>
      </c>
      <c r="M270" s="5" t="n">
        <v>0</v>
      </c>
      <c r="N270" s="5" t="n">
        <v>0</v>
      </c>
      <c r="O270" s="5" t="n">
        <v>0</v>
      </c>
      <c r="P270" s="5" t="n">
        <v>0</v>
      </c>
      <c r="Q270" s="5" t="n">
        <v>0</v>
      </c>
      <c r="R270" s="5" t="n">
        <v>0</v>
      </c>
      <c r="S270" s="5" t="n">
        <v>1</v>
      </c>
      <c r="T270" s="5" t="n">
        <v>0</v>
      </c>
      <c r="U270" s="5" t="inlineStr">
        <is>
          <t>training</t>
        </is>
      </c>
      <c r="V270" s="5" t="n">
        <v>1</v>
      </c>
    </row>
    <row r="271">
      <c r="A271" s="5" t="n">
        <v>267</v>
      </c>
      <c r="B271" s="5" t="n">
        <v>0</v>
      </c>
      <c r="C271" s="6" t="n">
        <v>1.286513816310289</v>
      </c>
      <c r="D271" s="6" t="n">
        <v>1.068329008009343</v>
      </c>
      <c r="E271" s="6" t="n">
        <v>0.04000758952108359</v>
      </c>
      <c r="F271" s="6" t="n">
        <v>0.9185437189662378</v>
      </c>
      <c r="G271" s="5" t="n">
        <v>0</v>
      </c>
      <c r="H271" s="5" t="n">
        <v>0</v>
      </c>
      <c r="I271" s="5" t="n">
        <v>0</v>
      </c>
      <c r="J271" s="5" t="n">
        <v>1</v>
      </c>
      <c r="K271" s="5" t="n">
        <v>0</v>
      </c>
      <c r="L271" s="5" t="n">
        <v>0</v>
      </c>
      <c r="M271" s="5" t="n">
        <v>0</v>
      </c>
      <c r="N271" s="5" t="n">
        <v>0</v>
      </c>
      <c r="O271" s="5" t="n">
        <v>1</v>
      </c>
      <c r="P271" s="5" t="n">
        <v>0</v>
      </c>
      <c r="Q271" s="5" t="n">
        <v>0</v>
      </c>
      <c r="R271" s="5" t="n">
        <v>0</v>
      </c>
      <c r="S271" s="5" t="n">
        <v>0</v>
      </c>
      <c r="T271" s="5" t="n">
        <v>0</v>
      </c>
      <c r="U271" s="5" t="inlineStr">
        <is>
          <t>testing</t>
        </is>
      </c>
      <c r="V271" s="5" t="n">
        <v>0</v>
      </c>
    </row>
    <row r="272">
      <c r="A272" s="5" t="n">
        <v>268</v>
      </c>
      <c r="B272" s="5" t="n">
        <v>0</v>
      </c>
      <c r="C272" s="6" t="n">
        <v>0.275406400796963</v>
      </c>
      <c r="D272" s="6" t="n">
        <v>-0.601009263010766</v>
      </c>
      <c r="E272" s="6" t="n">
        <v>0.2139536309170988</v>
      </c>
      <c r="F272" s="6" t="n">
        <v>0.9185437189662378</v>
      </c>
      <c r="G272" s="5" t="n">
        <v>0</v>
      </c>
      <c r="H272" s="5" t="n">
        <v>0</v>
      </c>
      <c r="I272" s="5" t="n">
        <v>0</v>
      </c>
      <c r="J272" s="5" t="n">
        <v>0</v>
      </c>
      <c r="K272" s="5" t="n">
        <v>0</v>
      </c>
      <c r="L272" s="5" t="n">
        <v>0</v>
      </c>
      <c r="M272" s="5" t="n">
        <v>0</v>
      </c>
      <c r="N272" s="5" t="n">
        <v>0</v>
      </c>
      <c r="O272" s="5" t="n">
        <v>0</v>
      </c>
      <c r="P272" s="5" t="n">
        <v>0</v>
      </c>
      <c r="Q272" s="5" t="n">
        <v>0</v>
      </c>
      <c r="R272" s="5" t="n">
        <v>0</v>
      </c>
      <c r="S272" s="5" t="n">
        <v>1</v>
      </c>
      <c r="T272" s="5" t="n">
        <v>0</v>
      </c>
      <c r="U272" s="5" t="inlineStr">
        <is>
          <t>training</t>
        </is>
      </c>
      <c r="V272" s="5" t="n">
        <v>0</v>
      </c>
    </row>
    <row r="273">
      <c r="A273" s="5" t="n">
        <v>269</v>
      </c>
      <c r="B273" s="5" t="n">
        <v>1</v>
      </c>
      <c r="C273" s="6" t="n">
        <v>-0.5671831121308089</v>
      </c>
      <c r="D273" s="6" t="n">
        <v>2.003942199522185</v>
      </c>
      <c r="E273" s="6" t="n">
        <v>0.8227647758031523</v>
      </c>
      <c r="F273" s="6" t="n">
        <v>-1.786844513613144</v>
      </c>
      <c r="G273" s="5" t="n">
        <v>1</v>
      </c>
      <c r="H273" s="5" t="n">
        <v>0</v>
      </c>
      <c r="I273" s="5" t="n">
        <v>0</v>
      </c>
      <c r="J273" s="5" t="n">
        <v>0</v>
      </c>
      <c r="K273" s="5" t="n">
        <v>0</v>
      </c>
      <c r="L273" s="5" t="n">
        <v>0</v>
      </c>
      <c r="M273" s="5" t="n">
        <v>0</v>
      </c>
      <c r="N273" s="5" t="n">
        <v>0</v>
      </c>
      <c r="O273" s="5" t="n">
        <v>0</v>
      </c>
      <c r="P273" s="5" t="n">
        <v>0</v>
      </c>
      <c r="Q273" s="5" t="n">
        <v>0</v>
      </c>
      <c r="R273" s="5" t="n">
        <v>1</v>
      </c>
      <c r="S273" s="5" t="n">
        <v>0</v>
      </c>
      <c r="T273" s="5" t="n">
        <v>0</v>
      </c>
      <c r="U273" s="5" t="inlineStr">
        <is>
          <t>testing</t>
        </is>
      </c>
      <c r="V273" s="5" t="n">
        <v>0</v>
      </c>
    </row>
    <row r="274">
      <c r="A274" s="5" t="n">
        <v>270</v>
      </c>
      <c r="B274" s="5" t="n">
        <v>0</v>
      </c>
      <c r="C274" s="6" t="n">
        <v>0.275406400796963</v>
      </c>
      <c r="D274" s="6" t="n">
        <v>-0.7878519871199126</v>
      </c>
      <c r="E274" s="6" t="n">
        <v>-0.9166956381570004</v>
      </c>
      <c r="F274" s="6" t="n">
        <v>0.9185437189662378</v>
      </c>
      <c r="G274" s="5" t="n">
        <v>0</v>
      </c>
      <c r="H274" s="5" t="n">
        <v>0</v>
      </c>
      <c r="I274" s="5" t="n">
        <v>0</v>
      </c>
      <c r="J274" s="5" t="n">
        <v>0</v>
      </c>
      <c r="K274" s="5" t="n">
        <v>0</v>
      </c>
      <c r="L274" s="5" t="n">
        <v>0</v>
      </c>
      <c r="M274" s="5" t="n">
        <v>0</v>
      </c>
      <c r="N274" s="5" t="n">
        <v>0</v>
      </c>
      <c r="O274" s="5" t="n">
        <v>1</v>
      </c>
      <c r="P274" s="5" t="n">
        <v>0</v>
      </c>
      <c r="Q274" s="5" t="n">
        <v>0</v>
      </c>
      <c r="R274" s="5" t="n">
        <v>0</v>
      </c>
      <c r="S274" s="5" t="n">
        <v>1</v>
      </c>
      <c r="T274" s="5" t="n">
        <v>0</v>
      </c>
      <c r="U274" s="5" t="inlineStr">
        <is>
          <t>training</t>
        </is>
      </c>
      <c r="V274" s="5" t="n">
        <v>0</v>
      </c>
    </row>
    <row r="275">
      <c r="A275" s="5" t="n">
        <v>271</v>
      </c>
      <c r="B275" s="5" t="n">
        <v>0</v>
      </c>
      <c r="C275" s="6" t="n">
        <v>-0.2301473069597001</v>
      </c>
      <c r="D275" s="6" t="n">
        <v>-0.2059803575440499</v>
      </c>
      <c r="E275" s="6" t="n">
        <v>-0.307884493270947</v>
      </c>
      <c r="F275" s="6" t="n">
        <v>0.9185437189662378</v>
      </c>
      <c r="G275" s="5" t="n">
        <v>0</v>
      </c>
      <c r="H275" s="5" t="n">
        <v>0</v>
      </c>
      <c r="I275" s="5" t="n">
        <v>0</v>
      </c>
      <c r="J275" s="5" t="n">
        <v>0</v>
      </c>
      <c r="K275" s="5" t="n">
        <v>0</v>
      </c>
      <c r="L275" s="5" t="n">
        <v>0</v>
      </c>
      <c r="M275" s="5" t="n">
        <v>0</v>
      </c>
      <c r="N275" s="5" t="n">
        <v>0</v>
      </c>
      <c r="O275" s="5" t="n">
        <v>1</v>
      </c>
      <c r="P275" s="5" t="n">
        <v>0</v>
      </c>
      <c r="Q275" s="5" t="n">
        <v>0</v>
      </c>
      <c r="R275" s="5" t="n">
        <v>1</v>
      </c>
      <c r="S275" s="5" t="n">
        <v>0</v>
      </c>
      <c r="T275" s="5" t="n">
        <v>0</v>
      </c>
      <c r="U275" s="5" t="inlineStr">
        <is>
          <t>testing</t>
        </is>
      </c>
      <c r="V275" s="5" t="n">
        <v>0</v>
      </c>
    </row>
    <row r="276">
      <c r="A276" s="5" t="n">
        <v>272</v>
      </c>
      <c r="B276" s="5" t="n">
        <v>0</v>
      </c>
      <c r="C276" s="6" t="n">
        <v>-0.7357010147163632</v>
      </c>
      <c r="D276" s="6" t="n">
        <v>-0.646845212183609</v>
      </c>
      <c r="E276" s="6" t="n">
        <v>0.1269806102190912</v>
      </c>
      <c r="F276" s="6" t="n">
        <v>0.01674764143977723</v>
      </c>
      <c r="G276" s="5" t="n">
        <v>0</v>
      </c>
      <c r="H276" s="5" t="n">
        <v>0</v>
      </c>
      <c r="I276" s="5" t="n">
        <v>0</v>
      </c>
      <c r="J276" s="5" t="n">
        <v>1</v>
      </c>
      <c r="K276" s="5" t="n">
        <v>0</v>
      </c>
      <c r="L276" s="5" t="n">
        <v>0</v>
      </c>
      <c r="M276" s="5" t="n">
        <v>1</v>
      </c>
      <c r="N276" s="5" t="n">
        <v>0</v>
      </c>
      <c r="O276" s="5" t="n">
        <v>0</v>
      </c>
      <c r="P276" s="5" t="n">
        <v>1</v>
      </c>
      <c r="Q276" s="5" t="n">
        <v>0</v>
      </c>
      <c r="R276" s="5" t="n">
        <v>0</v>
      </c>
      <c r="S276" s="5" t="n">
        <v>0</v>
      </c>
      <c r="T276" s="5" t="n">
        <v>1</v>
      </c>
      <c r="U276" s="5" t="inlineStr">
        <is>
          <t>testing</t>
        </is>
      </c>
      <c r="V276" s="5" t="n">
        <v>0</v>
      </c>
    </row>
    <row r="277">
      <c r="A277" s="5" t="n">
        <v>273</v>
      </c>
      <c r="B277" s="5" t="n">
        <v>0</v>
      </c>
      <c r="C277" s="6" t="n">
        <v>2.297621231823615</v>
      </c>
      <c r="D277" s="6" t="n">
        <v>3.120449938533958</v>
      </c>
      <c r="E277" s="6" t="n">
        <v>0.04000758952108359</v>
      </c>
      <c r="F277" s="6" t="n">
        <v>0.9185437189662378</v>
      </c>
      <c r="G277" s="5" t="n">
        <v>0</v>
      </c>
      <c r="H277" s="5" t="n">
        <v>1</v>
      </c>
      <c r="I277" s="5" t="n">
        <v>0</v>
      </c>
      <c r="J277" s="5" t="n">
        <v>0</v>
      </c>
      <c r="K277" s="5" t="n">
        <v>0</v>
      </c>
      <c r="L277" s="5" t="n">
        <v>1</v>
      </c>
      <c r="M277" s="5" t="n">
        <v>0</v>
      </c>
      <c r="N277" s="5" t="n">
        <v>0</v>
      </c>
      <c r="O277" s="5" t="n">
        <v>1</v>
      </c>
      <c r="P277" s="5" t="n">
        <v>0</v>
      </c>
      <c r="Q277" s="5" t="n">
        <v>1</v>
      </c>
      <c r="R277" s="5" t="n">
        <v>1</v>
      </c>
      <c r="S277" s="5" t="n">
        <v>0</v>
      </c>
      <c r="T277" s="5" t="n">
        <v>0</v>
      </c>
      <c r="U277" s="5" t="inlineStr">
        <is>
          <t>training</t>
        </is>
      </c>
      <c r="V277" s="5" t="n">
        <v>0</v>
      </c>
    </row>
    <row r="278">
      <c r="A278" s="5" t="n">
        <v>274</v>
      </c>
      <c r="B278" s="5" t="n">
        <v>1</v>
      </c>
      <c r="C278" s="6" t="n">
        <v>2.297621231823615</v>
      </c>
      <c r="D278" s="6" t="n">
        <v>-0.06672304631663353</v>
      </c>
      <c r="E278" s="6" t="n">
        <v>-0.6557765760629775</v>
      </c>
      <c r="F278" s="6" t="n">
        <v>0.9185437189662378</v>
      </c>
      <c r="G278" s="5" t="n">
        <v>0</v>
      </c>
      <c r="H278" s="5" t="n">
        <v>1</v>
      </c>
      <c r="I278" s="5" t="n">
        <v>0</v>
      </c>
      <c r="J278" s="5" t="n">
        <v>0</v>
      </c>
      <c r="K278" s="5" t="n">
        <v>0</v>
      </c>
      <c r="L278" s="5" t="n">
        <v>0</v>
      </c>
      <c r="M278" s="5" t="n">
        <v>0</v>
      </c>
      <c r="N278" s="5" t="n">
        <v>0</v>
      </c>
      <c r="O278" s="5" t="n">
        <v>0</v>
      </c>
      <c r="P278" s="5" t="n">
        <v>0</v>
      </c>
      <c r="Q278" s="5" t="n">
        <v>0</v>
      </c>
      <c r="R278" s="5" t="n">
        <v>0</v>
      </c>
      <c r="S278" s="5" t="n">
        <v>1</v>
      </c>
      <c r="T278" s="5" t="n">
        <v>0</v>
      </c>
      <c r="U278" s="5" t="inlineStr">
        <is>
          <t>training</t>
        </is>
      </c>
      <c r="V278" s="5" t="n">
        <v>1</v>
      </c>
    </row>
    <row r="279">
      <c r="A279" s="5" t="n">
        <v>275</v>
      </c>
      <c r="B279" s="5" t="n">
        <v>1</v>
      </c>
      <c r="C279" s="6" t="n">
        <v>0.7809601085536261</v>
      </c>
      <c r="D279" s="6" t="n">
        <v>3.060618279690018</v>
      </c>
      <c r="E279" s="6" t="n">
        <v>-0.1339384518749317</v>
      </c>
      <c r="F279" s="6" t="n">
        <v>-1.786844513613144</v>
      </c>
      <c r="G279" s="5" t="n">
        <v>1</v>
      </c>
      <c r="H279" s="5" t="n">
        <v>0</v>
      </c>
      <c r="I279" s="5" t="n">
        <v>0</v>
      </c>
      <c r="J279" s="5" t="n">
        <v>0</v>
      </c>
      <c r="K279" s="5" t="n">
        <v>0</v>
      </c>
      <c r="L279" s="5" t="n">
        <v>0</v>
      </c>
      <c r="M279" s="5" t="n">
        <v>0</v>
      </c>
      <c r="N279" s="5" t="n">
        <v>0</v>
      </c>
      <c r="O279" s="5" t="n">
        <v>0</v>
      </c>
      <c r="P279" s="5" t="n">
        <v>0</v>
      </c>
      <c r="Q279" s="5" t="n">
        <v>0</v>
      </c>
      <c r="R279" s="5" t="n">
        <v>0</v>
      </c>
      <c r="S279" s="5" t="n">
        <v>0</v>
      </c>
      <c r="T279" s="5" t="n">
        <v>0</v>
      </c>
      <c r="U279" s="5" t="inlineStr">
        <is>
          <t>training</t>
        </is>
      </c>
      <c r="V279" s="5" t="n">
        <v>1</v>
      </c>
    </row>
    <row r="280">
      <c r="A280" s="5" t="n">
        <v>276</v>
      </c>
      <c r="B280" s="5" t="n">
        <v>0</v>
      </c>
      <c r="C280" s="6" t="n">
        <v>-0.9884778685946948</v>
      </c>
      <c r="D280" s="6" t="n">
        <v>-0.1937341115818399</v>
      </c>
      <c r="E280" s="6" t="n">
        <v>-0.307884493270947</v>
      </c>
      <c r="F280" s="6" t="n">
        <v>-1.786844513613144</v>
      </c>
      <c r="G280" s="5" t="n">
        <v>0</v>
      </c>
      <c r="H280" s="5" t="n">
        <v>0</v>
      </c>
      <c r="I280" s="5" t="n">
        <v>0</v>
      </c>
      <c r="J280" s="5" t="n">
        <v>0</v>
      </c>
      <c r="K280" s="5" t="n">
        <v>0</v>
      </c>
      <c r="L280" s="5" t="n">
        <v>0</v>
      </c>
      <c r="M280" s="5" t="n">
        <v>0</v>
      </c>
      <c r="N280" s="5" t="n">
        <v>0</v>
      </c>
      <c r="O280" s="5" t="n">
        <v>0</v>
      </c>
      <c r="P280" s="5" t="n">
        <v>0</v>
      </c>
      <c r="Q280" s="5" t="n">
        <v>0</v>
      </c>
      <c r="R280" s="5" t="n">
        <v>0</v>
      </c>
      <c r="S280" s="5" t="n">
        <v>1</v>
      </c>
      <c r="T280" s="5" t="n">
        <v>0</v>
      </c>
      <c r="U280" s="5" t="inlineStr">
        <is>
          <t>training</t>
        </is>
      </c>
      <c r="V280" s="5" t="n">
        <v>1</v>
      </c>
    </row>
    <row r="281">
      <c r="A281" s="5" t="n">
        <v>277</v>
      </c>
      <c r="B281" s="5" t="n">
        <v>0</v>
      </c>
      <c r="C281" s="6" t="n">
        <v>-0.2301473069597001</v>
      </c>
      <c r="D281" s="6" t="n">
        <v>-0.2962526849226262</v>
      </c>
      <c r="E281" s="6" t="n">
        <v>-0.8297226174589928</v>
      </c>
      <c r="F281" s="6" t="n">
        <v>-0.8850484360866833</v>
      </c>
      <c r="G281" s="5" t="n">
        <v>0</v>
      </c>
      <c r="H281" s="5" t="n">
        <v>0</v>
      </c>
      <c r="I281" s="5" t="n">
        <v>0</v>
      </c>
      <c r="J281" s="5" t="n">
        <v>1</v>
      </c>
      <c r="K281" s="5" t="n">
        <v>0</v>
      </c>
      <c r="L281" s="5" t="n">
        <v>0</v>
      </c>
      <c r="M281" s="5" t="n">
        <v>0</v>
      </c>
      <c r="N281" s="5" t="n">
        <v>0</v>
      </c>
      <c r="O281" s="5" t="n">
        <v>0</v>
      </c>
      <c r="P281" s="5" t="n">
        <v>0</v>
      </c>
      <c r="Q281" s="5" t="n">
        <v>0</v>
      </c>
      <c r="R281" s="5" t="n">
        <v>0</v>
      </c>
      <c r="S281" s="5" t="n">
        <v>1</v>
      </c>
      <c r="T281" s="5" t="n">
        <v>0</v>
      </c>
      <c r="U281" s="5" t="inlineStr">
        <is>
          <t>training</t>
        </is>
      </c>
      <c r="V281" s="5" t="n">
        <v>0</v>
      </c>
    </row>
    <row r="282">
      <c r="A282" s="5" t="n">
        <v>278</v>
      </c>
      <c r="B282" s="5" t="n">
        <v>0</v>
      </c>
      <c r="C282" s="6" t="n">
        <v>-0.7357010147163632</v>
      </c>
      <c r="D282" s="6" t="n">
        <v>-0.695830196032449</v>
      </c>
      <c r="E282" s="6" t="n">
        <v>1.170656858595183</v>
      </c>
      <c r="F282" s="6" t="n">
        <v>-0.8850484360866833</v>
      </c>
      <c r="G282" s="5" t="n">
        <v>1</v>
      </c>
      <c r="H282" s="5" t="n">
        <v>0</v>
      </c>
      <c r="I282" s="5" t="n">
        <v>0</v>
      </c>
      <c r="J282" s="5" t="n">
        <v>0</v>
      </c>
      <c r="K282" s="5" t="n">
        <v>0</v>
      </c>
      <c r="L282" s="5" t="n">
        <v>0</v>
      </c>
      <c r="M282" s="5" t="n">
        <v>0</v>
      </c>
      <c r="N282" s="5" t="n">
        <v>0</v>
      </c>
      <c r="O282" s="5" t="n">
        <v>1</v>
      </c>
      <c r="P282" s="5" t="n">
        <v>0</v>
      </c>
      <c r="Q282" s="5" t="n">
        <v>0</v>
      </c>
      <c r="R282" s="5" t="n">
        <v>0</v>
      </c>
      <c r="S282" s="5" t="n">
        <v>0</v>
      </c>
      <c r="T282" s="5" t="n">
        <v>1</v>
      </c>
      <c r="U282" s="5" t="inlineStr">
        <is>
          <t>training</t>
        </is>
      </c>
      <c r="V282" s="5" t="n">
        <v>0</v>
      </c>
    </row>
    <row r="283">
      <c r="A283" s="5" t="n">
        <v>279</v>
      </c>
      <c r="B283" s="5" t="n">
        <v>1</v>
      </c>
      <c r="C283" s="6" t="n">
        <v>-1.241254722473026</v>
      </c>
      <c r="D283" s="6" t="n">
        <v>0.4759605961801572</v>
      </c>
      <c r="E283" s="6" t="n">
        <v>-0.307884493270947</v>
      </c>
      <c r="F283" s="6" t="n">
        <v>-1.786844513613144</v>
      </c>
      <c r="G283" s="5" t="n">
        <v>0</v>
      </c>
      <c r="H283" s="5" t="n">
        <v>0</v>
      </c>
      <c r="I283" s="5" t="n">
        <v>0</v>
      </c>
      <c r="J283" s="5" t="n">
        <v>0</v>
      </c>
      <c r="K283" s="5" t="n">
        <v>0</v>
      </c>
      <c r="L283" s="5" t="n">
        <v>0</v>
      </c>
      <c r="M283" s="5" t="n">
        <v>0</v>
      </c>
      <c r="N283" s="5" t="n">
        <v>0</v>
      </c>
      <c r="O283" s="5" t="n">
        <v>0</v>
      </c>
      <c r="P283" s="5" t="n">
        <v>0</v>
      </c>
      <c r="Q283" s="5" t="n">
        <v>0</v>
      </c>
      <c r="R283" s="5" t="n">
        <v>0</v>
      </c>
      <c r="S283" s="5" t="n">
        <v>0</v>
      </c>
      <c r="T283" s="5" t="n">
        <v>1</v>
      </c>
      <c r="U283" s="5" t="inlineStr">
        <is>
          <t>testing</t>
        </is>
      </c>
      <c r="V283" s="5" t="n">
        <v>0</v>
      </c>
    </row>
    <row r="284">
      <c r="A284" s="5" t="n">
        <v>280</v>
      </c>
      <c r="B284" s="5" t="n">
        <v>0</v>
      </c>
      <c r="C284" s="6" t="n">
        <v>0.275406400796963</v>
      </c>
      <c r="D284" s="6" t="n">
        <v>-0.4722487340366725</v>
      </c>
      <c r="E284" s="6" t="n">
        <v>-0.5688035553649698</v>
      </c>
      <c r="F284" s="6" t="n">
        <v>0.9185437189662378</v>
      </c>
      <c r="G284" s="5" t="n">
        <v>0</v>
      </c>
      <c r="H284" s="5" t="n">
        <v>0</v>
      </c>
      <c r="I284" s="5" t="n">
        <v>0</v>
      </c>
      <c r="J284" s="5" t="n">
        <v>0</v>
      </c>
      <c r="K284" s="5" t="n">
        <v>0</v>
      </c>
      <c r="L284" s="5" t="n">
        <v>0</v>
      </c>
      <c r="M284" s="5" t="n">
        <v>1</v>
      </c>
      <c r="N284" s="5" t="n">
        <v>0</v>
      </c>
      <c r="O284" s="5" t="n">
        <v>0</v>
      </c>
      <c r="P284" s="5" t="n">
        <v>1</v>
      </c>
      <c r="Q284" s="5" t="n">
        <v>0</v>
      </c>
      <c r="R284" s="5" t="n">
        <v>0</v>
      </c>
      <c r="S284" s="5" t="n">
        <v>1</v>
      </c>
      <c r="T284" s="5" t="n">
        <v>0</v>
      </c>
      <c r="U284" s="5" t="inlineStr">
        <is>
          <t>testing</t>
        </is>
      </c>
      <c r="V284" s="5" t="n">
        <v>0</v>
      </c>
    </row>
    <row r="285">
      <c r="A285" s="5" t="n">
        <v>281</v>
      </c>
      <c r="B285" s="5" t="n">
        <v>0</v>
      </c>
      <c r="C285" s="6" t="n">
        <v>-0.4829241608380317</v>
      </c>
      <c r="D285" s="6" t="n">
        <v>0.04104391815081428</v>
      </c>
      <c r="E285" s="6" t="n">
        <v>-1.090641679553016</v>
      </c>
      <c r="F285" s="6" t="n">
        <v>0.01674764143977723</v>
      </c>
      <c r="G285" s="5" t="n">
        <v>0</v>
      </c>
      <c r="H285" s="5" t="n">
        <v>0</v>
      </c>
      <c r="I285" s="5" t="n">
        <v>0</v>
      </c>
      <c r="J285" s="5" t="n">
        <v>1</v>
      </c>
      <c r="K285" s="5" t="n">
        <v>0</v>
      </c>
      <c r="L285" s="5" t="n">
        <v>0</v>
      </c>
      <c r="M285" s="5" t="n">
        <v>0</v>
      </c>
      <c r="N285" s="5" t="n">
        <v>1</v>
      </c>
      <c r="O285" s="5" t="n">
        <v>0</v>
      </c>
      <c r="P285" s="5" t="n">
        <v>1</v>
      </c>
      <c r="Q285" s="5" t="n">
        <v>0</v>
      </c>
      <c r="R285" s="5" t="n">
        <v>1</v>
      </c>
      <c r="S285" s="5" t="n">
        <v>0</v>
      </c>
      <c r="T285" s="5" t="n">
        <v>0</v>
      </c>
      <c r="U285" s="5" t="inlineStr">
        <is>
          <t>testing</t>
        </is>
      </c>
      <c r="V285" s="5" t="n">
        <v>0</v>
      </c>
    </row>
    <row r="286">
      <c r="A286" s="5" t="n">
        <v>282</v>
      </c>
      <c r="B286" s="5" t="n">
        <v>0</v>
      </c>
      <c r="C286" s="6" t="n">
        <v>-0.7357010147163632</v>
      </c>
      <c r="D286" s="6" t="n">
        <v>-0.5866636605978914</v>
      </c>
      <c r="E286" s="6" t="n">
        <v>1.257629879293191</v>
      </c>
      <c r="F286" s="6" t="n">
        <v>0.9185437189662378</v>
      </c>
      <c r="G286" s="5" t="n">
        <v>0</v>
      </c>
      <c r="H286" s="5" t="n">
        <v>0</v>
      </c>
      <c r="I286" s="5" t="n">
        <v>0</v>
      </c>
      <c r="J286" s="5" t="n">
        <v>0</v>
      </c>
      <c r="K286" s="5" t="n">
        <v>0</v>
      </c>
      <c r="L286" s="5" t="n">
        <v>0</v>
      </c>
      <c r="M286" s="5" t="n">
        <v>0</v>
      </c>
      <c r="N286" s="5" t="n">
        <v>0</v>
      </c>
      <c r="O286" s="5" t="n">
        <v>0</v>
      </c>
      <c r="P286" s="5" t="n">
        <v>0</v>
      </c>
      <c r="Q286" s="5" t="n">
        <v>0</v>
      </c>
      <c r="R286" s="5" t="n">
        <v>0</v>
      </c>
      <c r="S286" s="5" t="n">
        <v>0</v>
      </c>
      <c r="T286" s="5" t="n">
        <v>1</v>
      </c>
      <c r="U286" s="5" t="inlineStr">
        <is>
          <t>training</t>
        </is>
      </c>
      <c r="V286" s="5" t="n">
        <v>1</v>
      </c>
    </row>
    <row r="287">
      <c r="A287" s="5" t="n">
        <v>283</v>
      </c>
      <c r="B287" s="5" t="n">
        <v>0</v>
      </c>
      <c r="C287" s="6" t="n">
        <v>-0.2301473069597001</v>
      </c>
      <c r="D287" s="6" t="n">
        <v>-0.6317998242871796</v>
      </c>
      <c r="E287" s="6" t="n">
        <v>1.170656858595183</v>
      </c>
      <c r="F287" s="6" t="n">
        <v>0.9185437189662378</v>
      </c>
      <c r="G287" s="5" t="n">
        <v>0</v>
      </c>
      <c r="H287" s="5" t="n">
        <v>0</v>
      </c>
      <c r="I287" s="5" t="n">
        <v>1</v>
      </c>
      <c r="J287" s="5" t="n">
        <v>0</v>
      </c>
      <c r="K287" s="5" t="n">
        <v>0</v>
      </c>
      <c r="L287" s="5" t="n">
        <v>1</v>
      </c>
      <c r="M287" s="5" t="n">
        <v>0</v>
      </c>
      <c r="N287" s="5" t="n">
        <v>0</v>
      </c>
      <c r="O287" s="5" t="n">
        <v>1</v>
      </c>
      <c r="P287" s="5" t="n">
        <v>0</v>
      </c>
      <c r="Q287" s="5" t="n">
        <v>0</v>
      </c>
      <c r="R287" s="5" t="n">
        <v>0</v>
      </c>
      <c r="S287" s="5" t="n">
        <v>1</v>
      </c>
      <c r="T287" s="5" t="n">
        <v>0</v>
      </c>
      <c r="U287" s="5" t="inlineStr">
        <is>
          <t>training</t>
        </is>
      </c>
      <c r="V287" s="5" t="n">
        <v>0</v>
      </c>
    </row>
    <row r="288">
      <c r="A288" s="5" t="n">
        <v>284</v>
      </c>
      <c r="B288" s="5" t="n">
        <v>0</v>
      </c>
      <c r="C288" s="6" t="n">
        <v>-0.4829241608380317</v>
      </c>
      <c r="D288" s="6" t="n">
        <v>-0.6055578686538726</v>
      </c>
      <c r="E288" s="6" t="n">
        <v>2.38827914836729</v>
      </c>
      <c r="F288" s="6" t="n">
        <v>0.9185437189662378</v>
      </c>
      <c r="G288" s="5" t="n">
        <v>0</v>
      </c>
      <c r="H288" s="5" t="n">
        <v>0</v>
      </c>
      <c r="I288" s="5" t="n">
        <v>0</v>
      </c>
      <c r="J288" s="5" t="n">
        <v>1</v>
      </c>
      <c r="K288" s="5" t="n">
        <v>0</v>
      </c>
      <c r="L288" s="5" t="n">
        <v>0</v>
      </c>
      <c r="M288" s="5" t="n">
        <v>0</v>
      </c>
      <c r="N288" s="5" t="n">
        <v>0</v>
      </c>
      <c r="O288" s="5" t="n">
        <v>1</v>
      </c>
      <c r="P288" s="5" t="n">
        <v>0</v>
      </c>
      <c r="Q288" s="5" t="n">
        <v>0</v>
      </c>
      <c r="R288" s="5" t="n">
        <v>0</v>
      </c>
      <c r="S288" s="5" t="n">
        <v>0</v>
      </c>
      <c r="T288" s="5" t="n">
        <v>1</v>
      </c>
      <c r="U288" s="5" t="inlineStr">
        <is>
          <t>training</t>
        </is>
      </c>
      <c r="V288" s="5" t="n">
        <v>1</v>
      </c>
    </row>
    <row r="289">
      <c r="A289" s="5" t="n">
        <v>285</v>
      </c>
      <c r="B289" s="5" t="n">
        <v>0</v>
      </c>
      <c r="C289" s="6" t="n">
        <v>0.275406400796963</v>
      </c>
      <c r="D289" s="6" t="n">
        <v>0.2194892164573025</v>
      </c>
      <c r="E289" s="6" t="n">
        <v>0.1269806102190912</v>
      </c>
      <c r="F289" s="6" t="n">
        <v>0.9185437189662378</v>
      </c>
      <c r="G289" s="5" t="n">
        <v>0</v>
      </c>
      <c r="H289" s="5" t="n">
        <v>1</v>
      </c>
      <c r="I289" s="5" t="n">
        <v>0</v>
      </c>
      <c r="J289" s="5" t="n">
        <v>1</v>
      </c>
      <c r="K289" s="5" t="n">
        <v>0</v>
      </c>
      <c r="L289" s="5" t="n">
        <v>0</v>
      </c>
      <c r="M289" s="5" t="n">
        <v>1</v>
      </c>
      <c r="N289" s="5" t="n">
        <v>0</v>
      </c>
      <c r="O289" s="5" t="n">
        <v>0</v>
      </c>
      <c r="P289" s="5" t="n">
        <v>0</v>
      </c>
      <c r="Q289" s="5" t="n">
        <v>0</v>
      </c>
      <c r="R289" s="5" t="n">
        <v>1</v>
      </c>
      <c r="S289" s="5" t="n">
        <v>0</v>
      </c>
      <c r="T289" s="5" t="n">
        <v>0</v>
      </c>
      <c r="U289" s="5" t="inlineStr">
        <is>
          <t>training</t>
        </is>
      </c>
      <c r="V289" s="5" t="n">
        <v>1</v>
      </c>
    </row>
    <row r="290">
      <c r="A290" s="5" t="n">
        <v>286</v>
      </c>
      <c r="B290" s="5" t="n">
        <v>0</v>
      </c>
      <c r="C290" s="6" t="n">
        <v>2.213362280530838</v>
      </c>
      <c r="D290" s="6" t="n">
        <v>2.61415514118202</v>
      </c>
      <c r="E290" s="6" t="n">
        <v>-0.04696543117692405</v>
      </c>
      <c r="F290" s="6" t="n">
        <v>-1.786844513613144</v>
      </c>
      <c r="G290" s="5" t="n">
        <v>1</v>
      </c>
      <c r="H290" s="5" t="n">
        <v>0</v>
      </c>
      <c r="I290" s="5" t="n">
        <v>0</v>
      </c>
      <c r="J290" s="5" t="n">
        <v>0</v>
      </c>
      <c r="K290" s="5" t="n">
        <v>0</v>
      </c>
      <c r="L290" s="5" t="n">
        <v>0</v>
      </c>
      <c r="M290" s="5" t="n">
        <v>0</v>
      </c>
      <c r="N290" s="5" t="n">
        <v>0</v>
      </c>
      <c r="O290" s="5" t="n">
        <v>0</v>
      </c>
      <c r="P290" s="5" t="n">
        <v>0</v>
      </c>
      <c r="Q290" s="5" t="n">
        <v>0</v>
      </c>
      <c r="R290" s="5" t="n">
        <v>1</v>
      </c>
      <c r="S290" s="5" t="n">
        <v>0</v>
      </c>
      <c r="T290" s="5" t="n">
        <v>0</v>
      </c>
      <c r="U290" s="5" t="inlineStr">
        <is>
          <t>testing</t>
        </is>
      </c>
      <c r="V290" s="5" t="n">
        <v>0</v>
      </c>
    </row>
    <row r="291">
      <c r="A291" s="5" t="n">
        <v>287</v>
      </c>
      <c r="B291" s="5" t="n">
        <v>0</v>
      </c>
      <c r="C291" s="6" t="n">
        <v>2.297621231823615</v>
      </c>
      <c r="D291" s="6" t="n">
        <v>0.5378916114747619</v>
      </c>
      <c r="E291" s="6" t="n">
        <v>-0.8297226174589928</v>
      </c>
      <c r="F291" s="6" t="n">
        <v>0.9185437189662378</v>
      </c>
      <c r="G291" s="5" t="n">
        <v>1</v>
      </c>
      <c r="H291" s="5" t="n">
        <v>0</v>
      </c>
      <c r="I291" s="5" t="n">
        <v>0</v>
      </c>
      <c r="J291" s="5" t="n">
        <v>0</v>
      </c>
      <c r="K291" s="5" t="n">
        <v>0</v>
      </c>
      <c r="L291" s="5" t="n">
        <v>0</v>
      </c>
      <c r="M291" s="5" t="n">
        <v>0</v>
      </c>
      <c r="N291" s="5" t="n">
        <v>0</v>
      </c>
      <c r="O291" s="5" t="n">
        <v>0</v>
      </c>
      <c r="P291" s="5" t="n">
        <v>0</v>
      </c>
      <c r="Q291" s="5" t="n">
        <v>0</v>
      </c>
      <c r="R291" s="5" t="n">
        <v>1</v>
      </c>
      <c r="S291" s="5" t="n">
        <v>0</v>
      </c>
      <c r="T291" s="5" t="n">
        <v>0</v>
      </c>
      <c r="U291" s="5" t="inlineStr">
        <is>
          <t>training</t>
        </is>
      </c>
      <c r="V291" s="5" t="n">
        <v>1</v>
      </c>
    </row>
    <row r="292">
      <c r="A292" s="5" t="n">
        <v>288</v>
      </c>
      <c r="B292" s="5" t="n">
        <v>0</v>
      </c>
      <c r="C292" s="6" t="n">
        <v>2.297621231823615</v>
      </c>
      <c r="D292" s="6" t="n">
        <v>1.515491932000896</v>
      </c>
      <c r="E292" s="6" t="n">
        <v>-0.3948575139689546</v>
      </c>
      <c r="F292" s="6" t="n">
        <v>-0.8850484360866833</v>
      </c>
      <c r="G292" s="5" t="n">
        <v>0</v>
      </c>
      <c r="H292" s="5" t="n">
        <v>1</v>
      </c>
      <c r="I292" s="5" t="n">
        <v>0</v>
      </c>
      <c r="J292" s="5" t="n">
        <v>0</v>
      </c>
      <c r="K292" s="5" t="n">
        <v>1</v>
      </c>
      <c r="L292" s="5" t="n">
        <v>0</v>
      </c>
      <c r="M292" s="5" t="n">
        <v>1</v>
      </c>
      <c r="N292" s="5" t="n">
        <v>0</v>
      </c>
      <c r="O292" s="5" t="n">
        <v>0</v>
      </c>
      <c r="P292" s="5" t="n">
        <v>0</v>
      </c>
      <c r="Q292" s="5" t="n">
        <v>1</v>
      </c>
      <c r="R292" s="5" t="n">
        <v>0</v>
      </c>
      <c r="S292" s="5" t="n">
        <v>0</v>
      </c>
      <c r="T292" s="5" t="n">
        <v>0</v>
      </c>
      <c r="U292" s="5" t="inlineStr">
        <is>
          <t>testing</t>
        </is>
      </c>
      <c r="V292" s="5" t="n">
        <v>0</v>
      </c>
    </row>
    <row r="293">
      <c r="A293" s="5" t="n">
        <v>289</v>
      </c>
      <c r="B293" s="5" t="n">
        <v>0</v>
      </c>
      <c r="C293" s="6" t="n">
        <v>-0.7357010147163632</v>
      </c>
      <c r="D293" s="6" t="n">
        <v>-0.7553119621346117</v>
      </c>
      <c r="E293" s="6" t="n">
        <v>1.170656858595183</v>
      </c>
      <c r="F293" s="6" t="n">
        <v>0.9185437189662378</v>
      </c>
      <c r="G293" s="5" t="n">
        <v>0</v>
      </c>
      <c r="H293" s="5" t="n">
        <v>1</v>
      </c>
      <c r="I293" s="5" t="n">
        <v>0</v>
      </c>
      <c r="J293" s="5" t="n">
        <v>0</v>
      </c>
      <c r="K293" s="5" t="n">
        <v>0</v>
      </c>
      <c r="L293" s="5" t="n">
        <v>0</v>
      </c>
      <c r="M293" s="5" t="n">
        <v>0</v>
      </c>
      <c r="N293" s="5" t="n">
        <v>0</v>
      </c>
      <c r="O293" s="5" t="n">
        <v>0</v>
      </c>
      <c r="P293" s="5" t="n">
        <v>0</v>
      </c>
      <c r="Q293" s="5" t="n">
        <v>0</v>
      </c>
      <c r="R293" s="5" t="n">
        <v>0</v>
      </c>
      <c r="S293" s="5" t="n">
        <v>1</v>
      </c>
      <c r="T293" s="5" t="n">
        <v>0</v>
      </c>
      <c r="U293" s="5" t="inlineStr">
        <is>
          <t>testing</t>
        </is>
      </c>
      <c r="V293" s="5" t="n">
        <v>0</v>
      </c>
    </row>
    <row r="294">
      <c r="A294" s="5" t="n">
        <v>290</v>
      </c>
      <c r="B294" s="5" t="n">
        <v>1</v>
      </c>
      <c r="C294" s="6" t="n">
        <v>0.275406400796963</v>
      </c>
      <c r="D294" s="6" t="n">
        <v>-0.7791046685754768</v>
      </c>
      <c r="E294" s="6" t="n">
        <v>1.083683837897175</v>
      </c>
      <c r="F294" s="6" t="n">
        <v>0.9185437189662378</v>
      </c>
      <c r="G294" s="5" t="n">
        <v>1</v>
      </c>
      <c r="H294" s="5" t="n">
        <v>0</v>
      </c>
      <c r="I294" s="5" t="n">
        <v>0</v>
      </c>
      <c r="J294" s="5" t="n">
        <v>0</v>
      </c>
      <c r="K294" s="5" t="n">
        <v>1</v>
      </c>
      <c r="L294" s="5" t="n">
        <v>0</v>
      </c>
      <c r="M294" s="5" t="n">
        <v>0</v>
      </c>
      <c r="N294" s="5" t="n">
        <v>0</v>
      </c>
      <c r="O294" s="5" t="n">
        <v>0</v>
      </c>
      <c r="P294" s="5" t="n">
        <v>0</v>
      </c>
      <c r="Q294" s="5" t="n">
        <v>0</v>
      </c>
      <c r="R294" s="5" t="n">
        <v>0</v>
      </c>
      <c r="S294" s="5" t="n">
        <v>1</v>
      </c>
      <c r="T294" s="5" t="n">
        <v>0</v>
      </c>
      <c r="U294" s="5" t="inlineStr">
        <is>
          <t>training</t>
        </is>
      </c>
      <c r="V294" s="5" t="n">
        <v>1</v>
      </c>
    </row>
    <row r="295">
      <c r="A295" s="5" t="n">
        <v>291</v>
      </c>
      <c r="B295" s="5" t="n">
        <v>0</v>
      </c>
      <c r="C295" s="6" t="n">
        <v>-0.7357010147163632</v>
      </c>
      <c r="D295" s="6" t="n">
        <v>-0.7609102460030506</v>
      </c>
      <c r="E295" s="6" t="n">
        <v>-0.8297226174589928</v>
      </c>
      <c r="F295" s="6" t="n">
        <v>-0.8850484360866833</v>
      </c>
      <c r="G295" s="5" t="n">
        <v>0</v>
      </c>
      <c r="H295" s="5" t="n">
        <v>0</v>
      </c>
      <c r="I295" s="5" t="n">
        <v>0</v>
      </c>
      <c r="J295" s="5" t="n">
        <v>0</v>
      </c>
      <c r="K295" s="5" t="n">
        <v>0</v>
      </c>
      <c r="L295" s="5" t="n">
        <v>0</v>
      </c>
      <c r="M295" s="5" t="n">
        <v>0</v>
      </c>
      <c r="N295" s="5" t="n">
        <v>0</v>
      </c>
      <c r="O295" s="5" t="n">
        <v>0</v>
      </c>
      <c r="P295" s="5" t="n">
        <v>0</v>
      </c>
      <c r="Q295" s="5" t="n">
        <v>0</v>
      </c>
      <c r="R295" s="5" t="n">
        <v>0</v>
      </c>
      <c r="S295" s="5" t="n">
        <v>0</v>
      </c>
      <c r="T295" s="5" t="n">
        <v>0</v>
      </c>
      <c r="U295" s="5" t="inlineStr">
        <is>
          <t>training</t>
        </is>
      </c>
      <c r="V295" s="5" t="n">
        <v>0</v>
      </c>
    </row>
    <row r="296">
      <c r="A296" s="5" t="n">
        <v>292</v>
      </c>
      <c r="B296" s="5" t="n">
        <v>1</v>
      </c>
      <c r="C296" s="6" t="n">
        <v>1.286513816310289</v>
      </c>
      <c r="D296" s="6" t="n">
        <v>2.150897151068705</v>
      </c>
      <c r="E296" s="6" t="n">
        <v>-0.6557765760629775</v>
      </c>
      <c r="F296" s="6" t="n">
        <v>-1.786844513613144</v>
      </c>
      <c r="G296" s="5" t="n">
        <v>0</v>
      </c>
      <c r="H296" s="5" t="n">
        <v>1</v>
      </c>
      <c r="I296" s="5" t="n">
        <v>0</v>
      </c>
      <c r="J296" s="5" t="n">
        <v>0</v>
      </c>
      <c r="K296" s="5" t="n">
        <v>0</v>
      </c>
      <c r="L296" s="5" t="n">
        <v>0</v>
      </c>
      <c r="M296" s="5" t="n">
        <v>0</v>
      </c>
      <c r="N296" s="5" t="n">
        <v>0</v>
      </c>
      <c r="O296" s="5" t="n">
        <v>0</v>
      </c>
      <c r="P296" s="5" t="n">
        <v>1</v>
      </c>
      <c r="Q296" s="5" t="n">
        <v>0</v>
      </c>
      <c r="R296" s="5" t="n">
        <v>1</v>
      </c>
      <c r="S296" s="5" t="n">
        <v>0</v>
      </c>
      <c r="T296" s="5" t="n">
        <v>0</v>
      </c>
      <c r="U296" s="5" t="inlineStr">
        <is>
          <t>training</t>
        </is>
      </c>
      <c r="V296" s="5" t="n">
        <v>1</v>
      </c>
    </row>
    <row r="297">
      <c r="A297" s="5" t="n">
        <v>293</v>
      </c>
      <c r="B297" s="5" t="n">
        <v>0</v>
      </c>
      <c r="C297" s="6" t="n">
        <v>0.275406400796963</v>
      </c>
      <c r="D297" s="6" t="n">
        <v>1.108566673313747</v>
      </c>
      <c r="E297" s="6" t="n">
        <v>0.7357917551051447</v>
      </c>
      <c r="F297" s="6" t="n">
        <v>-0.8850484360866833</v>
      </c>
      <c r="G297" s="5" t="n">
        <v>1</v>
      </c>
      <c r="H297" s="5" t="n">
        <v>0</v>
      </c>
      <c r="I297" s="5" t="n">
        <v>0</v>
      </c>
      <c r="J297" s="5" t="n">
        <v>1</v>
      </c>
      <c r="K297" s="5" t="n">
        <v>0</v>
      </c>
      <c r="L297" s="5" t="n">
        <v>0</v>
      </c>
      <c r="M297" s="5" t="n">
        <v>0</v>
      </c>
      <c r="N297" s="5" t="n">
        <v>0</v>
      </c>
      <c r="O297" s="5" t="n">
        <v>0</v>
      </c>
      <c r="P297" s="5" t="n">
        <v>0</v>
      </c>
      <c r="Q297" s="5" t="n">
        <v>1</v>
      </c>
      <c r="R297" s="5" t="n">
        <v>1</v>
      </c>
      <c r="S297" s="5" t="n">
        <v>0</v>
      </c>
      <c r="T297" s="5" t="n">
        <v>0</v>
      </c>
      <c r="U297" s="5" t="inlineStr">
        <is>
          <t>training</t>
        </is>
      </c>
      <c r="V297" s="5" t="n">
        <v>1</v>
      </c>
    </row>
    <row r="298">
      <c r="A298" s="5" t="n">
        <v>294</v>
      </c>
      <c r="B298" s="5" t="n">
        <v>0</v>
      </c>
      <c r="C298" s="6" t="n">
        <v>1.792067524066952</v>
      </c>
      <c r="D298" s="6" t="n">
        <v>0.5406907534089814</v>
      </c>
      <c r="E298" s="6" t="n">
        <v>1.779468003481236</v>
      </c>
      <c r="F298" s="6" t="n">
        <v>0.9185437189662378</v>
      </c>
      <c r="G298" s="5" t="n">
        <v>0</v>
      </c>
      <c r="H298" s="5" t="n">
        <v>0</v>
      </c>
      <c r="I298" s="5" t="n">
        <v>1</v>
      </c>
      <c r="J298" s="5" t="n">
        <v>1</v>
      </c>
      <c r="K298" s="5" t="n">
        <v>0</v>
      </c>
      <c r="L298" s="5" t="n">
        <v>0</v>
      </c>
      <c r="M298" s="5" t="n">
        <v>0</v>
      </c>
      <c r="N298" s="5" t="n">
        <v>0</v>
      </c>
      <c r="O298" s="5" t="n">
        <v>0</v>
      </c>
      <c r="P298" s="5" t="n">
        <v>0</v>
      </c>
      <c r="Q298" s="5" t="n">
        <v>1</v>
      </c>
      <c r="R298" s="5" t="n">
        <v>1</v>
      </c>
      <c r="S298" s="5" t="n">
        <v>0</v>
      </c>
      <c r="T298" s="5" t="n">
        <v>0</v>
      </c>
      <c r="U298" s="5" t="inlineStr">
        <is>
          <t>training</t>
        </is>
      </c>
      <c r="V298" s="5" t="n">
        <v>0</v>
      </c>
    </row>
    <row r="299">
      <c r="A299" s="5" t="n">
        <v>295</v>
      </c>
      <c r="B299" s="5" t="n">
        <v>0</v>
      </c>
      <c r="C299" s="6" t="n">
        <v>2.297621231823615</v>
      </c>
      <c r="D299" s="6" t="n">
        <v>1.531936890864435</v>
      </c>
      <c r="E299" s="6" t="n">
        <v>0.9097377965011599</v>
      </c>
      <c r="F299" s="6" t="n">
        <v>0.9185437189662378</v>
      </c>
      <c r="G299" s="5" t="n">
        <v>0</v>
      </c>
      <c r="H299" s="5" t="n">
        <v>0</v>
      </c>
      <c r="I299" s="5" t="n">
        <v>0</v>
      </c>
      <c r="J299" s="5" t="n">
        <v>1</v>
      </c>
      <c r="K299" s="5" t="n">
        <v>0</v>
      </c>
      <c r="L299" s="5" t="n">
        <v>0</v>
      </c>
      <c r="M299" s="5" t="n">
        <v>0</v>
      </c>
      <c r="N299" s="5" t="n">
        <v>0</v>
      </c>
      <c r="O299" s="5" t="n">
        <v>1</v>
      </c>
      <c r="P299" s="5" t="n">
        <v>0</v>
      </c>
      <c r="Q299" s="5" t="n">
        <v>0</v>
      </c>
      <c r="R299" s="5" t="n">
        <v>0</v>
      </c>
      <c r="S299" s="5" t="n">
        <v>0</v>
      </c>
      <c r="T299" s="5" t="n">
        <v>0</v>
      </c>
      <c r="U299" s="5" t="inlineStr">
        <is>
          <t>training</t>
        </is>
      </c>
      <c r="V299" s="5" t="n">
        <v>0</v>
      </c>
    </row>
    <row r="300">
      <c r="A300" s="5" t="n">
        <v>296</v>
      </c>
      <c r="B300" s="5" t="n">
        <v>1</v>
      </c>
      <c r="C300" s="6" t="n">
        <v>2.297621231823615</v>
      </c>
      <c r="D300" s="6" t="n">
        <v>2.347536871947619</v>
      </c>
      <c r="E300" s="6" t="n">
        <v>-0.8297226174589928</v>
      </c>
      <c r="F300" s="6" t="n">
        <v>-1.786844513613144</v>
      </c>
      <c r="G300" s="5" t="n">
        <v>0</v>
      </c>
      <c r="H300" s="5" t="n">
        <v>1</v>
      </c>
      <c r="I300" s="5" t="n">
        <v>0</v>
      </c>
      <c r="J300" s="5" t="n">
        <v>0</v>
      </c>
      <c r="K300" s="5" t="n">
        <v>0</v>
      </c>
      <c r="L300" s="5" t="n">
        <v>0</v>
      </c>
      <c r="M300" s="5" t="n">
        <v>0</v>
      </c>
      <c r="N300" s="5" t="n">
        <v>0</v>
      </c>
      <c r="O300" s="5" t="n">
        <v>0</v>
      </c>
      <c r="P300" s="5" t="n">
        <v>0</v>
      </c>
      <c r="Q300" s="5" t="n">
        <v>0</v>
      </c>
      <c r="R300" s="5" t="n">
        <v>0</v>
      </c>
      <c r="S300" s="5" t="n">
        <v>0</v>
      </c>
      <c r="T300" s="5" t="n">
        <v>1</v>
      </c>
      <c r="U300" s="5" t="inlineStr">
        <is>
          <t>testing</t>
        </is>
      </c>
      <c r="V300" s="5" t="n">
        <v>0</v>
      </c>
    </row>
    <row r="301">
      <c r="A301" s="5" t="n">
        <v>297</v>
      </c>
      <c r="B301" s="5" t="n">
        <v>0</v>
      </c>
      <c r="C301" s="6" t="n">
        <v>-0.7357010147163632</v>
      </c>
      <c r="D301" s="6" t="n">
        <v>0.4983537316539126</v>
      </c>
      <c r="E301" s="6" t="n">
        <v>-1.351560741647039</v>
      </c>
      <c r="F301" s="6" t="n">
        <v>-1.786844513613144</v>
      </c>
      <c r="G301" s="5" t="n">
        <v>0</v>
      </c>
      <c r="H301" s="5" t="n">
        <v>0</v>
      </c>
      <c r="I301" s="5" t="n">
        <v>0</v>
      </c>
      <c r="J301" s="5" t="n">
        <v>0</v>
      </c>
      <c r="K301" s="5" t="n">
        <v>0</v>
      </c>
      <c r="L301" s="5" t="n">
        <v>0</v>
      </c>
      <c r="M301" s="5" t="n">
        <v>0</v>
      </c>
      <c r="N301" s="5" t="n">
        <v>0</v>
      </c>
      <c r="O301" s="5" t="n">
        <v>1</v>
      </c>
      <c r="P301" s="5" t="n">
        <v>1</v>
      </c>
      <c r="Q301" s="5" t="n">
        <v>0</v>
      </c>
      <c r="R301" s="5" t="n">
        <v>1</v>
      </c>
      <c r="S301" s="5" t="n">
        <v>0</v>
      </c>
      <c r="T301" s="5" t="n">
        <v>0</v>
      </c>
      <c r="U301" s="5" t="inlineStr">
        <is>
          <t>training</t>
        </is>
      </c>
      <c r="V301" s="5" t="n">
        <v>0</v>
      </c>
    </row>
    <row r="302">
      <c r="A302" s="5" t="n">
        <v>298</v>
      </c>
      <c r="B302" s="5" t="n">
        <v>0</v>
      </c>
      <c r="C302" s="6" t="n">
        <v>-0.9042189173019176</v>
      </c>
      <c r="D302" s="6" t="n">
        <v>-0.6870828774880133</v>
      </c>
      <c r="E302" s="6" t="n">
        <v>0.8227647758031523</v>
      </c>
      <c r="F302" s="6" t="n">
        <v>0.9185437189662378</v>
      </c>
      <c r="G302" s="5" t="n">
        <v>0</v>
      </c>
      <c r="H302" s="5" t="n">
        <v>0</v>
      </c>
      <c r="I302" s="5" t="n">
        <v>0</v>
      </c>
      <c r="J302" s="5" t="n">
        <v>0</v>
      </c>
      <c r="K302" s="5" t="n">
        <v>0</v>
      </c>
      <c r="L302" s="5" t="n">
        <v>0</v>
      </c>
      <c r="M302" s="5" t="n">
        <v>0</v>
      </c>
      <c r="N302" s="5" t="n">
        <v>0</v>
      </c>
      <c r="O302" s="5" t="n">
        <v>1</v>
      </c>
      <c r="P302" s="5" t="n">
        <v>0</v>
      </c>
      <c r="Q302" s="5" t="n">
        <v>0</v>
      </c>
      <c r="R302" s="5" t="n">
        <v>1</v>
      </c>
      <c r="S302" s="5" t="n">
        <v>0</v>
      </c>
      <c r="T302" s="5" t="n">
        <v>0</v>
      </c>
      <c r="U302" s="5" t="inlineStr">
        <is>
          <t>testing</t>
        </is>
      </c>
      <c r="V302" s="5" t="n">
        <v>0</v>
      </c>
    </row>
    <row r="303">
      <c r="A303" s="5" t="n">
        <v>299</v>
      </c>
      <c r="B303" s="5" t="n">
        <v>0</v>
      </c>
      <c r="C303" s="6" t="n">
        <v>-0.2301473069597001</v>
      </c>
      <c r="D303" s="6" t="n">
        <v>-0.2574145905853318</v>
      </c>
      <c r="E303" s="6" t="n">
        <v>0.648818734407137</v>
      </c>
      <c r="F303" s="6" t="n">
        <v>0.01674764143977723</v>
      </c>
      <c r="G303" s="5" t="n">
        <v>0</v>
      </c>
      <c r="H303" s="5" t="n">
        <v>0</v>
      </c>
      <c r="I303" s="5" t="n">
        <v>0</v>
      </c>
      <c r="J303" s="5" t="n">
        <v>0</v>
      </c>
      <c r="K303" s="5" t="n">
        <v>0</v>
      </c>
      <c r="L303" s="5" t="n">
        <v>0</v>
      </c>
      <c r="M303" s="5" t="n">
        <v>0</v>
      </c>
      <c r="N303" s="5" t="n">
        <v>0</v>
      </c>
      <c r="O303" s="5" t="n">
        <v>0</v>
      </c>
      <c r="P303" s="5" t="n">
        <v>0</v>
      </c>
      <c r="Q303" s="5" t="n">
        <v>0</v>
      </c>
      <c r="R303" s="5" t="n">
        <v>0</v>
      </c>
      <c r="S303" s="5" t="n">
        <v>0</v>
      </c>
      <c r="T303" s="5" t="n">
        <v>1</v>
      </c>
      <c r="U303" s="5" t="inlineStr">
        <is>
          <t>testing</t>
        </is>
      </c>
      <c r="V303" s="5" t="n">
        <v>0</v>
      </c>
    </row>
    <row r="304">
      <c r="A304" s="5" t="n">
        <v>300</v>
      </c>
      <c r="B304" s="5" t="n">
        <v>0</v>
      </c>
      <c r="C304" s="6" t="n">
        <v>0.02262954691863145</v>
      </c>
      <c r="D304" s="6" t="n">
        <v>-0.1769392599765233</v>
      </c>
      <c r="E304" s="6" t="n">
        <v>-0.307884493270947</v>
      </c>
      <c r="F304" s="6" t="n">
        <v>0.01674764143977723</v>
      </c>
      <c r="G304" s="5" t="n">
        <v>0</v>
      </c>
      <c r="H304" s="5" t="n">
        <v>1</v>
      </c>
      <c r="I304" s="5" t="n">
        <v>0</v>
      </c>
      <c r="J304" s="5" t="n">
        <v>1</v>
      </c>
      <c r="K304" s="5" t="n">
        <v>0</v>
      </c>
      <c r="L304" s="5" t="n">
        <v>0</v>
      </c>
      <c r="M304" s="5" t="n">
        <v>0</v>
      </c>
      <c r="N304" s="5" t="n">
        <v>1</v>
      </c>
      <c r="O304" s="5" t="n">
        <v>0</v>
      </c>
      <c r="P304" s="5" t="n">
        <v>0</v>
      </c>
      <c r="Q304" s="5" t="n">
        <v>0</v>
      </c>
      <c r="R304" s="5" t="n">
        <v>0</v>
      </c>
      <c r="S304" s="5" t="n">
        <v>0</v>
      </c>
      <c r="T304" s="5" t="n">
        <v>1</v>
      </c>
      <c r="U304" s="5" t="inlineStr">
        <is>
          <t>testing</t>
        </is>
      </c>
      <c r="V304" s="5" t="n">
        <v>0</v>
      </c>
    </row>
    <row r="305">
      <c r="A305" s="5" t="n">
        <v>301</v>
      </c>
      <c r="B305" s="5" t="n">
        <v>0</v>
      </c>
      <c r="C305" s="6" t="n">
        <v>-1.241254722473026</v>
      </c>
      <c r="D305" s="6" t="n">
        <v>-0.9022669136811314</v>
      </c>
      <c r="E305" s="6" t="n">
        <v>1.605521962085221</v>
      </c>
      <c r="F305" s="6" t="n">
        <v>-1.786844513613144</v>
      </c>
      <c r="G305" s="5" t="n">
        <v>0</v>
      </c>
      <c r="H305" s="5" t="n">
        <v>0</v>
      </c>
      <c r="I305" s="5" t="n">
        <v>0</v>
      </c>
      <c r="J305" s="5" t="n">
        <v>0</v>
      </c>
      <c r="K305" s="5" t="n">
        <v>0</v>
      </c>
      <c r="L305" s="5" t="n">
        <v>0</v>
      </c>
      <c r="M305" s="5" t="n">
        <v>0</v>
      </c>
      <c r="N305" s="5" t="n">
        <v>0</v>
      </c>
      <c r="O305" s="5" t="n">
        <v>0</v>
      </c>
      <c r="P305" s="5" t="n">
        <v>0</v>
      </c>
      <c r="Q305" s="5" t="n">
        <v>0</v>
      </c>
      <c r="R305" s="5" t="n">
        <v>1</v>
      </c>
      <c r="S305" s="5" t="n">
        <v>0</v>
      </c>
      <c r="T305" s="5" t="n">
        <v>0</v>
      </c>
      <c r="U305" s="5" t="inlineStr">
        <is>
          <t>training</t>
        </is>
      </c>
      <c r="V305" s="5" t="n">
        <v>0</v>
      </c>
    </row>
    <row r="306">
      <c r="A306" s="5" t="n">
        <v>302</v>
      </c>
      <c r="B306" s="5" t="n">
        <v>1</v>
      </c>
      <c r="C306" s="6" t="n">
        <v>1.286513816310289</v>
      </c>
      <c r="D306" s="6" t="n">
        <v>0.1935971535657729</v>
      </c>
      <c r="E306" s="6" t="n">
        <v>0.5618457137091294</v>
      </c>
      <c r="F306" s="6" t="n">
        <v>0.9185437189662378</v>
      </c>
      <c r="G306" s="5" t="n">
        <v>0</v>
      </c>
      <c r="H306" s="5" t="n">
        <v>1</v>
      </c>
      <c r="I306" s="5" t="n">
        <v>0</v>
      </c>
      <c r="J306" s="5" t="n">
        <v>0</v>
      </c>
      <c r="K306" s="5" t="n">
        <v>0</v>
      </c>
      <c r="L306" s="5" t="n">
        <v>1</v>
      </c>
      <c r="M306" s="5" t="n">
        <v>0</v>
      </c>
      <c r="N306" s="5" t="n">
        <v>0</v>
      </c>
      <c r="O306" s="5" t="n">
        <v>0</v>
      </c>
      <c r="P306" s="5" t="n">
        <v>0</v>
      </c>
      <c r="Q306" s="5" t="n">
        <v>0</v>
      </c>
      <c r="R306" s="5" t="n">
        <v>0</v>
      </c>
      <c r="S306" s="5" t="n">
        <v>1</v>
      </c>
      <c r="T306" s="5" t="n">
        <v>0</v>
      </c>
      <c r="U306" s="5" t="inlineStr">
        <is>
          <t>testing</t>
        </is>
      </c>
      <c r="V306" s="5" t="n">
        <v>0</v>
      </c>
    </row>
    <row r="307">
      <c r="A307" s="5" t="n">
        <v>303</v>
      </c>
      <c r="B307" s="5" t="n">
        <v>1</v>
      </c>
      <c r="C307" s="6" t="n">
        <v>0.275406400796963</v>
      </c>
      <c r="D307" s="6" t="n">
        <v>-0.6671389912066998</v>
      </c>
      <c r="E307" s="6" t="n">
        <v>0.1269806102190912</v>
      </c>
      <c r="F307" s="6" t="n">
        <v>0.9185437189662378</v>
      </c>
      <c r="G307" s="5" t="n">
        <v>0</v>
      </c>
      <c r="H307" s="5" t="n">
        <v>0</v>
      </c>
      <c r="I307" s="5" t="n">
        <v>1</v>
      </c>
      <c r="J307" s="5" t="n">
        <v>1</v>
      </c>
      <c r="K307" s="5" t="n">
        <v>0</v>
      </c>
      <c r="L307" s="5" t="n">
        <v>0</v>
      </c>
      <c r="M307" s="5" t="n">
        <v>0</v>
      </c>
      <c r="N307" s="5" t="n">
        <v>0</v>
      </c>
      <c r="O307" s="5" t="n">
        <v>1</v>
      </c>
      <c r="P307" s="5" t="n">
        <v>0</v>
      </c>
      <c r="Q307" s="5" t="n">
        <v>0</v>
      </c>
      <c r="R307" s="5" t="n">
        <v>1</v>
      </c>
      <c r="S307" s="5" t="n">
        <v>0</v>
      </c>
      <c r="T307" s="5" t="n">
        <v>0</v>
      </c>
      <c r="U307" s="5" t="inlineStr">
        <is>
          <t>training</t>
        </is>
      </c>
      <c r="V307" s="5" t="n">
        <v>1</v>
      </c>
    </row>
    <row r="308">
      <c r="A308" s="5" t="n">
        <v>304</v>
      </c>
      <c r="B308" s="5" t="n">
        <v>0</v>
      </c>
      <c r="C308" s="6" t="n">
        <v>-0.9042189173019176</v>
      </c>
      <c r="D308" s="6" t="n">
        <v>-0.7742061701905928</v>
      </c>
      <c r="E308" s="6" t="n">
        <v>1.170656858595183</v>
      </c>
      <c r="F308" s="6" t="n">
        <v>0.9185437189662378</v>
      </c>
      <c r="G308" s="5" t="n">
        <v>1</v>
      </c>
      <c r="H308" s="5" t="n">
        <v>0</v>
      </c>
      <c r="I308" s="5" t="n">
        <v>0</v>
      </c>
      <c r="J308" s="5" t="n">
        <v>1</v>
      </c>
      <c r="K308" s="5" t="n">
        <v>0</v>
      </c>
      <c r="L308" s="5" t="n">
        <v>0</v>
      </c>
      <c r="M308" s="5" t="n">
        <v>0</v>
      </c>
      <c r="N308" s="5" t="n">
        <v>0</v>
      </c>
      <c r="O308" s="5" t="n">
        <v>0</v>
      </c>
      <c r="P308" s="5" t="n">
        <v>0</v>
      </c>
      <c r="Q308" s="5" t="n">
        <v>0</v>
      </c>
      <c r="R308" s="5" t="n">
        <v>1</v>
      </c>
      <c r="S308" s="5" t="n">
        <v>0</v>
      </c>
      <c r="T308" s="5" t="n">
        <v>0</v>
      </c>
      <c r="U308" s="5" t="inlineStr">
        <is>
          <t>testing</t>
        </is>
      </c>
      <c r="V308" s="5" t="n">
        <v>0</v>
      </c>
    </row>
    <row r="309">
      <c r="A309" s="5" t="n">
        <v>305</v>
      </c>
      <c r="B309" s="5" t="n">
        <v>1</v>
      </c>
      <c r="C309" s="6" t="n">
        <v>2.297621231823615</v>
      </c>
      <c r="D309" s="6" t="n">
        <v>2.40596895982445</v>
      </c>
      <c r="E309" s="6" t="n">
        <v>0.7357917551051447</v>
      </c>
      <c r="F309" s="6" t="n">
        <v>-0.8850484360866833</v>
      </c>
      <c r="G309" s="5" t="n">
        <v>0</v>
      </c>
      <c r="H309" s="5" t="n">
        <v>0</v>
      </c>
      <c r="I309" s="5" t="n">
        <v>0</v>
      </c>
      <c r="J309" s="5" t="n">
        <v>1</v>
      </c>
      <c r="K309" s="5" t="n">
        <v>0</v>
      </c>
      <c r="L309" s="5" t="n">
        <v>0</v>
      </c>
      <c r="M309" s="5" t="n">
        <v>1</v>
      </c>
      <c r="N309" s="5" t="n">
        <v>0</v>
      </c>
      <c r="O309" s="5" t="n">
        <v>0</v>
      </c>
      <c r="P309" s="5" t="n">
        <v>0</v>
      </c>
      <c r="Q309" s="5" t="n">
        <v>1</v>
      </c>
      <c r="R309" s="5" t="n">
        <v>1</v>
      </c>
      <c r="S309" s="5" t="n">
        <v>0</v>
      </c>
      <c r="T309" s="5" t="n">
        <v>0</v>
      </c>
      <c r="U309" s="5" t="inlineStr">
        <is>
          <t>training</t>
        </is>
      </c>
      <c r="V309" s="5" t="n">
        <v>1</v>
      </c>
    </row>
    <row r="310">
      <c r="A310" s="5" t="n">
        <v>306</v>
      </c>
      <c r="B310" s="5" t="n">
        <v>0</v>
      </c>
      <c r="C310" s="6" t="n">
        <v>-1.241254722473026</v>
      </c>
      <c r="D310" s="6" t="n">
        <v>-0.5975103355929917</v>
      </c>
      <c r="E310" s="6" t="n">
        <v>-0.2209114725729393</v>
      </c>
      <c r="F310" s="6" t="n">
        <v>0.9185437189662378</v>
      </c>
      <c r="G310" s="5" t="n">
        <v>0</v>
      </c>
      <c r="H310" s="5" t="n">
        <v>0</v>
      </c>
      <c r="I310" s="5" t="n">
        <v>0</v>
      </c>
      <c r="J310" s="5" t="n">
        <v>0</v>
      </c>
      <c r="K310" s="5" t="n">
        <v>0</v>
      </c>
      <c r="L310" s="5" t="n">
        <v>0</v>
      </c>
      <c r="M310" s="5" t="n">
        <v>0</v>
      </c>
      <c r="N310" s="5" t="n">
        <v>1</v>
      </c>
      <c r="O310" s="5" t="n">
        <v>0</v>
      </c>
      <c r="P310" s="5" t="n">
        <v>0</v>
      </c>
      <c r="Q310" s="5" t="n">
        <v>0</v>
      </c>
      <c r="R310" s="5" t="n">
        <v>0</v>
      </c>
      <c r="S310" s="5" t="n">
        <v>0</v>
      </c>
      <c r="T310" s="5" t="n">
        <v>1</v>
      </c>
      <c r="U310" s="5" t="inlineStr">
        <is>
          <t>training</t>
        </is>
      </c>
      <c r="V310" s="5" t="n">
        <v>0</v>
      </c>
    </row>
    <row r="311">
      <c r="A311" s="5" t="n">
        <v>307</v>
      </c>
      <c r="B311" s="5" t="n">
        <v>0</v>
      </c>
      <c r="C311" s="6" t="n">
        <v>0.7809601085536261</v>
      </c>
      <c r="D311" s="6" t="n">
        <v>0.5459391445356429</v>
      </c>
      <c r="E311" s="6" t="n">
        <v>-1.003668658855008</v>
      </c>
      <c r="F311" s="6" t="n">
        <v>-0.8850484360866833</v>
      </c>
      <c r="G311" s="5" t="n">
        <v>0</v>
      </c>
      <c r="H311" s="5" t="n">
        <v>0</v>
      </c>
      <c r="I311" s="5" t="n">
        <v>0</v>
      </c>
      <c r="J311" s="5" t="n">
        <v>0</v>
      </c>
      <c r="K311" s="5" t="n">
        <v>0</v>
      </c>
      <c r="L311" s="5" t="n">
        <v>0</v>
      </c>
      <c r="M311" s="5" t="n">
        <v>0</v>
      </c>
      <c r="N311" s="5" t="n">
        <v>0</v>
      </c>
      <c r="O311" s="5" t="n">
        <v>1</v>
      </c>
      <c r="P311" s="5" t="n">
        <v>1</v>
      </c>
      <c r="Q311" s="5" t="n">
        <v>0</v>
      </c>
      <c r="R311" s="5" t="n">
        <v>1</v>
      </c>
      <c r="S311" s="5" t="n">
        <v>0</v>
      </c>
      <c r="T311" s="5" t="n">
        <v>0</v>
      </c>
      <c r="U311" s="5" t="inlineStr">
        <is>
          <t>training</t>
        </is>
      </c>
      <c r="V311" s="5" t="n">
        <v>1</v>
      </c>
    </row>
    <row r="312">
      <c r="A312" s="5" t="n">
        <v>308</v>
      </c>
      <c r="B312" s="5" t="n">
        <v>1</v>
      </c>
      <c r="C312" s="6" t="n">
        <v>-0.7357010147163632</v>
      </c>
      <c r="D312" s="6" t="n">
        <v>-0.8830228128833729</v>
      </c>
      <c r="E312" s="6" t="n">
        <v>-0.2209114725729393</v>
      </c>
      <c r="F312" s="6" t="n">
        <v>0.9185437189662378</v>
      </c>
      <c r="G312" s="5" t="n">
        <v>1</v>
      </c>
      <c r="H312" s="5" t="n">
        <v>0</v>
      </c>
      <c r="I312" s="5" t="n">
        <v>0</v>
      </c>
      <c r="J312" s="5" t="n">
        <v>0</v>
      </c>
      <c r="K312" s="5" t="n">
        <v>0</v>
      </c>
      <c r="L312" s="5" t="n">
        <v>0</v>
      </c>
      <c r="M312" s="5" t="n">
        <v>1</v>
      </c>
      <c r="N312" s="5" t="n">
        <v>0</v>
      </c>
      <c r="O312" s="5" t="n">
        <v>0</v>
      </c>
      <c r="P312" s="5" t="n">
        <v>0</v>
      </c>
      <c r="Q312" s="5" t="n">
        <v>0</v>
      </c>
      <c r="R312" s="5" t="n">
        <v>0</v>
      </c>
      <c r="S312" s="5" t="n">
        <v>1</v>
      </c>
      <c r="T312" s="5" t="n">
        <v>0</v>
      </c>
      <c r="U312" s="5" t="inlineStr">
        <is>
          <t>training</t>
        </is>
      </c>
      <c r="V312" s="5" t="n">
        <v>1</v>
      </c>
    </row>
    <row r="313">
      <c r="A313" s="5" t="n">
        <v>309</v>
      </c>
      <c r="B313" s="5" t="n">
        <v>1</v>
      </c>
      <c r="C313" s="6" t="n">
        <v>-1.072736819887472</v>
      </c>
      <c r="D313" s="6" t="n">
        <v>-0.7045775145768847</v>
      </c>
      <c r="E313" s="6" t="n">
        <v>-1.003668658855008</v>
      </c>
      <c r="F313" s="6" t="n">
        <v>0.01674764143977723</v>
      </c>
      <c r="G313" s="5" t="n">
        <v>0</v>
      </c>
      <c r="H313" s="5" t="n">
        <v>1</v>
      </c>
      <c r="I313" s="5" t="n">
        <v>0</v>
      </c>
      <c r="J313" s="5" t="n">
        <v>0</v>
      </c>
      <c r="K313" s="5" t="n">
        <v>0</v>
      </c>
      <c r="L313" s="5" t="n">
        <v>0</v>
      </c>
      <c r="M313" s="5" t="n">
        <v>0</v>
      </c>
      <c r="N313" s="5" t="n">
        <v>0</v>
      </c>
      <c r="O313" s="5" t="n">
        <v>0</v>
      </c>
      <c r="P313" s="5" t="n">
        <v>0</v>
      </c>
      <c r="Q313" s="5" t="n">
        <v>0</v>
      </c>
      <c r="R313" s="5" t="n">
        <v>0</v>
      </c>
      <c r="S313" s="5" t="n">
        <v>0</v>
      </c>
      <c r="T313" s="5" t="n">
        <v>1</v>
      </c>
      <c r="U313" s="5" t="inlineStr">
        <is>
          <t>training</t>
        </is>
      </c>
      <c r="V313" s="5" t="n">
        <v>1</v>
      </c>
    </row>
    <row r="314">
      <c r="A314" s="5" t="n">
        <v>310</v>
      </c>
      <c r="B314" s="5" t="n">
        <v>0</v>
      </c>
      <c r="C314" s="6" t="n">
        <v>-0.9884778685946948</v>
      </c>
      <c r="D314" s="6" t="n">
        <v>-1.040824439424993</v>
      </c>
      <c r="E314" s="6" t="n">
        <v>-1.177614700251023</v>
      </c>
      <c r="F314" s="6" t="n">
        <v>0.9185437189662378</v>
      </c>
      <c r="G314" s="5" t="n">
        <v>0</v>
      </c>
      <c r="H314" s="5" t="n">
        <v>1</v>
      </c>
      <c r="I314" s="5" t="n">
        <v>0</v>
      </c>
      <c r="J314" s="5" t="n">
        <v>0</v>
      </c>
      <c r="K314" s="5" t="n">
        <v>0</v>
      </c>
      <c r="L314" s="5" t="n">
        <v>0</v>
      </c>
      <c r="M314" s="5" t="n">
        <v>0</v>
      </c>
      <c r="N314" s="5" t="n">
        <v>0</v>
      </c>
      <c r="O314" s="5" t="n">
        <v>0</v>
      </c>
      <c r="P314" s="5" t="n">
        <v>1</v>
      </c>
      <c r="Q314" s="5" t="n">
        <v>0</v>
      </c>
      <c r="R314" s="5" t="n">
        <v>1</v>
      </c>
      <c r="S314" s="5" t="n">
        <v>0</v>
      </c>
      <c r="T314" s="5" t="n">
        <v>0</v>
      </c>
      <c r="U314" s="5" t="inlineStr">
        <is>
          <t>training</t>
        </is>
      </c>
      <c r="V314" s="5" t="n">
        <v>0</v>
      </c>
    </row>
    <row r="315">
      <c r="A315" s="5" t="n">
        <v>311</v>
      </c>
      <c r="B315" s="5" t="n">
        <v>0</v>
      </c>
      <c r="C315" s="6" t="n">
        <v>2.297621231823615</v>
      </c>
      <c r="D315" s="6" t="n">
        <v>0.7453780073487767</v>
      </c>
      <c r="E315" s="6" t="n">
        <v>0.3878996723131141</v>
      </c>
      <c r="F315" s="6" t="n">
        <v>0.01674764143977723</v>
      </c>
      <c r="G315" s="5" t="n">
        <v>0</v>
      </c>
      <c r="H315" s="5" t="n">
        <v>1</v>
      </c>
      <c r="I315" s="5" t="n">
        <v>0</v>
      </c>
      <c r="J315" s="5" t="n">
        <v>0</v>
      </c>
      <c r="K315" s="5" t="n">
        <v>0</v>
      </c>
      <c r="L315" s="5" t="n">
        <v>0</v>
      </c>
      <c r="M315" s="5" t="n">
        <v>0</v>
      </c>
      <c r="N315" s="5" t="n">
        <v>0</v>
      </c>
      <c r="O315" s="5" t="n">
        <v>1</v>
      </c>
      <c r="P315" s="5" t="n">
        <v>0</v>
      </c>
      <c r="Q315" s="5" t="n">
        <v>1</v>
      </c>
      <c r="R315" s="5" t="n">
        <v>0</v>
      </c>
      <c r="S315" s="5" t="n">
        <v>0</v>
      </c>
      <c r="T315" s="5" t="n">
        <v>0</v>
      </c>
      <c r="U315" s="5" t="inlineStr">
        <is>
          <t>training</t>
        </is>
      </c>
      <c r="V315" s="5" t="n">
        <v>1</v>
      </c>
    </row>
    <row r="316">
      <c r="A316" s="5" t="n">
        <v>312</v>
      </c>
      <c r="B316" s="5" t="n">
        <v>0</v>
      </c>
      <c r="C316" s="6" t="n">
        <v>0.275406400796963</v>
      </c>
      <c r="D316" s="6" t="n">
        <v>0.7908640637798424</v>
      </c>
      <c r="E316" s="6" t="n">
        <v>-0.9166956381570004</v>
      </c>
      <c r="F316" s="6" t="n">
        <v>0.9185437189662378</v>
      </c>
      <c r="G316" s="5" t="n">
        <v>0</v>
      </c>
      <c r="H316" s="5" t="n">
        <v>0</v>
      </c>
      <c r="I316" s="5" t="n">
        <v>0</v>
      </c>
      <c r="J316" s="5" t="n">
        <v>0</v>
      </c>
      <c r="K316" s="5" t="n">
        <v>0</v>
      </c>
      <c r="L316" s="5" t="n">
        <v>0</v>
      </c>
      <c r="M316" s="5" t="n">
        <v>1</v>
      </c>
      <c r="N316" s="5" t="n">
        <v>0</v>
      </c>
      <c r="O316" s="5" t="n">
        <v>0</v>
      </c>
      <c r="P316" s="5" t="n">
        <v>0</v>
      </c>
      <c r="Q316" s="5" t="n">
        <v>0</v>
      </c>
      <c r="R316" s="5" t="n">
        <v>0</v>
      </c>
      <c r="S316" s="5" t="n">
        <v>0</v>
      </c>
      <c r="T316" s="5" t="n">
        <v>1</v>
      </c>
      <c r="U316" s="5" t="inlineStr">
        <is>
          <t>testing</t>
        </is>
      </c>
      <c r="V316" s="5" t="n">
        <v>0</v>
      </c>
    </row>
    <row r="317">
      <c r="A317" s="5" t="n">
        <v>313</v>
      </c>
      <c r="B317" s="5" t="n">
        <v>0</v>
      </c>
      <c r="C317" s="6" t="n">
        <v>0.275406400796963</v>
      </c>
      <c r="D317" s="6" t="n">
        <v>0.1743530527680143</v>
      </c>
      <c r="E317" s="6" t="n">
        <v>-0.8297226174589928</v>
      </c>
      <c r="F317" s="6" t="n">
        <v>-0.8850484360866833</v>
      </c>
      <c r="G317" s="5" t="n">
        <v>0</v>
      </c>
      <c r="H317" s="5" t="n">
        <v>0</v>
      </c>
      <c r="I317" s="5" t="n">
        <v>1</v>
      </c>
      <c r="J317" s="5" t="n">
        <v>0</v>
      </c>
      <c r="K317" s="5" t="n">
        <v>0</v>
      </c>
      <c r="L317" s="5" t="n">
        <v>0</v>
      </c>
      <c r="M317" s="5" t="n">
        <v>0</v>
      </c>
      <c r="N317" s="5" t="n">
        <v>0</v>
      </c>
      <c r="O317" s="5" t="n">
        <v>0</v>
      </c>
      <c r="P317" s="5" t="n">
        <v>0</v>
      </c>
      <c r="Q317" s="5" t="n">
        <v>0</v>
      </c>
      <c r="R317" s="5" t="n">
        <v>0</v>
      </c>
      <c r="S317" s="5" t="n">
        <v>0</v>
      </c>
      <c r="T317" s="5" t="n">
        <v>1</v>
      </c>
      <c r="U317" s="5" t="inlineStr">
        <is>
          <t>training</t>
        </is>
      </c>
      <c r="V317" s="5" t="n">
        <v>0</v>
      </c>
    </row>
    <row r="318">
      <c r="A318" s="5" t="n">
        <v>314</v>
      </c>
      <c r="B318" s="5" t="n">
        <v>1</v>
      </c>
      <c r="C318" s="6" t="n">
        <v>-0.7357010147163632</v>
      </c>
      <c r="D318" s="6" t="n">
        <v>-0.8977183080380249</v>
      </c>
      <c r="E318" s="6" t="n">
        <v>-0.9166956381570004</v>
      </c>
      <c r="F318" s="6" t="n">
        <v>-0.8850484360866833</v>
      </c>
      <c r="G318" s="5" t="n">
        <v>0</v>
      </c>
      <c r="H318" s="5" t="n">
        <v>1</v>
      </c>
      <c r="I318" s="5" t="n">
        <v>0</v>
      </c>
      <c r="J318" s="5" t="n">
        <v>0</v>
      </c>
      <c r="K318" s="5" t="n">
        <v>0</v>
      </c>
      <c r="L318" s="5" t="n">
        <v>0</v>
      </c>
      <c r="M318" s="5" t="n">
        <v>0</v>
      </c>
      <c r="N318" s="5" t="n">
        <v>0</v>
      </c>
      <c r="O318" s="5" t="n">
        <v>0</v>
      </c>
      <c r="P318" s="5" t="n">
        <v>0</v>
      </c>
      <c r="Q318" s="5" t="n">
        <v>0</v>
      </c>
      <c r="R318" s="5" t="n">
        <v>1</v>
      </c>
      <c r="S318" s="5" t="n">
        <v>0</v>
      </c>
      <c r="T318" s="5" t="n">
        <v>0</v>
      </c>
      <c r="U318" s="5" t="inlineStr">
        <is>
          <t>training</t>
        </is>
      </c>
      <c r="V318" s="5" t="n">
        <v>1</v>
      </c>
    </row>
    <row r="319">
      <c r="A319" s="5" t="n">
        <v>315</v>
      </c>
      <c r="B319" s="5" t="n">
        <v>0</v>
      </c>
      <c r="C319" s="6" t="n">
        <v>-1.409772625058581</v>
      </c>
      <c r="D319" s="6" t="n">
        <v>-0.6146550799400857</v>
      </c>
      <c r="E319" s="6" t="n">
        <v>-0.5688035553649698</v>
      </c>
      <c r="F319" s="6" t="n">
        <v>-1.786844513613144</v>
      </c>
      <c r="G319" s="5" t="n">
        <v>0</v>
      </c>
      <c r="H319" s="5" t="n">
        <v>0</v>
      </c>
      <c r="I319" s="5" t="n">
        <v>1</v>
      </c>
      <c r="J319" s="5" t="n">
        <v>0</v>
      </c>
      <c r="K319" s="5" t="n">
        <v>0</v>
      </c>
      <c r="L319" s="5" t="n">
        <v>0</v>
      </c>
      <c r="M319" s="5" t="n">
        <v>0</v>
      </c>
      <c r="N319" s="5" t="n">
        <v>0</v>
      </c>
      <c r="O319" s="5" t="n">
        <v>1</v>
      </c>
      <c r="P319" s="5" t="n">
        <v>0</v>
      </c>
      <c r="Q319" s="5" t="n">
        <v>0</v>
      </c>
      <c r="R319" s="5" t="n">
        <v>1</v>
      </c>
      <c r="S319" s="5" t="n">
        <v>0</v>
      </c>
      <c r="T319" s="5" t="n">
        <v>0</v>
      </c>
      <c r="U319" s="5" t="inlineStr">
        <is>
          <t>testing</t>
        </is>
      </c>
      <c r="V319" s="5" t="n">
        <v>0</v>
      </c>
    </row>
    <row r="320">
      <c r="A320" s="5" t="n">
        <v>316</v>
      </c>
      <c r="B320" s="5" t="n">
        <v>1</v>
      </c>
      <c r="C320" s="6" t="n">
        <v>1.286513816310289</v>
      </c>
      <c r="D320" s="6" t="n">
        <v>-0.1765893672347459</v>
      </c>
      <c r="E320" s="6" t="n">
        <v>-0.3948575139689546</v>
      </c>
      <c r="F320" s="6" t="n">
        <v>0.9185437189662378</v>
      </c>
      <c r="G320" s="5" t="n">
        <v>1</v>
      </c>
      <c r="H320" s="5" t="n">
        <v>0</v>
      </c>
      <c r="I320" s="5" t="n">
        <v>0</v>
      </c>
      <c r="J320" s="5" t="n">
        <v>0</v>
      </c>
      <c r="K320" s="5" t="n">
        <v>0</v>
      </c>
      <c r="L320" s="5" t="n">
        <v>1</v>
      </c>
      <c r="M320" s="5" t="n">
        <v>0</v>
      </c>
      <c r="N320" s="5" t="n">
        <v>0</v>
      </c>
      <c r="O320" s="5" t="n">
        <v>0</v>
      </c>
      <c r="P320" s="5" t="n">
        <v>0</v>
      </c>
      <c r="Q320" s="5" t="n">
        <v>0</v>
      </c>
      <c r="R320" s="5" t="n">
        <v>0</v>
      </c>
      <c r="S320" s="5" t="n">
        <v>0</v>
      </c>
      <c r="T320" s="5" t="n">
        <v>1</v>
      </c>
      <c r="U320" s="5" t="inlineStr">
        <is>
          <t>training</t>
        </is>
      </c>
      <c r="V320" s="5" t="n">
        <v>1</v>
      </c>
    </row>
    <row r="321">
      <c r="A321" s="5" t="n">
        <v>317</v>
      </c>
      <c r="B321" s="5" t="n">
        <v>0</v>
      </c>
      <c r="C321" s="6" t="n">
        <v>-0.7357010147163632</v>
      </c>
      <c r="D321" s="6" t="n">
        <v>-0.8896707749771441</v>
      </c>
      <c r="E321" s="6" t="n">
        <v>0.2139536309170988</v>
      </c>
      <c r="F321" s="6" t="n">
        <v>-0.8850484360866833</v>
      </c>
      <c r="G321" s="5" t="n">
        <v>1</v>
      </c>
      <c r="H321" s="5" t="n">
        <v>0</v>
      </c>
      <c r="I321" s="5" t="n">
        <v>0</v>
      </c>
      <c r="J321" s="5" t="n">
        <v>0</v>
      </c>
      <c r="K321" s="5" t="n">
        <v>0</v>
      </c>
      <c r="L321" s="5" t="n">
        <v>0</v>
      </c>
      <c r="M321" s="5" t="n">
        <v>0</v>
      </c>
      <c r="N321" s="5" t="n">
        <v>0</v>
      </c>
      <c r="O321" s="5" t="n">
        <v>0</v>
      </c>
      <c r="P321" s="5" t="n">
        <v>0</v>
      </c>
      <c r="Q321" s="5" t="n">
        <v>0</v>
      </c>
      <c r="R321" s="5" t="n">
        <v>0</v>
      </c>
      <c r="S321" s="5" t="n">
        <v>0</v>
      </c>
      <c r="T321" s="5" t="n">
        <v>1</v>
      </c>
      <c r="U321" s="5" t="inlineStr">
        <is>
          <t>training</t>
        </is>
      </c>
      <c r="V321" s="5" t="n">
        <v>1</v>
      </c>
    </row>
    <row r="322">
      <c r="A322" s="5" t="n">
        <v>318</v>
      </c>
      <c r="B322" s="5" t="n">
        <v>0</v>
      </c>
      <c r="C322" s="6" t="n">
        <v>0.275406400796963</v>
      </c>
      <c r="D322" s="6" t="n">
        <v>0.3849884833180259</v>
      </c>
      <c r="E322" s="6" t="n">
        <v>1.083683837897175</v>
      </c>
      <c r="F322" s="6" t="n">
        <v>-1.786844513613144</v>
      </c>
      <c r="G322" s="5" t="n">
        <v>0</v>
      </c>
      <c r="H322" s="5" t="n">
        <v>1</v>
      </c>
      <c r="I322" s="5" t="n">
        <v>0</v>
      </c>
      <c r="J322" s="5" t="n">
        <v>0</v>
      </c>
      <c r="K322" s="5" t="n">
        <v>0</v>
      </c>
      <c r="L322" s="5" t="n">
        <v>0</v>
      </c>
      <c r="M322" s="5" t="n">
        <v>0</v>
      </c>
      <c r="N322" s="5" t="n">
        <v>0</v>
      </c>
      <c r="O322" s="5" t="n">
        <v>1</v>
      </c>
      <c r="P322" s="5" t="n">
        <v>0</v>
      </c>
      <c r="Q322" s="5" t="n">
        <v>0</v>
      </c>
      <c r="R322" s="5" t="n">
        <v>0</v>
      </c>
      <c r="S322" s="5" t="n">
        <v>0</v>
      </c>
      <c r="T322" s="5" t="n">
        <v>1</v>
      </c>
      <c r="U322" s="5" t="inlineStr">
        <is>
          <t>testing</t>
        </is>
      </c>
      <c r="V322" s="5" t="n">
        <v>0</v>
      </c>
    </row>
    <row r="323">
      <c r="A323" s="5" t="n">
        <v>319</v>
      </c>
      <c r="B323" s="5" t="n">
        <v>0</v>
      </c>
      <c r="C323" s="6" t="n">
        <v>-0.7357010147163632</v>
      </c>
      <c r="D323" s="6" t="n">
        <v>-0.892120024169586</v>
      </c>
      <c r="E323" s="6" t="n">
        <v>-0.307884493270947</v>
      </c>
      <c r="F323" s="6" t="n">
        <v>0.9185437189662378</v>
      </c>
      <c r="G323" s="5" t="n">
        <v>0</v>
      </c>
      <c r="H323" s="5" t="n">
        <v>0</v>
      </c>
      <c r="I323" s="5" t="n">
        <v>0</v>
      </c>
      <c r="J323" s="5" t="n">
        <v>1</v>
      </c>
      <c r="K323" s="5" t="n">
        <v>0</v>
      </c>
      <c r="L323" s="5" t="n">
        <v>0</v>
      </c>
      <c r="M323" s="5" t="n">
        <v>0</v>
      </c>
      <c r="N323" s="5" t="n">
        <v>0</v>
      </c>
      <c r="O323" s="5" t="n">
        <v>0</v>
      </c>
      <c r="P323" s="5" t="n">
        <v>0</v>
      </c>
      <c r="Q323" s="5" t="n">
        <v>0</v>
      </c>
      <c r="R323" s="5" t="n">
        <v>0</v>
      </c>
      <c r="S323" s="5" t="n">
        <v>0</v>
      </c>
      <c r="T323" s="5" t="n">
        <v>0</v>
      </c>
      <c r="U323" s="5" t="inlineStr">
        <is>
          <t>training</t>
        </is>
      </c>
      <c r="V323" s="5" t="n">
        <v>1</v>
      </c>
    </row>
    <row r="324">
      <c r="A324" s="5" t="n">
        <v>320</v>
      </c>
      <c r="B324" s="5" t="n">
        <v>0</v>
      </c>
      <c r="C324" s="6" t="n">
        <v>-0.4829241608380317</v>
      </c>
      <c r="D324" s="6" t="n">
        <v>0.137264422139607</v>
      </c>
      <c r="E324" s="6" t="n">
        <v>-0.7427495967609852</v>
      </c>
      <c r="F324" s="6" t="n">
        <v>-1.786844513613144</v>
      </c>
      <c r="G324" s="5" t="n">
        <v>1</v>
      </c>
      <c r="H324" s="5" t="n">
        <v>0</v>
      </c>
      <c r="I324" s="5" t="n">
        <v>0</v>
      </c>
      <c r="J324" s="5" t="n">
        <v>0</v>
      </c>
      <c r="K324" s="5" t="n">
        <v>1</v>
      </c>
      <c r="L324" s="5" t="n">
        <v>0</v>
      </c>
      <c r="M324" s="5" t="n">
        <v>0</v>
      </c>
      <c r="N324" s="5" t="n">
        <v>0</v>
      </c>
      <c r="O324" s="5" t="n">
        <v>0</v>
      </c>
      <c r="P324" s="5" t="n">
        <v>0</v>
      </c>
      <c r="Q324" s="5" t="n">
        <v>0</v>
      </c>
      <c r="R324" s="5" t="n">
        <v>0</v>
      </c>
      <c r="S324" s="5" t="n">
        <v>0</v>
      </c>
      <c r="T324" s="5" t="n">
        <v>1</v>
      </c>
      <c r="U324" s="5" t="inlineStr">
        <is>
          <t>training</t>
        </is>
      </c>
      <c r="V324" s="5" t="n">
        <v>0</v>
      </c>
    </row>
    <row r="325">
      <c r="A325" s="5" t="n">
        <v>321</v>
      </c>
      <c r="B325" s="5" t="n">
        <v>1</v>
      </c>
      <c r="C325" s="6" t="n">
        <v>0.7809601085536261</v>
      </c>
      <c r="D325" s="6" t="n">
        <v>0.3492994236567283</v>
      </c>
      <c r="E325" s="6" t="n">
        <v>-0.6557765760629775</v>
      </c>
      <c r="F325" s="6" t="n">
        <v>0.9185437189662378</v>
      </c>
      <c r="G325" s="5" t="n">
        <v>0</v>
      </c>
      <c r="H325" s="5" t="n">
        <v>1</v>
      </c>
      <c r="I325" s="5" t="n">
        <v>0</v>
      </c>
      <c r="J325" s="5" t="n">
        <v>1</v>
      </c>
      <c r="K325" s="5" t="n">
        <v>0</v>
      </c>
      <c r="L325" s="5" t="n">
        <v>0</v>
      </c>
      <c r="M325" s="5" t="n">
        <v>0</v>
      </c>
      <c r="N325" s="5" t="n">
        <v>0</v>
      </c>
      <c r="O325" s="5" t="n">
        <v>0</v>
      </c>
      <c r="P325" s="5" t="n">
        <v>0</v>
      </c>
      <c r="Q325" s="5" t="n">
        <v>0</v>
      </c>
      <c r="R325" s="5" t="n">
        <v>1</v>
      </c>
      <c r="S325" s="5" t="n">
        <v>0</v>
      </c>
      <c r="T325" s="5" t="n">
        <v>0</v>
      </c>
      <c r="U325" s="5" t="inlineStr">
        <is>
          <t>testing</t>
        </is>
      </c>
      <c r="V325" s="5" t="n">
        <v>0</v>
      </c>
    </row>
    <row r="326">
      <c r="A326" s="5" t="n">
        <v>322</v>
      </c>
      <c r="B326" s="5" t="n">
        <v>1</v>
      </c>
      <c r="C326" s="6" t="n">
        <v>0.275406400796963</v>
      </c>
      <c r="D326" s="6" t="n">
        <v>-0.4593027025909077</v>
      </c>
      <c r="E326" s="6" t="n">
        <v>-0.307884493270947</v>
      </c>
      <c r="F326" s="6" t="n">
        <v>0.9185437189662378</v>
      </c>
      <c r="G326" s="5" t="n">
        <v>1</v>
      </c>
      <c r="H326" s="5" t="n">
        <v>0</v>
      </c>
      <c r="I326" s="5" t="n">
        <v>0</v>
      </c>
      <c r="J326" s="5" t="n">
        <v>0</v>
      </c>
      <c r="K326" s="5" t="n">
        <v>0</v>
      </c>
      <c r="L326" s="5" t="n">
        <v>0</v>
      </c>
      <c r="M326" s="5" t="n">
        <v>0</v>
      </c>
      <c r="N326" s="5" t="n">
        <v>0</v>
      </c>
      <c r="O326" s="5" t="n">
        <v>0</v>
      </c>
      <c r="P326" s="5" t="n">
        <v>0</v>
      </c>
      <c r="Q326" s="5" t="n">
        <v>0</v>
      </c>
      <c r="R326" s="5" t="n">
        <v>0</v>
      </c>
      <c r="S326" s="5" t="n">
        <v>1</v>
      </c>
      <c r="T326" s="5" t="n">
        <v>0</v>
      </c>
      <c r="U326" s="5" t="inlineStr">
        <is>
          <t>testing</t>
        </is>
      </c>
      <c r="V326" s="5" t="n">
        <v>0</v>
      </c>
    </row>
    <row r="327">
      <c r="A327" s="5" t="n">
        <v>323</v>
      </c>
      <c r="B327" s="5" t="n">
        <v>0</v>
      </c>
      <c r="C327" s="6" t="n">
        <v>0.275406400796963</v>
      </c>
      <c r="D327" s="6" t="n">
        <v>-0.1192069575832477</v>
      </c>
      <c r="E327" s="6" t="n">
        <v>-0.1339384518749317</v>
      </c>
      <c r="F327" s="6" t="n">
        <v>-0.8850484360866833</v>
      </c>
      <c r="G327" s="5" t="n">
        <v>1</v>
      </c>
      <c r="H327" s="5" t="n">
        <v>0</v>
      </c>
      <c r="I327" s="5" t="n">
        <v>0</v>
      </c>
      <c r="J327" s="5" t="n">
        <v>0</v>
      </c>
      <c r="K327" s="5" t="n">
        <v>0</v>
      </c>
      <c r="L327" s="5" t="n">
        <v>0</v>
      </c>
      <c r="M327" s="5" t="n">
        <v>0</v>
      </c>
      <c r="N327" s="5" t="n">
        <v>0</v>
      </c>
      <c r="O327" s="5" t="n">
        <v>0</v>
      </c>
      <c r="P327" s="5" t="n">
        <v>0</v>
      </c>
      <c r="Q327" s="5" t="n">
        <v>1</v>
      </c>
      <c r="R327" s="5" t="n">
        <v>1</v>
      </c>
      <c r="S327" s="5" t="n">
        <v>0</v>
      </c>
      <c r="T327" s="5" t="n">
        <v>0</v>
      </c>
      <c r="U327" s="5" t="inlineStr">
        <is>
          <t>training</t>
        </is>
      </c>
      <c r="V327" s="5" t="n">
        <v>0</v>
      </c>
    </row>
    <row r="328">
      <c r="A328" s="5" t="n">
        <v>324</v>
      </c>
      <c r="B328" s="5" t="n">
        <v>0</v>
      </c>
      <c r="C328" s="6" t="n">
        <v>-0.2301473069597001</v>
      </c>
      <c r="D328" s="6" t="n">
        <v>-0.2070300357693821</v>
      </c>
      <c r="E328" s="6" t="n">
        <v>-0.6557765760629775</v>
      </c>
      <c r="F328" s="6" t="n">
        <v>0.9185437189662378</v>
      </c>
      <c r="G328" s="5" t="n">
        <v>1</v>
      </c>
      <c r="H328" s="5" t="n">
        <v>0</v>
      </c>
      <c r="I328" s="5" t="n">
        <v>0</v>
      </c>
      <c r="J328" s="5" t="n">
        <v>0</v>
      </c>
      <c r="K328" s="5" t="n">
        <v>0</v>
      </c>
      <c r="L328" s="5" t="n">
        <v>0</v>
      </c>
      <c r="M328" s="5" t="n">
        <v>0</v>
      </c>
      <c r="N328" s="5" t="n">
        <v>1</v>
      </c>
      <c r="O328" s="5" t="n">
        <v>0</v>
      </c>
      <c r="P328" s="5" t="n">
        <v>0</v>
      </c>
      <c r="Q328" s="5" t="n">
        <v>0</v>
      </c>
      <c r="R328" s="5" t="n">
        <v>0</v>
      </c>
      <c r="S328" s="5" t="n">
        <v>0</v>
      </c>
      <c r="T328" s="5" t="n">
        <v>1</v>
      </c>
      <c r="U328" s="5" t="inlineStr">
        <is>
          <t>training</t>
        </is>
      </c>
      <c r="V328" s="5" t="n">
        <v>1</v>
      </c>
    </row>
    <row r="329">
      <c r="A329" s="5" t="n">
        <v>325</v>
      </c>
      <c r="B329" s="5" t="n">
        <v>0</v>
      </c>
      <c r="C329" s="6" t="n">
        <v>-0.2301473069597001</v>
      </c>
      <c r="D329" s="6" t="n">
        <v>-0.7777050976083671</v>
      </c>
      <c r="E329" s="6" t="n">
        <v>0.04000758952108359</v>
      </c>
      <c r="F329" s="6" t="n">
        <v>0.9185437189662378</v>
      </c>
      <c r="G329" s="5" t="n">
        <v>0</v>
      </c>
      <c r="H329" s="5" t="n">
        <v>0</v>
      </c>
      <c r="I329" s="5" t="n">
        <v>0</v>
      </c>
      <c r="J329" s="5" t="n">
        <v>1</v>
      </c>
      <c r="K329" s="5" t="n">
        <v>0</v>
      </c>
      <c r="L329" s="5" t="n">
        <v>0</v>
      </c>
      <c r="M329" s="5" t="n">
        <v>0</v>
      </c>
      <c r="N329" s="5" t="n">
        <v>0</v>
      </c>
      <c r="O329" s="5" t="n">
        <v>0</v>
      </c>
      <c r="P329" s="5" t="n">
        <v>0</v>
      </c>
      <c r="Q329" s="5" t="n">
        <v>0</v>
      </c>
      <c r="R329" s="5" t="n">
        <v>1</v>
      </c>
      <c r="S329" s="5" t="n">
        <v>0</v>
      </c>
      <c r="T329" s="5" t="n">
        <v>0</v>
      </c>
      <c r="U329" s="5" t="inlineStr">
        <is>
          <t>training</t>
        </is>
      </c>
      <c r="V329" s="5" t="n">
        <v>1</v>
      </c>
    </row>
    <row r="330">
      <c r="A330" s="5" t="n">
        <v>326</v>
      </c>
      <c r="B330" s="5" t="n">
        <v>0</v>
      </c>
      <c r="C330" s="6" t="n">
        <v>-1.072736819887472</v>
      </c>
      <c r="D330" s="6" t="n">
        <v>0.05154070040413711</v>
      </c>
      <c r="E330" s="6" t="n">
        <v>0.3009266516151065</v>
      </c>
      <c r="F330" s="6" t="n">
        <v>-1.786844513613144</v>
      </c>
      <c r="G330" s="5" t="n">
        <v>1</v>
      </c>
      <c r="H330" s="5" t="n">
        <v>0</v>
      </c>
      <c r="I330" s="5" t="n">
        <v>0</v>
      </c>
      <c r="J330" s="5" t="n">
        <v>1</v>
      </c>
      <c r="K330" s="5" t="n">
        <v>0</v>
      </c>
      <c r="L330" s="5" t="n">
        <v>0</v>
      </c>
      <c r="M330" s="5" t="n">
        <v>0</v>
      </c>
      <c r="N330" s="5" t="n">
        <v>0</v>
      </c>
      <c r="O330" s="5" t="n">
        <v>0</v>
      </c>
      <c r="P330" s="5" t="n">
        <v>0</v>
      </c>
      <c r="Q330" s="5" t="n">
        <v>0</v>
      </c>
      <c r="R330" s="5" t="n">
        <v>1</v>
      </c>
      <c r="S330" s="5" t="n">
        <v>0</v>
      </c>
      <c r="T330" s="5" t="n">
        <v>0</v>
      </c>
      <c r="U330" s="5" t="inlineStr">
        <is>
          <t>training</t>
        </is>
      </c>
      <c r="V330" s="5" t="n">
        <v>1</v>
      </c>
    </row>
    <row r="331">
      <c r="A331" s="5" t="n">
        <v>327</v>
      </c>
      <c r="B331" s="5" t="n">
        <v>0</v>
      </c>
      <c r="C331" s="6" t="n">
        <v>-0.7357010147163632</v>
      </c>
      <c r="D331" s="6" t="n">
        <v>0.8923329588952965</v>
      </c>
      <c r="E331" s="6" t="n">
        <v>1.170656858595183</v>
      </c>
      <c r="F331" s="6" t="n">
        <v>-0.8850484360866833</v>
      </c>
      <c r="G331" s="5" t="n">
        <v>0</v>
      </c>
      <c r="H331" s="5" t="n">
        <v>0</v>
      </c>
      <c r="I331" s="5" t="n">
        <v>0</v>
      </c>
      <c r="J331" s="5" t="n">
        <v>1</v>
      </c>
      <c r="K331" s="5" t="n">
        <v>0</v>
      </c>
      <c r="L331" s="5" t="n">
        <v>0</v>
      </c>
      <c r="M331" s="5" t="n">
        <v>0</v>
      </c>
      <c r="N331" s="5" t="n">
        <v>0</v>
      </c>
      <c r="O331" s="5" t="n">
        <v>1</v>
      </c>
      <c r="P331" s="5" t="n">
        <v>1</v>
      </c>
      <c r="Q331" s="5" t="n">
        <v>0</v>
      </c>
      <c r="R331" s="5" t="n">
        <v>0</v>
      </c>
      <c r="S331" s="5" t="n">
        <v>0</v>
      </c>
      <c r="T331" s="5" t="n">
        <v>1</v>
      </c>
      <c r="U331" s="5" t="inlineStr">
        <is>
          <t>testing</t>
        </is>
      </c>
      <c r="V331" s="5" t="n">
        <v>0</v>
      </c>
    </row>
    <row r="332">
      <c r="A332" s="5" t="n">
        <v>328</v>
      </c>
      <c r="B332" s="5" t="n">
        <v>0</v>
      </c>
      <c r="C332" s="6" t="n">
        <v>0.275406400796963</v>
      </c>
      <c r="D332" s="6" t="n">
        <v>-0.6038084049449854</v>
      </c>
      <c r="E332" s="6" t="n">
        <v>-0.1339384518749317</v>
      </c>
      <c r="F332" s="6" t="n">
        <v>0.9185437189662378</v>
      </c>
      <c r="G332" s="5" t="n">
        <v>0</v>
      </c>
      <c r="H332" s="5" t="n">
        <v>0</v>
      </c>
      <c r="I332" s="5" t="n">
        <v>0</v>
      </c>
      <c r="J332" s="5" t="n">
        <v>0</v>
      </c>
      <c r="K332" s="5" t="n">
        <v>0</v>
      </c>
      <c r="L332" s="5" t="n">
        <v>0</v>
      </c>
      <c r="M332" s="5" t="n">
        <v>0</v>
      </c>
      <c r="N332" s="5" t="n">
        <v>1</v>
      </c>
      <c r="O332" s="5" t="n">
        <v>0</v>
      </c>
      <c r="P332" s="5" t="n">
        <v>0</v>
      </c>
      <c r="Q332" s="5" t="n">
        <v>0</v>
      </c>
      <c r="R332" s="5" t="n">
        <v>1</v>
      </c>
      <c r="S332" s="5" t="n">
        <v>0</v>
      </c>
      <c r="T332" s="5" t="n">
        <v>0</v>
      </c>
      <c r="U332" s="5" t="inlineStr">
        <is>
          <t>training</t>
        </is>
      </c>
      <c r="V332" s="5" t="n">
        <v>1</v>
      </c>
    </row>
    <row r="333">
      <c r="A333" s="5" t="n">
        <v>329</v>
      </c>
      <c r="B333" s="5" t="n">
        <v>0</v>
      </c>
      <c r="C333" s="6" t="n">
        <v>1.286513816310289</v>
      </c>
      <c r="D333" s="6" t="n">
        <v>0.4276753978148722</v>
      </c>
      <c r="E333" s="6" t="n">
        <v>-0.3948575139689546</v>
      </c>
      <c r="F333" s="6" t="n">
        <v>0.9185437189662378</v>
      </c>
      <c r="G333" s="5" t="n">
        <v>0</v>
      </c>
      <c r="H333" s="5" t="n">
        <v>0</v>
      </c>
      <c r="I333" s="5" t="n">
        <v>1</v>
      </c>
      <c r="J333" s="5" t="n">
        <v>0</v>
      </c>
      <c r="K333" s="5" t="n">
        <v>0</v>
      </c>
      <c r="L333" s="5" t="n">
        <v>0</v>
      </c>
      <c r="M333" s="5" t="n">
        <v>0</v>
      </c>
      <c r="N333" s="5" t="n">
        <v>0</v>
      </c>
      <c r="O333" s="5" t="n">
        <v>0</v>
      </c>
      <c r="P333" s="5" t="n">
        <v>0</v>
      </c>
      <c r="Q333" s="5" t="n">
        <v>0</v>
      </c>
      <c r="R333" s="5" t="n">
        <v>0</v>
      </c>
      <c r="S333" s="5" t="n">
        <v>1</v>
      </c>
      <c r="T333" s="5" t="n">
        <v>0</v>
      </c>
      <c r="U333" s="5" t="inlineStr">
        <is>
          <t>training</t>
        </is>
      </c>
      <c r="V333" s="5" t="n">
        <v>0</v>
      </c>
    </row>
    <row r="334">
      <c r="A334" s="5" t="n">
        <v>330</v>
      </c>
      <c r="B334" s="5" t="n">
        <v>0</v>
      </c>
      <c r="C334" s="6" t="n">
        <v>-1.241254722473026</v>
      </c>
      <c r="D334" s="6" t="n">
        <v>-0.7637093879372701</v>
      </c>
      <c r="E334" s="6" t="n">
        <v>-0.6557765760629775</v>
      </c>
      <c r="F334" s="6" t="n">
        <v>0.9185437189662378</v>
      </c>
      <c r="G334" s="5" t="n">
        <v>0</v>
      </c>
      <c r="H334" s="5" t="n">
        <v>1</v>
      </c>
      <c r="I334" s="5" t="n">
        <v>0</v>
      </c>
      <c r="J334" s="5" t="n">
        <v>0</v>
      </c>
      <c r="K334" s="5" t="n">
        <v>0</v>
      </c>
      <c r="L334" s="5" t="n">
        <v>0</v>
      </c>
      <c r="M334" s="5" t="n">
        <v>0</v>
      </c>
      <c r="N334" s="5" t="n">
        <v>0</v>
      </c>
      <c r="O334" s="5" t="n">
        <v>0</v>
      </c>
      <c r="P334" s="5" t="n">
        <v>0</v>
      </c>
      <c r="Q334" s="5" t="n">
        <v>0</v>
      </c>
      <c r="R334" s="5" t="n">
        <v>0</v>
      </c>
      <c r="S334" s="5" t="n">
        <v>1</v>
      </c>
      <c r="T334" s="5" t="n">
        <v>0</v>
      </c>
      <c r="U334" s="5" t="inlineStr">
        <is>
          <t>training</t>
        </is>
      </c>
      <c r="V334" s="5" t="n">
        <v>1</v>
      </c>
    </row>
    <row r="335">
      <c r="A335" s="5" t="n">
        <v>331</v>
      </c>
      <c r="B335" s="5" t="n">
        <v>0</v>
      </c>
      <c r="C335" s="6" t="n">
        <v>0.275406400796963</v>
      </c>
      <c r="D335" s="6" t="n">
        <v>1.177145650702123</v>
      </c>
      <c r="E335" s="6" t="n">
        <v>3.431955396743382</v>
      </c>
      <c r="F335" s="6" t="n">
        <v>-0.8850484360866833</v>
      </c>
      <c r="G335" s="5" t="n">
        <v>1</v>
      </c>
      <c r="H335" s="5" t="n">
        <v>0</v>
      </c>
      <c r="I335" s="5" t="n">
        <v>0</v>
      </c>
      <c r="J335" s="5" t="n">
        <v>1</v>
      </c>
      <c r="K335" s="5" t="n">
        <v>0</v>
      </c>
      <c r="L335" s="5" t="n">
        <v>0</v>
      </c>
      <c r="M335" s="5" t="n">
        <v>0</v>
      </c>
      <c r="N335" s="5" t="n">
        <v>0</v>
      </c>
      <c r="O335" s="5" t="n">
        <v>0</v>
      </c>
      <c r="P335" s="5" t="n">
        <v>0</v>
      </c>
      <c r="Q335" s="5" t="n">
        <v>1</v>
      </c>
      <c r="R335" s="5" t="n">
        <v>1</v>
      </c>
      <c r="S335" s="5" t="n">
        <v>0</v>
      </c>
      <c r="T335" s="5" t="n">
        <v>0</v>
      </c>
      <c r="U335" s="5" t="inlineStr">
        <is>
          <t>training</t>
        </is>
      </c>
      <c r="V335" s="5" t="n">
        <v>0</v>
      </c>
    </row>
    <row r="336">
      <c r="A336" s="5" t="n">
        <v>332</v>
      </c>
      <c r="B336" s="5" t="n">
        <v>1</v>
      </c>
      <c r="C336" s="6" t="n">
        <v>-0.2301473069597001</v>
      </c>
      <c r="D336" s="6" t="n">
        <v>-0.4851947654824373</v>
      </c>
      <c r="E336" s="6" t="n">
        <v>-0.4818305346669622</v>
      </c>
      <c r="F336" s="6" t="n">
        <v>0.9185437189662378</v>
      </c>
      <c r="G336" s="5" t="n">
        <v>0</v>
      </c>
      <c r="H336" s="5" t="n">
        <v>0</v>
      </c>
      <c r="I336" s="5" t="n">
        <v>0</v>
      </c>
      <c r="J336" s="5" t="n">
        <v>1</v>
      </c>
      <c r="K336" s="5" t="n">
        <v>0</v>
      </c>
      <c r="L336" s="5" t="n">
        <v>0</v>
      </c>
      <c r="M336" s="5" t="n">
        <v>1</v>
      </c>
      <c r="N336" s="5" t="n">
        <v>0</v>
      </c>
      <c r="O336" s="5" t="n">
        <v>0</v>
      </c>
      <c r="P336" s="5" t="n">
        <v>0</v>
      </c>
      <c r="Q336" s="5" t="n">
        <v>0</v>
      </c>
      <c r="R336" s="5" t="n">
        <v>0</v>
      </c>
      <c r="S336" s="5" t="n">
        <v>0</v>
      </c>
      <c r="T336" s="5" t="n">
        <v>0</v>
      </c>
      <c r="U336" s="5" t="inlineStr">
        <is>
          <t>training</t>
        </is>
      </c>
      <c r="V336" s="5" t="n">
        <v>1</v>
      </c>
    </row>
    <row r="337">
      <c r="A337" s="5" t="n">
        <v>333</v>
      </c>
      <c r="B337" s="5" t="n">
        <v>1</v>
      </c>
      <c r="C337" s="6" t="n">
        <v>3.308728647336942</v>
      </c>
      <c r="D337" s="6" t="n">
        <v>1.454610594931623</v>
      </c>
      <c r="E337" s="6" t="n">
        <v>-1.003668658855008</v>
      </c>
      <c r="F337" s="6" t="n">
        <v>0.9185437189662378</v>
      </c>
      <c r="G337" s="5" t="n">
        <v>0</v>
      </c>
      <c r="H337" s="5" t="n">
        <v>1</v>
      </c>
      <c r="I337" s="5" t="n">
        <v>0</v>
      </c>
      <c r="J337" s="5" t="n">
        <v>0</v>
      </c>
      <c r="K337" s="5" t="n">
        <v>0</v>
      </c>
      <c r="L337" s="5" t="n">
        <v>0</v>
      </c>
      <c r="M337" s="5" t="n">
        <v>1</v>
      </c>
      <c r="N337" s="5" t="n">
        <v>0</v>
      </c>
      <c r="O337" s="5" t="n">
        <v>0</v>
      </c>
      <c r="P337" s="5" t="n">
        <v>0</v>
      </c>
      <c r="Q337" s="5" t="n">
        <v>0</v>
      </c>
      <c r="R337" s="5" t="n">
        <v>1</v>
      </c>
      <c r="S337" s="5" t="n">
        <v>0</v>
      </c>
      <c r="T337" s="5" t="n">
        <v>0</v>
      </c>
      <c r="U337" s="5" t="inlineStr">
        <is>
          <t>training</t>
        </is>
      </c>
      <c r="V337" s="5" t="n">
        <v>1</v>
      </c>
    </row>
    <row r="338">
      <c r="A338" s="5" t="n">
        <v>334</v>
      </c>
      <c r="B338" s="5" t="n">
        <v>1</v>
      </c>
      <c r="C338" s="6" t="n">
        <v>2.297621231823615</v>
      </c>
      <c r="D338" s="6" t="n">
        <v>2.917862041044827</v>
      </c>
      <c r="E338" s="6" t="n">
        <v>-1.003668658855008</v>
      </c>
      <c r="F338" s="6" t="n">
        <v>-0.8850484360866833</v>
      </c>
      <c r="G338" s="5" t="n">
        <v>0</v>
      </c>
      <c r="H338" s="5" t="n">
        <v>0</v>
      </c>
      <c r="I338" s="5" t="n">
        <v>0</v>
      </c>
      <c r="J338" s="5" t="n">
        <v>1</v>
      </c>
      <c r="K338" s="5" t="n">
        <v>0</v>
      </c>
      <c r="L338" s="5" t="n">
        <v>0</v>
      </c>
      <c r="M338" s="5" t="n">
        <v>1</v>
      </c>
      <c r="N338" s="5" t="n">
        <v>0</v>
      </c>
      <c r="O338" s="5" t="n">
        <v>0</v>
      </c>
      <c r="P338" s="5" t="n">
        <v>1</v>
      </c>
      <c r="Q338" s="5" t="n">
        <v>0</v>
      </c>
      <c r="R338" s="5" t="n">
        <v>1</v>
      </c>
      <c r="S338" s="5" t="n">
        <v>0</v>
      </c>
      <c r="T338" s="5" t="n">
        <v>0</v>
      </c>
      <c r="U338" s="5" t="inlineStr">
        <is>
          <t>training</t>
        </is>
      </c>
      <c r="V338" s="5" t="n">
        <v>1</v>
      </c>
    </row>
    <row r="339">
      <c r="A339" s="5" t="n">
        <v>335</v>
      </c>
      <c r="B339" s="5" t="n">
        <v>1</v>
      </c>
      <c r="C339" s="6" t="n">
        <v>0.275406400796963</v>
      </c>
      <c r="D339" s="6" t="n">
        <v>0.3006643325496658</v>
      </c>
      <c r="E339" s="6" t="n">
        <v>-1.090641679553016</v>
      </c>
      <c r="F339" s="6" t="n">
        <v>0.01674764143977723</v>
      </c>
      <c r="G339" s="5" t="n">
        <v>1</v>
      </c>
      <c r="H339" s="5" t="n">
        <v>0</v>
      </c>
      <c r="I339" s="5" t="n">
        <v>0</v>
      </c>
      <c r="J339" s="5" t="n">
        <v>0</v>
      </c>
      <c r="K339" s="5" t="n">
        <v>0</v>
      </c>
      <c r="L339" s="5" t="n">
        <v>1</v>
      </c>
      <c r="M339" s="5" t="n">
        <v>0</v>
      </c>
      <c r="N339" s="5" t="n">
        <v>0</v>
      </c>
      <c r="O339" s="5" t="n">
        <v>0</v>
      </c>
      <c r="P339" s="5" t="n">
        <v>1</v>
      </c>
      <c r="Q339" s="5" t="n">
        <v>0</v>
      </c>
      <c r="R339" s="5" t="n">
        <v>0</v>
      </c>
      <c r="S339" s="5" t="n">
        <v>0</v>
      </c>
      <c r="T339" s="5" t="n">
        <v>1</v>
      </c>
      <c r="U339" s="5" t="inlineStr">
        <is>
          <t>training</t>
        </is>
      </c>
      <c r="V339" s="5" t="n">
        <v>1</v>
      </c>
    </row>
    <row r="340">
      <c r="A340" s="5" t="n">
        <v>336</v>
      </c>
      <c r="B340" s="5" t="n">
        <v>1</v>
      </c>
      <c r="C340" s="6" t="n">
        <v>-1.241254722473026</v>
      </c>
      <c r="D340" s="6" t="n">
        <v>0.04664220201925312</v>
      </c>
      <c r="E340" s="6" t="n">
        <v>0.7357917551051447</v>
      </c>
      <c r="F340" s="6" t="n">
        <v>-1.786844513613144</v>
      </c>
      <c r="G340" s="5" t="n">
        <v>1</v>
      </c>
      <c r="H340" s="5" t="n">
        <v>0</v>
      </c>
      <c r="I340" s="5" t="n">
        <v>0</v>
      </c>
      <c r="J340" s="5" t="n">
        <v>1</v>
      </c>
      <c r="K340" s="5" t="n">
        <v>0</v>
      </c>
      <c r="L340" s="5" t="n">
        <v>0</v>
      </c>
      <c r="M340" s="5" t="n">
        <v>0</v>
      </c>
      <c r="N340" s="5" t="n">
        <v>0</v>
      </c>
      <c r="O340" s="5" t="n">
        <v>0</v>
      </c>
      <c r="P340" s="5" t="n">
        <v>1</v>
      </c>
      <c r="Q340" s="5" t="n">
        <v>0</v>
      </c>
      <c r="R340" s="5" t="n">
        <v>0</v>
      </c>
      <c r="S340" s="5" t="n">
        <v>0</v>
      </c>
      <c r="T340" s="5" t="n">
        <v>1</v>
      </c>
      <c r="U340" s="5" t="inlineStr">
        <is>
          <t>training</t>
        </is>
      </c>
      <c r="V340" s="5" t="n">
        <v>1</v>
      </c>
    </row>
    <row r="341">
      <c r="A341" s="5" t="n">
        <v>337</v>
      </c>
      <c r="B341" s="5" t="n">
        <v>0</v>
      </c>
      <c r="C341" s="6" t="n">
        <v>-0.651442063423586</v>
      </c>
      <c r="D341" s="6" t="n">
        <v>-0.4022701856811869</v>
      </c>
      <c r="E341" s="6" t="n">
        <v>-1.090641679553016</v>
      </c>
      <c r="F341" s="6" t="n">
        <v>-0.8850484360866833</v>
      </c>
      <c r="G341" s="5" t="n">
        <v>0</v>
      </c>
      <c r="H341" s="5" t="n">
        <v>1</v>
      </c>
      <c r="I341" s="5" t="n">
        <v>0</v>
      </c>
      <c r="J341" s="5" t="n">
        <v>0</v>
      </c>
      <c r="K341" s="5" t="n">
        <v>0</v>
      </c>
      <c r="L341" s="5" t="n">
        <v>0</v>
      </c>
      <c r="M341" s="5" t="n">
        <v>0</v>
      </c>
      <c r="N341" s="5" t="n">
        <v>0</v>
      </c>
      <c r="O341" s="5" t="n">
        <v>0</v>
      </c>
      <c r="P341" s="5" t="n">
        <v>0</v>
      </c>
      <c r="Q341" s="5" t="n">
        <v>0</v>
      </c>
      <c r="R341" s="5" t="n">
        <v>0</v>
      </c>
      <c r="S341" s="5" t="n">
        <v>1</v>
      </c>
      <c r="T341" s="5" t="n">
        <v>0</v>
      </c>
      <c r="U341" s="5" t="inlineStr">
        <is>
          <t>training</t>
        </is>
      </c>
      <c r="V341" s="5" t="n">
        <v>0</v>
      </c>
    </row>
    <row r="342">
      <c r="A342" s="5" t="n">
        <v>338</v>
      </c>
      <c r="B342" s="5" t="n">
        <v>1</v>
      </c>
      <c r="C342" s="6" t="n">
        <v>-0.4829241608380317</v>
      </c>
      <c r="D342" s="6" t="n">
        <v>-0.6912815903893424</v>
      </c>
      <c r="E342" s="6" t="n">
        <v>-1.003668658855008</v>
      </c>
      <c r="F342" s="6" t="n">
        <v>0.9185437189662378</v>
      </c>
      <c r="G342" s="5" t="n">
        <v>1</v>
      </c>
      <c r="H342" s="5" t="n">
        <v>0</v>
      </c>
      <c r="I342" s="5" t="n">
        <v>0</v>
      </c>
      <c r="J342" s="5" t="n">
        <v>0</v>
      </c>
      <c r="K342" s="5" t="n">
        <v>0</v>
      </c>
      <c r="L342" s="5" t="n">
        <v>0</v>
      </c>
      <c r="M342" s="5" t="n">
        <v>0</v>
      </c>
      <c r="N342" s="5" t="n">
        <v>0</v>
      </c>
      <c r="O342" s="5" t="n">
        <v>1</v>
      </c>
      <c r="P342" s="5" t="n">
        <v>1</v>
      </c>
      <c r="Q342" s="5" t="n">
        <v>0</v>
      </c>
      <c r="R342" s="5" t="n">
        <v>0</v>
      </c>
      <c r="S342" s="5" t="n">
        <v>0</v>
      </c>
      <c r="T342" s="5" t="n">
        <v>0</v>
      </c>
      <c r="U342" s="5" t="inlineStr">
        <is>
          <t>testing</t>
        </is>
      </c>
      <c r="V342" s="5" t="n">
        <v>0</v>
      </c>
    </row>
    <row r="343">
      <c r="A343" s="5" t="n">
        <v>339</v>
      </c>
      <c r="B343" s="5" t="n">
        <v>0</v>
      </c>
      <c r="C343" s="6" t="n">
        <v>0.275406400796963</v>
      </c>
      <c r="D343" s="6" t="n">
        <v>0.321308004314534</v>
      </c>
      <c r="E343" s="6" t="n">
        <v>-0.6557765760629775</v>
      </c>
      <c r="F343" s="6" t="n">
        <v>0.9185437189662378</v>
      </c>
      <c r="G343" s="5" t="n">
        <v>1</v>
      </c>
      <c r="H343" s="5" t="n">
        <v>0</v>
      </c>
      <c r="I343" s="5" t="n">
        <v>0</v>
      </c>
      <c r="J343" s="5" t="n">
        <v>0</v>
      </c>
      <c r="K343" s="5" t="n">
        <v>0</v>
      </c>
      <c r="L343" s="5" t="n">
        <v>0</v>
      </c>
      <c r="M343" s="5" t="n">
        <v>0</v>
      </c>
      <c r="N343" s="5" t="n">
        <v>0</v>
      </c>
      <c r="O343" s="5" t="n">
        <v>0</v>
      </c>
      <c r="P343" s="5" t="n">
        <v>0</v>
      </c>
      <c r="Q343" s="5" t="n">
        <v>0</v>
      </c>
      <c r="R343" s="5" t="n">
        <v>0</v>
      </c>
      <c r="S343" s="5" t="n">
        <v>0</v>
      </c>
      <c r="T343" s="5" t="n">
        <v>1</v>
      </c>
      <c r="U343" s="5" t="inlineStr">
        <is>
          <t>training</t>
        </is>
      </c>
      <c r="V343" s="5" t="n">
        <v>0</v>
      </c>
    </row>
    <row r="344">
      <c r="A344" s="5" t="n">
        <v>340</v>
      </c>
      <c r="B344" s="5" t="n">
        <v>0</v>
      </c>
      <c r="C344" s="6" t="n">
        <v>-0.9042189173019176</v>
      </c>
      <c r="D344" s="6" t="n">
        <v>-0.6052079759120952</v>
      </c>
      <c r="E344" s="6" t="n">
        <v>-0.3948575139689546</v>
      </c>
      <c r="F344" s="6" t="n">
        <v>0.9185437189662378</v>
      </c>
      <c r="G344" s="5" t="n">
        <v>0</v>
      </c>
      <c r="H344" s="5" t="n">
        <v>1</v>
      </c>
      <c r="I344" s="5" t="n">
        <v>0</v>
      </c>
      <c r="J344" s="5" t="n">
        <v>0</v>
      </c>
      <c r="K344" s="5" t="n">
        <v>0</v>
      </c>
      <c r="L344" s="5" t="n">
        <v>0</v>
      </c>
      <c r="M344" s="5" t="n">
        <v>0</v>
      </c>
      <c r="N344" s="5" t="n">
        <v>0</v>
      </c>
      <c r="O344" s="5" t="n">
        <v>0</v>
      </c>
      <c r="P344" s="5" t="n">
        <v>0</v>
      </c>
      <c r="Q344" s="5" t="n">
        <v>0</v>
      </c>
      <c r="R344" s="5" t="n">
        <v>0</v>
      </c>
      <c r="S344" s="5" t="n">
        <v>0</v>
      </c>
      <c r="T344" s="5" t="n">
        <v>1</v>
      </c>
      <c r="U344" s="5" t="inlineStr">
        <is>
          <t>training</t>
        </is>
      </c>
      <c r="V344" s="5" t="n">
        <v>0</v>
      </c>
    </row>
    <row r="345">
      <c r="A345" s="5" t="n">
        <v>341</v>
      </c>
      <c r="B345" s="5" t="n">
        <v>0</v>
      </c>
      <c r="C345" s="6" t="n">
        <v>0.275406400796963</v>
      </c>
      <c r="D345" s="6" t="n">
        <v>0.8720391798722057</v>
      </c>
      <c r="E345" s="6" t="n">
        <v>-1.003668658855008</v>
      </c>
      <c r="F345" s="6" t="n">
        <v>-0.8850484360866833</v>
      </c>
      <c r="G345" s="5" t="n">
        <v>0</v>
      </c>
      <c r="H345" s="5" t="n">
        <v>1</v>
      </c>
      <c r="I345" s="5" t="n">
        <v>0</v>
      </c>
      <c r="J345" s="5" t="n">
        <v>1</v>
      </c>
      <c r="K345" s="5" t="n">
        <v>0</v>
      </c>
      <c r="L345" s="5" t="n">
        <v>0</v>
      </c>
      <c r="M345" s="5" t="n">
        <v>0</v>
      </c>
      <c r="N345" s="5" t="n">
        <v>0</v>
      </c>
      <c r="O345" s="5" t="n">
        <v>0</v>
      </c>
      <c r="P345" s="5" t="n">
        <v>0</v>
      </c>
      <c r="Q345" s="5" t="n">
        <v>1</v>
      </c>
      <c r="R345" s="5" t="n">
        <v>0</v>
      </c>
      <c r="S345" s="5" t="n">
        <v>0</v>
      </c>
      <c r="T345" s="5" t="n">
        <v>0</v>
      </c>
      <c r="U345" s="5" t="inlineStr">
        <is>
          <t>training</t>
        </is>
      </c>
      <c r="V345" s="5" t="n">
        <v>1</v>
      </c>
    </row>
    <row r="346">
      <c r="A346" s="5" t="n">
        <v>342</v>
      </c>
      <c r="B346" s="5" t="n">
        <v>0</v>
      </c>
      <c r="C346" s="6" t="n">
        <v>0.02262954691863145</v>
      </c>
      <c r="D346" s="6" t="n">
        <v>0.1218691415014001</v>
      </c>
      <c r="E346" s="6" t="n">
        <v>-0.8297226174589928</v>
      </c>
      <c r="F346" s="6" t="n">
        <v>-1.786844513613144</v>
      </c>
      <c r="G346" s="5" t="n">
        <v>1</v>
      </c>
      <c r="H346" s="5" t="n">
        <v>0</v>
      </c>
      <c r="I346" s="5" t="n">
        <v>0</v>
      </c>
      <c r="J346" s="5" t="n">
        <v>0</v>
      </c>
      <c r="K346" s="5" t="n">
        <v>0</v>
      </c>
      <c r="L346" s="5" t="n">
        <v>0</v>
      </c>
      <c r="M346" s="5" t="n">
        <v>0</v>
      </c>
      <c r="N346" s="5" t="n">
        <v>0</v>
      </c>
      <c r="O346" s="5" t="n">
        <v>0</v>
      </c>
      <c r="P346" s="5" t="n">
        <v>1</v>
      </c>
      <c r="Q346" s="5" t="n">
        <v>0</v>
      </c>
      <c r="R346" s="5" t="n">
        <v>0</v>
      </c>
      <c r="S346" s="5" t="n">
        <v>0</v>
      </c>
      <c r="T346" s="5" t="n">
        <v>1</v>
      </c>
      <c r="U346" s="5" t="inlineStr">
        <is>
          <t>testing</t>
        </is>
      </c>
      <c r="V346" s="5" t="n">
        <v>0</v>
      </c>
    </row>
    <row r="347">
      <c r="A347" s="5" t="n">
        <v>343</v>
      </c>
      <c r="B347" s="5" t="n">
        <v>0</v>
      </c>
      <c r="C347" s="6" t="n">
        <v>-0.2301473069597001</v>
      </c>
      <c r="D347" s="6" t="n">
        <v>-0.01318945682468706</v>
      </c>
      <c r="E347" s="6" t="n">
        <v>-0.9166956381570004</v>
      </c>
      <c r="F347" s="6" t="n">
        <v>-1.786844513613144</v>
      </c>
      <c r="G347" s="5" t="n">
        <v>0</v>
      </c>
      <c r="H347" s="5" t="n">
        <v>1</v>
      </c>
      <c r="I347" s="5" t="n">
        <v>0</v>
      </c>
      <c r="J347" s="5" t="n">
        <v>0</v>
      </c>
      <c r="K347" s="5" t="n">
        <v>0</v>
      </c>
      <c r="L347" s="5" t="n">
        <v>0</v>
      </c>
      <c r="M347" s="5" t="n">
        <v>1</v>
      </c>
      <c r="N347" s="5" t="n">
        <v>0</v>
      </c>
      <c r="O347" s="5" t="n">
        <v>0</v>
      </c>
      <c r="P347" s="5" t="n">
        <v>1</v>
      </c>
      <c r="Q347" s="5" t="n">
        <v>0</v>
      </c>
      <c r="R347" s="5" t="n">
        <v>0</v>
      </c>
      <c r="S347" s="5" t="n">
        <v>1</v>
      </c>
      <c r="T347" s="5" t="n">
        <v>0</v>
      </c>
      <c r="U347" s="5" t="inlineStr">
        <is>
          <t>training</t>
        </is>
      </c>
      <c r="V347" s="5" t="n">
        <v>0</v>
      </c>
    </row>
    <row r="348">
      <c r="A348" s="5" t="n">
        <v>344</v>
      </c>
      <c r="B348" s="5" t="n">
        <v>0</v>
      </c>
      <c r="C348" s="6" t="n">
        <v>-0.2301473069597001</v>
      </c>
      <c r="D348" s="6" t="n">
        <v>0.4157790445944396</v>
      </c>
      <c r="E348" s="6" t="n">
        <v>-0.2209114725729393</v>
      </c>
      <c r="F348" s="6" t="n">
        <v>-1.786844513613144</v>
      </c>
      <c r="G348" s="5" t="n">
        <v>0</v>
      </c>
      <c r="H348" s="5" t="n">
        <v>1</v>
      </c>
      <c r="I348" s="5" t="n">
        <v>0</v>
      </c>
      <c r="J348" s="5" t="n">
        <v>0</v>
      </c>
      <c r="K348" s="5" t="n">
        <v>0</v>
      </c>
      <c r="L348" s="5" t="n">
        <v>0</v>
      </c>
      <c r="M348" s="5" t="n">
        <v>0</v>
      </c>
      <c r="N348" s="5" t="n">
        <v>0</v>
      </c>
      <c r="O348" s="5" t="n">
        <v>0</v>
      </c>
      <c r="P348" s="5" t="n">
        <v>0</v>
      </c>
      <c r="Q348" s="5" t="n">
        <v>0</v>
      </c>
      <c r="R348" s="5" t="n">
        <v>0</v>
      </c>
      <c r="S348" s="5" t="n">
        <v>0</v>
      </c>
      <c r="T348" s="5" t="n">
        <v>0</v>
      </c>
      <c r="U348" s="5" t="inlineStr">
        <is>
          <t>testing</t>
        </is>
      </c>
      <c r="V348" s="5" t="n">
        <v>0</v>
      </c>
    </row>
    <row r="349">
      <c r="A349" s="5" t="n">
        <v>345</v>
      </c>
      <c r="B349" s="5" t="n">
        <v>0</v>
      </c>
      <c r="C349" s="6" t="n">
        <v>-0.9042189173019176</v>
      </c>
      <c r="D349" s="6" t="n">
        <v>0.2443316011234999</v>
      </c>
      <c r="E349" s="6" t="n">
        <v>0.1269806102190912</v>
      </c>
      <c r="F349" s="6" t="n">
        <v>-1.786844513613144</v>
      </c>
      <c r="G349" s="5" t="n">
        <v>0</v>
      </c>
      <c r="H349" s="5" t="n">
        <v>0</v>
      </c>
      <c r="I349" s="5" t="n">
        <v>1</v>
      </c>
      <c r="J349" s="5" t="n">
        <v>0</v>
      </c>
      <c r="K349" s="5" t="n">
        <v>0</v>
      </c>
      <c r="L349" s="5" t="n">
        <v>0</v>
      </c>
      <c r="M349" s="5" t="n">
        <v>0</v>
      </c>
      <c r="N349" s="5" t="n">
        <v>0</v>
      </c>
      <c r="O349" s="5" t="n">
        <v>0</v>
      </c>
      <c r="P349" s="5" t="n">
        <v>0</v>
      </c>
      <c r="Q349" s="5" t="n">
        <v>0</v>
      </c>
      <c r="R349" s="5" t="n">
        <v>1</v>
      </c>
      <c r="S349" s="5" t="n">
        <v>0</v>
      </c>
      <c r="T349" s="5" t="n">
        <v>0</v>
      </c>
      <c r="U349" s="5" t="inlineStr">
        <is>
          <t>training</t>
        </is>
      </c>
      <c r="V349" s="5" t="n">
        <v>0</v>
      </c>
    </row>
    <row r="350">
      <c r="A350" s="5" t="n">
        <v>346</v>
      </c>
      <c r="B350" s="5" t="n">
        <v>0</v>
      </c>
      <c r="C350" s="6" t="n">
        <v>-0.4829241608380317</v>
      </c>
      <c r="D350" s="6" t="n">
        <v>-0.6269013259022956</v>
      </c>
      <c r="E350" s="6" t="n">
        <v>0.648818734407137</v>
      </c>
      <c r="F350" s="6" t="n">
        <v>0.9185437189662378</v>
      </c>
      <c r="G350" s="5" t="n">
        <v>0</v>
      </c>
      <c r="H350" s="5" t="n">
        <v>0</v>
      </c>
      <c r="I350" s="5" t="n">
        <v>0</v>
      </c>
      <c r="J350" s="5" t="n">
        <v>1</v>
      </c>
      <c r="K350" s="5" t="n">
        <v>0</v>
      </c>
      <c r="L350" s="5" t="n">
        <v>0</v>
      </c>
      <c r="M350" s="5" t="n">
        <v>0</v>
      </c>
      <c r="N350" s="5" t="n">
        <v>0</v>
      </c>
      <c r="O350" s="5" t="n">
        <v>0</v>
      </c>
      <c r="P350" s="5" t="n">
        <v>0</v>
      </c>
      <c r="Q350" s="5" t="n">
        <v>0</v>
      </c>
      <c r="R350" s="5" t="n">
        <v>0</v>
      </c>
      <c r="S350" s="5" t="n">
        <v>1</v>
      </c>
      <c r="T350" s="5" t="n">
        <v>0</v>
      </c>
      <c r="U350" s="5" t="inlineStr">
        <is>
          <t>training</t>
        </is>
      </c>
      <c r="V350" s="5" t="n">
        <v>0</v>
      </c>
    </row>
    <row r="351">
      <c r="A351" s="5" t="n">
        <v>347</v>
      </c>
      <c r="B351" s="5" t="n">
        <v>0</v>
      </c>
      <c r="C351" s="6" t="n">
        <v>-0.651442063423586</v>
      </c>
      <c r="D351" s="6" t="n">
        <v>-0.8287894379078716</v>
      </c>
      <c r="E351" s="6" t="n">
        <v>-1.090641679553016</v>
      </c>
      <c r="F351" s="6" t="n">
        <v>0.9185437189662378</v>
      </c>
      <c r="G351" s="5" t="n">
        <v>0</v>
      </c>
      <c r="H351" s="5" t="n">
        <v>1</v>
      </c>
      <c r="I351" s="5" t="n">
        <v>0</v>
      </c>
      <c r="J351" s="5" t="n">
        <v>1</v>
      </c>
      <c r="K351" s="5" t="n">
        <v>0</v>
      </c>
      <c r="L351" s="5" t="n">
        <v>0</v>
      </c>
      <c r="M351" s="5" t="n">
        <v>0</v>
      </c>
      <c r="N351" s="5" t="n">
        <v>0</v>
      </c>
      <c r="O351" s="5" t="n">
        <v>0</v>
      </c>
      <c r="P351" s="5" t="n">
        <v>0</v>
      </c>
      <c r="Q351" s="5" t="n">
        <v>0</v>
      </c>
      <c r="R351" s="5" t="n">
        <v>0</v>
      </c>
      <c r="S351" s="5" t="n">
        <v>1</v>
      </c>
      <c r="T351" s="5" t="n">
        <v>0</v>
      </c>
      <c r="U351" s="5" t="inlineStr">
        <is>
          <t>training</t>
        </is>
      </c>
      <c r="V351" s="5" t="n">
        <v>1</v>
      </c>
    </row>
    <row r="352">
      <c r="A352" s="5" t="n">
        <v>348</v>
      </c>
      <c r="B352" s="5" t="n">
        <v>0</v>
      </c>
      <c r="C352" s="6" t="n">
        <v>0.275406400796963</v>
      </c>
      <c r="D352" s="6" t="n">
        <v>0.1775020874440112</v>
      </c>
      <c r="E352" s="6" t="n">
        <v>-1.090641679553016</v>
      </c>
      <c r="F352" s="6" t="n">
        <v>-1.786844513613144</v>
      </c>
      <c r="G352" s="5" t="n">
        <v>0</v>
      </c>
      <c r="H352" s="5" t="n">
        <v>1</v>
      </c>
      <c r="I352" s="5" t="n">
        <v>0</v>
      </c>
      <c r="J352" s="5" t="n">
        <v>0</v>
      </c>
      <c r="K352" s="5" t="n">
        <v>0</v>
      </c>
      <c r="L352" s="5" t="n">
        <v>0</v>
      </c>
      <c r="M352" s="5" t="n">
        <v>1</v>
      </c>
      <c r="N352" s="5" t="n">
        <v>0</v>
      </c>
      <c r="O352" s="5" t="n">
        <v>0</v>
      </c>
      <c r="P352" s="5" t="n">
        <v>1</v>
      </c>
      <c r="Q352" s="5" t="n">
        <v>0</v>
      </c>
      <c r="R352" s="5" t="n">
        <v>0</v>
      </c>
      <c r="S352" s="5" t="n">
        <v>1</v>
      </c>
      <c r="T352" s="5" t="n">
        <v>0</v>
      </c>
      <c r="U352" s="5" t="inlineStr">
        <is>
          <t>training</t>
        </is>
      </c>
      <c r="V352" s="5" t="n">
        <v>1</v>
      </c>
    </row>
    <row r="353">
      <c r="A353" s="5" t="n">
        <v>349</v>
      </c>
      <c r="B353" s="5" t="n">
        <v>0</v>
      </c>
      <c r="C353" s="6" t="n">
        <v>-1.241254722473026</v>
      </c>
      <c r="D353" s="6" t="n">
        <v>-0.5275317872375062</v>
      </c>
      <c r="E353" s="6" t="n">
        <v>-0.1339384518749317</v>
      </c>
      <c r="F353" s="6" t="n">
        <v>-1.786844513613144</v>
      </c>
      <c r="G353" s="5" t="n">
        <v>0</v>
      </c>
      <c r="H353" s="5" t="n">
        <v>0</v>
      </c>
      <c r="I353" s="5" t="n">
        <v>0</v>
      </c>
      <c r="J353" s="5" t="n">
        <v>0</v>
      </c>
      <c r="K353" s="5" t="n">
        <v>1</v>
      </c>
      <c r="L353" s="5" t="n">
        <v>0</v>
      </c>
      <c r="M353" s="5" t="n">
        <v>1</v>
      </c>
      <c r="N353" s="5" t="n">
        <v>0</v>
      </c>
      <c r="O353" s="5" t="n">
        <v>0</v>
      </c>
      <c r="P353" s="5" t="n">
        <v>0</v>
      </c>
      <c r="Q353" s="5" t="n">
        <v>0</v>
      </c>
      <c r="R353" s="5" t="n">
        <v>0</v>
      </c>
      <c r="S353" s="5" t="n">
        <v>0</v>
      </c>
      <c r="T353" s="5" t="n">
        <v>0</v>
      </c>
      <c r="U353" s="5" t="inlineStr">
        <is>
          <t>training</t>
        </is>
      </c>
      <c r="V353" s="5" t="n">
        <v>0</v>
      </c>
    </row>
    <row r="354">
      <c r="A354" s="5" t="n">
        <v>350</v>
      </c>
      <c r="B354" s="5" t="n">
        <v>1</v>
      </c>
      <c r="C354" s="6" t="n">
        <v>-0.9884778685946948</v>
      </c>
      <c r="D354" s="6" t="n">
        <v>-0.7399166814964049</v>
      </c>
      <c r="E354" s="6" t="n">
        <v>-0.307884493270947</v>
      </c>
      <c r="F354" s="6" t="n">
        <v>0.9185437189662378</v>
      </c>
      <c r="G354" s="5" t="n">
        <v>0</v>
      </c>
      <c r="H354" s="5" t="n">
        <v>1</v>
      </c>
      <c r="I354" s="5" t="n">
        <v>0</v>
      </c>
      <c r="J354" s="5" t="n">
        <v>1</v>
      </c>
      <c r="K354" s="5" t="n">
        <v>0</v>
      </c>
      <c r="L354" s="5" t="n">
        <v>0</v>
      </c>
      <c r="M354" s="5" t="n">
        <v>0</v>
      </c>
      <c r="N354" s="5" t="n">
        <v>1</v>
      </c>
      <c r="O354" s="5" t="n">
        <v>0</v>
      </c>
      <c r="P354" s="5" t="n">
        <v>0</v>
      </c>
      <c r="Q354" s="5" t="n">
        <v>1</v>
      </c>
      <c r="R354" s="5" t="n">
        <v>0</v>
      </c>
      <c r="S354" s="5" t="n">
        <v>0</v>
      </c>
      <c r="T354" s="5" t="n">
        <v>0</v>
      </c>
      <c r="U354" s="5" t="inlineStr">
        <is>
          <t>training</t>
        </is>
      </c>
      <c r="V354" s="5" t="n">
        <v>1</v>
      </c>
    </row>
    <row r="355">
      <c r="A355" s="5" t="n">
        <v>351</v>
      </c>
      <c r="B355" s="5" t="n">
        <v>0</v>
      </c>
      <c r="C355" s="6" t="n">
        <v>-0.9884778685946948</v>
      </c>
      <c r="D355" s="6" t="n">
        <v>-0.7049274073186621</v>
      </c>
      <c r="E355" s="6" t="n">
        <v>-1.090641679553016</v>
      </c>
      <c r="F355" s="6" t="n">
        <v>-1.786844513613144</v>
      </c>
      <c r="G355" s="5" t="n">
        <v>0</v>
      </c>
      <c r="H355" s="5" t="n">
        <v>0</v>
      </c>
      <c r="I355" s="5" t="n">
        <v>0</v>
      </c>
      <c r="J355" s="5" t="n">
        <v>0</v>
      </c>
      <c r="K355" s="5" t="n">
        <v>0</v>
      </c>
      <c r="L355" s="5" t="n">
        <v>0</v>
      </c>
      <c r="M355" s="5" t="n">
        <v>0</v>
      </c>
      <c r="N355" s="5" t="n">
        <v>0</v>
      </c>
      <c r="O355" s="5" t="n">
        <v>0</v>
      </c>
      <c r="P355" s="5" t="n">
        <v>1</v>
      </c>
      <c r="Q355" s="5" t="n">
        <v>0</v>
      </c>
      <c r="R355" s="5" t="n">
        <v>0</v>
      </c>
      <c r="S355" s="5" t="n">
        <v>0</v>
      </c>
      <c r="T355" s="5" t="n">
        <v>0</v>
      </c>
      <c r="U355" s="5" t="inlineStr">
        <is>
          <t>training</t>
        </is>
      </c>
      <c r="V355" s="5" t="n">
        <v>1</v>
      </c>
    </row>
    <row r="356">
      <c r="A356" s="5" t="n">
        <v>352</v>
      </c>
      <c r="B356" s="5" t="n">
        <v>1</v>
      </c>
      <c r="C356" s="6" t="n">
        <v>-0.9884778685946948</v>
      </c>
      <c r="D356" s="6" t="n">
        <v>-0.8018476967910096</v>
      </c>
      <c r="E356" s="6" t="n">
        <v>-0.5688035553649698</v>
      </c>
      <c r="F356" s="6" t="n">
        <v>-1.786844513613144</v>
      </c>
      <c r="G356" s="5" t="n">
        <v>0</v>
      </c>
      <c r="H356" s="5" t="n">
        <v>1</v>
      </c>
      <c r="I356" s="5" t="n">
        <v>0</v>
      </c>
      <c r="J356" s="5" t="n">
        <v>0</v>
      </c>
      <c r="K356" s="5" t="n">
        <v>0</v>
      </c>
      <c r="L356" s="5" t="n">
        <v>0</v>
      </c>
      <c r="M356" s="5" t="n">
        <v>0</v>
      </c>
      <c r="N356" s="5" t="n">
        <v>0</v>
      </c>
      <c r="O356" s="5" t="n">
        <v>0</v>
      </c>
      <c r="P356" s="5" t="n">
        <v>0</v>
      </c>
      <c r="Q356" s="5" t="n">
        <v>0</v>
      </c>
      <c r="R356" s="5" t="n">
        <v>0</v>
      </c>
      <c r="S356" s="5" t="n">
        <v>0</v>
      </c>
      <c r="T356" s="5" t="n">
        <v>1</v>
      </c>
      <c r="U356" s="5" t="inlineStr">
        <is>
          <t>training</t>
        </is>
      </c>
      <c r="V356" s="5" t="n">
        <v>1</v>
      </c>
    </row>
    <row r="357">
      <c r="A357" s="5" t="n">
        <v>353</v>
      </c>
      <c r="B357" s="5" t="n">
        <v>0</v>
      </c>
      <c r="C357" s="6" t="n">
        <v>-0.2301473069597001</v>
      </c>
      <c r="D357" s="6" t="n">
        <v>-0.007591172956248209</v>
      </c>
      <c r="E357" s="6" t="n">
        <v>0.2139536309170988</v>
      </c>
      <c r="F357" s="6" t="n">
        <v>-0.8850484360866833</v>
      </c>
      <c r="G357" s="5" t="n">
        <v>0</v>
      </c>
      <c r="H357" s="5" t="n">
        <v>0</v>
      </c>
      <c r="I357" s="5" t="n">
        <v>0</v>
      </c>
      <c r="J357" s="5" t="n">
        <v>1</v>
      </c>
      <c r="K357" s="5" t="n">
        <v>0</v>
      </c>
      <c r="L357" s="5" t="n">
        <v>0</v>
      </c>
      <c r="M357" s="5" t="n">
        <v>0</v>
      </c>
      <c r="N357" s="5" t="n">
        <v>0</v>
      </c>
      <c r="O357" s="5" t="n">
        <v>1</v>
      </c>
      <c r="P357" s="5" t="n">
        <v>0</v>
      </c>
      <c r="Q357" s="5" t="n">
        <v>0</v>
      </c>
      <c r="R357" s="5" t="n">
        <v>1</v>
      </c>
      <c r="S357" s="5" t="n">
        <v>0</v>
      </c>
      <c r="T357" s="5" t="n">
        <v>0</v>
      </c>
      <c r="U357" s="5" t="inlineStr">
        <is>
          <t>training</t>
        </is>
      </c>
      <c r="V357" s="5" t="n">
        <v>0</v>
      </c>
    </row>
    <row r="358">
      <c r="A358" s="5" t="n">
        <v>354</v>
      </c>
      <c r="B358" s="5" t="n">
        <v>1</v>
      </c>
      <c r="C358" s="6" t="n">
        <v>-0.7357010147163632</v>
      </c>
      <c r="D358" s="6" t="n">
        <v>1.031590270122713</v>
      </c>
      <c r="E358" s="6" t="n">
        <v>-0.6557765760629775</v>
      </c>
      <c r="F358" s="6" t="n">
        <v>0.9185437189662378</v>
      </c>
      <c r="G358" s="5" t="n">
        <v>1</v>
      </c>
      <c r="H358" s="5" t="n">
        <v>0</v>
      </c>
      <c r="I358" s="5" t="n">
        <v>0</v>
      </c>
      <c r="J358" s="5" t="n">
        <v>0</v>
      </c>
      <c r="K358" s="5" t="n">
        <v>0</v>
      </c>
      <c r="L358" s="5" t="n">
        <v>1</v>
      </c>
      <c r="M358" s="5" t="n">
        <v>0</v>
      </c>
      <c r="N358" s="5" t="n">
        <v>0</v>
      </c>
      <c r="O358" s="5" t="n">
        <v>0</v>
      </c>
      <c r="P358" s="5" t="n">
        <v>1</v>
      </c>
      <c r="Q358" s="5" t="n">
        <v>0</v>
      </c>
      <c r="R358" s="5" t="n">
        <v>0</v>
      </c>
      <c r="S358" s="5" t="n">
        <v>1</v>
      </c>
      <c r="T358" s="5" t="n">
        <v>0</v>
      </c>
      <c r="U358" s="5" t="inlineStr">
        <is>
          <t>training</t>
        </is>
      </c>
      <c r="V358" s="5" t="n">
        <v>1</v>
      </c>
    </row>
    <row r="359">
      <c r="A359" s="5" t="n">
        <v>355</v>
      </c>
      <c r="B359" s="5" t="n">
        <v>0</v>
      </c>
      <c r="C359" s="6" t="n">
        <v>-0.9042189173019176</v>
      </c>
      <c r="D359" s="6" t="n">
        <v>-0.8830228128833729</v>
      </c>
      <c r="E359" s="6" t="n">
        <v>0.9097377965011599</v>
      </c>
      <c r="F359" s="6" t="n">
        <v>0.9185437189662378</v>
      </c>
      <c r="G359" s="5" t="n">
        <v>0</v>
      </c>
      <c r="H359" s="5" t="n">
        <v>0</v>
      </c>
      <c r="I359" s="5" t="n">
        <v>0</v>
      </c>
      <c r="J359" s="5" t="n">
        <v>0</v>
      </c>
      <c r="K359" s="5" t="n">
        <v>0</v>
      </c>
      <c r="L359" s="5" t="n">
        <v>0</v>
      </c>
      <c r="M359" s="5" t="n">
        <v>1</v>
      </c>
      <c r="N359" s="5" t="n">
        <v>0</v>
      </c>
      <c r="O359" s="5" t="n">
        <v>0</v>
      </c>
      <c r="P359" s="5" t="n">
        <v>0</v>
      </c>
      <c r="Q359" s="5" t="n">
        <v>1</v>
      </c>
      <c r="R359" s="5" t="n">
        <v>0</v>
      </c>
      <c r="S359" s="5" t="n">
        <v>0</v>
      </c>
      <c r="T359" s="5" t="n">
        <v>0</v>
      </c>
      <c r="U359" s="5" t="inlineStr">
        <is>
          <t>training</t>
        </is>
      </c>
      <c r="V359" s="5" t="n">
        <v>0</v>
      </c>
    </row>
    <row r="360">
      <c r="A360" s="5" t="n">
        <v>356</v>
      </c>
      <c r="B360" s="5" t="n">
        <v>1</v>
      </c>
      <c r="C360" s="6" t="n">
        <v>0.275406400796963</v>
      </c>
      <c r="D360" s="6" t="n">
        <v>-0.7014284799008879</v>
      </c>
      <c r="E360" s="6" t="n">
        <v>-1.090641679553016</v>
      </c>
      <c r="F360" s="6" t="n">
        <v>0.9185437189662378</v>
      </c>
      <c r="G360" s="5" t="n">
        <v>0</v>
      </c>
      <c r="H360" s="5" t="n">
        <v>1</v>
      </c>
      <c r="I360" s="5" t="n">
        <v>0</v>
      </c>
      <c r="J360" s="5" t="n">
        <v>0</v>
      </c>
      <c r="K360" s="5" t="n">
        <v>0</v>
      </c>
      <c r="L360" s="5" t="n">
        <v>0</v>
      </c>
      <c r="M360" s="5" t="n">
        <v>0</v>
      </c>
      <c r="N360" s="5" t="n">
        <v>0</v>
      </c>
      <c r="O360" s="5" t="n">
        <v>0</v>
      </c>
      <c r="P360" s="5" t="n">
        <v>0</v>
      </c>
      <c r="Q360" s="5" t="n">
        <v>0</v>
      </c>
      <c r="R360" s="5" t="n">
        <v>1</v>
      </c>
      <c r="S360" s="5" t="n">
        <v>0</v>
      </c>
      <c r="T360" s="5" t="n">
        <v>0</v>
      </c>
      <c r="U360" s="5" t="inlineStr">
        <is>
          <t>training</t>
        </is>
      </c>
      <c r="V360" s="5" t="n">
        <v>1</v>
      </c>
    </row>
    <row r="361">
      <c r="A361" s="5" t="n">
        <v>357</v>
      </c>
      <c r="B361" s="5" t="n">
        <v>0</v>
      </c>
      <c r="C361" s="6" t="n">
        <v>-0.7357010147163632</v>
      </c>
      <c r="D361" s="6" t="n">
        <v>-0.3217948550723785</v>
      </c>
      <c r="E361" s="6" t="n">
        <v>1.170656858595183</v>
      </c>
      <c r="F361" s="6" t="n">
        <v>-1.786844513613144</v>
      </c>
      <c r="G361" s="5" t="n">
        <v>0</v>
      </c>
      <c r="H361" s="5" t="n">
        <v>0</v>
      </c>
      <c r="I361" s="5" t="n">
        <v>0</v>
      </c>
      <c r="J361" s="5" t="n">
        <v>1</v>
      </c>
      <c r="K361" s="5" t="n">
        <v>0</v>
      </c>
      <c r="L361" s="5" t="n">
        <v>0</v>
      </c>
      <c r="M361" s="5" t="n">
        <v>0</v>
      </c>
      <c r="N361" s="5" t="n">
        <v>0</v>
      </c>
      <c r="O361" s="5" t="n">
        <v>1</v>
      </c>
      <c r="P361" s="5" t="n">
        <v>0</v>
      </c>
      <c r="Q361" s="5" t="n">
        <v>0</v>
      </c>
      <c r="R361" s="5" t="n">
        <v>0</v>
      </c>
      <c r="S361" s="5" t="n">
        <v>1</v>
      </c>
      <c r="T361" s="5" t="n">
        <v>0</v>
      </c>
      <c r="U361" s="5" t="inlineStr">
        <is>
          <t>training</t>
        </is>
      </c>
      <c r="V361" s="5" t="n">
        <v>0</v>
      </c>
    </row>
    <row r="362">
      <c r="A362" s="5" t="n">
        <v>358</v>
      </c>
      <c r="B362" s="5" t="n">
        <v>1</v>
      </c>
      <c r="C362" s="6" t="n">
        <v>1.286513816310289</v>
      </c>
      <c r="D362" s="6" t="n">
        <v>0.4241764703970979</v>
      </c>
      <c r="E362" s="6" t="n">
        <v>-0.8297226174589928</v>
      </c>
      <c r="F362" s="6" t="n">
        <v>0.9185437189662378</v>
      </c>
      <c r="G362" s="5" t="n">
        <v>0</v>
      </c>
      <c r="H362" s="5" t="n">
        <v>0</v>
      </c>
      <c r="I362" s="5" t="n">
        <v>0</v>
      </c>
      <c r="J362" s="5" t="n">
        <v>0</v>
      </c>
      <c r="K362" s="5" t="n">
        <v>1</v>
      </c>
      <c r="L362" s="5" t="n">
        <v>0</v>
      </c>
      <c r="M362" s="5" t="n">
        <v>0</v>
      </c>
      <c r="N362" s="5" t="n">
        <v>0</v>
      </c>
      <c r="O362" s="5" t="n">
        <v>0</v>
      </c>
      <c r="P362" s="5" t="n">
        <v>0</v>
      </c>
      <c r="Q362" s="5" t="n">
        <v>0</v>
      </c>
      <c r="R362" s="5" t="n">
        <v>0</v>
      </c>
      <c r="S362" s="5" t="n">
        <v>1</v>
      </c>
      <c r="T362" s="5" t="n">
        <v>0</v>
      </c>
      <c r="U362" s="5" t="inlineStr">
        <is>
          <t>training</t>
        </is>
      </c>
      <c r="V362" s="5" t="n">
        <v>1</v>
      </c>
    </row>
    <row r="363">
      <c r="A363" s="5" t="n">
        <v>359</v>
      </c>
      <c r="B363" s="5" t="n">
        <v>0</v>
      </c>
      <c r="C363" s="6" t="n">
        <v>-0.7357010147163632</v>
      </c>
      <c r="D363" s="6" t="n">
        <v>-0.8658780685362789</v>
      </c>
      <c r="E363" s="6" t="n">
        <v>-0.6557765760629775</v>
      </c>
      <c r="F363" s="6" t="n">
        <v>0.9185437189662378</v>
      </c>
      <c r="G363" s="5" t="n">
        <v>0</v>
      </c>
      <c r="H363" s="5" t="n">
        <v>0</v>
      </c>
      <c r="I363" s="5" t="n">
        <v>0</v>
      </c>
      <c r="J363" s="5" t="n">
        <v>0</v>
      </c>
      <c r="K363" s="5" t="n">
        <v>0</v>
      </c>
      <c r="L363" s="5" t="n">
        <v>0</v>
      </c>
      <c r="M363" s="5" t="n">
        <v>0</v>
      </c>
      <c r="N363" s="5" t="n">
        <v>0</v>
      </c>
      <c r="O363" s="5" t="n">
        <v>0</v>
      </c>
      <c r="P363" s="5" t="n">
        <v>0</v>
      </c>
      <c r="Q363" s="5" t="n">
        <v>0</v>
      </c>
      <c r="R363" s="5" t="n">
        <v>0</v>
      </c>
      <c r="S363" s="5" t="n">
        <v>1</v>
      </c>
      <c r="T363" s="5" t="n">
        <v>0</v>
      </c>
      <c r="U363" s="5" t="inlineStr">
        <is>
          <t>training</t>
        </is>
      </c>
      <c r="V363" s="5" t="n">
        <v>1</v>
      </c>
    </row>
    <row r="364">
      <c r="A364" s="5" t="n">
        <v>360</v>
      </c>
      <c r="B364" s="5" t="n">
        <v>1</v>
      </c>
      <c r="C364" s="6" t="n">
        <v>0.7809601085536261</v>
      </c>
      <c r="D364" s="6" t="n">
        <v>-0.2955528994390714</v>
      </c>
      <c r="E364" s="6" t="n">
        <v>-1.090641679553016</v>
      </c>
      <c r="F364" s="6" t="n">
        <v>0.9185437189662378</v>
      </c>
      <c r="G364" s="5" t="n">
        <v>1</v>
      </c>
      <c r="H364" s="5" t="n">
        <v>0</v>
      </c>
      <c r="I364" s="5" t="n">
        <v>0</v>
      </c>
      <c r="J364" s="5" t="n">
        <v>0</v>
      </c>
      <c r="K364" s="5" t="n">
        <v>0</v>
      </c>
      <c r="L364" s="5" t="n">
        <v>0</v>
      </c>
      <c r="M364" s="5" t="n">
        <v>0</v>
      </c>
      <c r="N364" s="5" t="n">
        <v>0</v>
      </c>
      <c r="O364" s="5" t="n">
        <v>0</v>
      </c>
      <c r="P364" s="5" t="n">
        <v>1</v>
      </c>
      <c r="Q364" s="5" t="n">
        <v>0</v>
      </c>
      <c r="R364" s="5" t="n">
        <v>0</v>
      </c>
      <c r="S364" s="5" t="n">
        <v>0</v>
      </c>
      <c r="T364" s="5" t="n">
        <v>1</v>
      </c>
      <c r="U364" s="5" t="inlineStr">
        <is>
          <t>testing</t>
        </is>
      </c>
      <c r="V364" s="5" t="n">
        <v>0</v>
      </c>
    </row>
    <row r="365">
      <c r="A365" s="5" t="n">
        <v>361</v>
      </c>
      <c r="B365" s="5" t="n">
        <v>0</v>
      </c>
      <c r="C365" s="6" t="n">
        <v>-0.2301473069597001</v>
      </c>
      <c r="D365" s="6" t="n">
        <v>-0.7038777290933298</v>
      </c>
      <c r="E365" s="6" t="n">
        <v>2.214333106971274</v>
      </c>
      <c r="F365" s="6" t="n">
        <v>0.9185437189662378</v>
      </c>
      <c r="G365" s="5" t="n">
        <v>0</v>
      </c>
      <c r="H365" s="5" t="n">
        <v>1</v>
      </c>
      <c r="I365" s="5" t="n">
        <v>0</v>
      </c>
      <c r="J365" s="5" t="n">
        <v>0</v>
      </c>
      <c r="K365" s="5" t="n">
        <v>0</v>
      </c>
      <c r="L365" s="5" t="n">
        <v>0</v>
      </c>
      <c r="M365" s="5" t="n">
        <v>0</v>
      </c>
      <c r="N365" s="5" t="n">
        <v>0</v>
      </c>
      <c r="O365" s="5" t="n">
        <v>1</v>
      </c>
      <c r="P365" s="5" t="n">
        <v>0</v>
      </c>
      <c r="Q365" s="5" t="n">
        <v>1</v>
      </c>
      <c r="R365" s="5" t="n">
        <v>0</v>
      </c>
      <c r="S365" s="5" t="n">
        <v>0</v>
      </c>
      <c r="T365" s="5" t="n">
        <v>0</v>
      </c>
      <c r="U365" s="5" t="inlineStr">
        <is>
          <t>training</t>
        </is>
      </c>
      <c r="V365" s="5" t="n">
        <v>1</v>
      </c>
    </row>
    <row r="366">
      <c r="A366" s="5" t="n">
        <v>362</v>
      </c>
      <c r="B366" s="5" t="n">
        <v>0</v>
      </c>
      <c r="C366" s="6" t="n">
        <v>-0.7357010147163632</v>
      </c>
      <c r="D366" s="6" t="n">
        <v>0.05189059314591454</v>
      </c>
      <c r="E366" s="6" t="n">
        <v>0.1269806102190912</v>
      </c>
      <c r="F366" s="6" t="n">
        <v>-0.8850484360866833</v>
      </c>
      <c r="G366" s="5" t="n">
        <v>0</v>
      </c>
      <c r="H366" s="5" t="n">
        <v>0</v>
      </c>
      <c r="I366" s="5" t="n">
        <v>1</v>
      </c>
      <c r="J366" s="5" t="n">
        <v>0</v>
      </c>
      <c r="K366" s="5" t="n">
        <v>0</v>
      </c>
      <c r="L366" s="5" t="n">
        <v>0</v>
      </c>
      <c r="M366" s="5" t="n">
        <v>0</v>
      </c>
      <c r="N366" s="5" t="n">
        <v>0</v>
      </c>
      <c r="O366" s="5" t="n">
        <v>1</v>
      </c>
      <c r="P366" s="5" t="n">
        <v>0</v>
      </c>
      <c r="Q366" s="5" t="n">
        <v>0</v>
      </c>
      <c r="R366" s="5" t="n">
        <v>0</v>
      </c>
      <c r="S366" s="5" t="n">
        <v>1</v>
      </c>
      <c r="T366" s="5" t="n">
        <v>0</v>
      </c>
      <c r="U366" s="5" t="inlineStr">
        <is>
          <t>testing</t>
        </is>
      </c>
      <c r="V366" s="5" t="n">
        <v>0</v>
      </c>
    </row>
    <row r="367">
      <c r="A367" s="5" t="n">
        <v>363</v>
      </c>
      <c r="B367" s="5" t="n">
        <v>0</v>
      </c>
      <c r="C367" s="6" t="n">
        <v>-0.7357010147163632</v>
      </c>
      <c r="D367" s="6" t="n">
        <v>-0.3511858453816825</v>
      </c>
      <c r="E367" s="6" t="n">
        <v>0.04000758952108359</v>
      </c>
      <c r="F367" s="6" t="n">
        <v>-0.8850484360866833</v>
      </c>
      <c r="G367" s="5" t="n">
        <v>0</v>
      </c>
      <c r="H367" s="5" t="n">
        <v>0</v>
      </c>
      <c r="I367" s="5" t="n">
        <v>1</v>
      </c>
      <c r="J367" s="5" t="n">
        <v>0</v>
      </c>
      <c r="K367" s="5" t="n">
        <v>1</v>
      </c>
      <c r="L367" s="5" t="n">
        <v>0</v>
      </c>
      <c r="M367" s="5" t="n">
        <v>0</v>
      </c>
      <c r="N367" s="5" t="n">
        <v>0</v>
      </c>
      <c r="O367" s="5" t="n">
        <v>0</v>
      </c>
      <c r="P367" s="5" t="n">
        <v>0</v>
      </c>
      <c r="Q367" s="5" t="n">
        <v>0</v>
      </c>
      <c r="R367" s="5" t="n">
        <v>1</v>
      </c>
      <c r="S367" s="5" t="n">
        <v>0</v>
      </c>
      <c r="T367" s="5" t="n">
        <v>0</v>
      </c>
      <c r="U367" s="5" t="inlineStr">
        <is>
          <t>training</t>
        </is>
      </c>
      <c r="V367" s="5" t="n">
        <v>0</v>
      </c>
    </row>
    <row r="368">
      <c r="A368" s="5" t="n">
        <v>364</v>
      </c>
      <c r="B368" s="5" t="n">
        <v>0</v>
      </c>
      <c r="C368" s="6" t="n">
        <v>-1.241254722473026</v>
      </c>
      <c r="D368" s="6" t="n">
        <v>-0.5194842541766252</v>
      </c>
      <c r="E368" s="6" t="n">
        <v>-1.264587720949031</v>
      </c>
      <c r="F368" s="6" t="n">
        <v>-1.786844513613144</v>
      </c>
      <c r="G368" s="5" t="n">
        <v>0</v>
      </c>
      <c r="H368" s="5" t="n">
        <v>0</v>
      </c>
      <c r="I368" s="5" t="n">
        <v>0</v>
      </c>
      <c r="J368" s="5" t="n">
        <v>0</v>
      </c>
      <c r="K368" s="5" t="n">
        <v>0</v>
      </c>
      <c r="L368" s="5" t="n">
        <v>0</v>
      </c>
      <c r="M368" s="5" t="n">
        <v>0</v>
      </c>
      <c r="N368" s="5" t="n">
        <v>0</v>
      </c>
      <c r="O368" s="5" t="n">
        <v>0</v>
      </c>
      <c r="P368" s="5" t="n">
        <v>1</v>
      </c>
      <c r="Q368" s="5" t="n">
        <v>0</v>
      </c>
      <c r="R368" s="5" t="n">
        <v>0</v>
      </c>
      <c r="S368" s="5" t="n">
        <v>0</v>
      </c>
      <c r="T368" s="5" t="n">
        <v>1</v>
      </c>
      <c r="U368" s="5" t="inlineStr">
        <is>
          <t>training</t>
        </is>
      </c>
      <c r="V368" s="5" t="n">
        <v>0</v>
      </c>
    </row>
    <row r="369">
      <c r="A369" s="5" t="n">
        <v>365</v>
      </c>
      <c r="B369" s="5" t="n">
        <v>1</v>
      </c>
      <c r="C369" s="6" t="n">
        <v>-0.2301473069597001</v>
      </c>
      <c r="D369" s="6" t="n">
        <v>-0.2721100857399837</v>
      </c>
      <c r="E369" s="6" t="n">
        <v>-0.9166956381570004</v>
      </c>
      <c r="F369" s="6" t="n">
        <v>0.9185437189662378</v>
      </c>
      <c r="G369" s="5" t="n">
        <v>1</v>
      </c>
      <c r="H369" s="5" t="n">
        <v>0</v>
      </c>
      <c r="I369" s="5" t="n">
        <v>0</v>
      </c>
      <c r="J369" s="5" t="n">
        <v>0</v>
      </c>
      <c r="K369" s="5" t="n">
        <v>0</v>
      </c>
      <c r="L369" s="5" t="n">
        <v>0</v>
      </c>
      <c r="M369" s="5" t="n">
        <v>0</v>
      </c>
      <c r="N369" s="5" t="n">
        <v>0</v>
      </c>
      <c r="O369" s="5" t="n">
        <v>0</v>
      </c>
      <c r="P369" s="5" t="n">
        <v>0</v>
      </c>
      <c r="Q369" s="5" t="n">
        <v>0</v>
      </c>
      <c r="R369" s="5" t="n">
        <v>0</v>
      </c>
      <c r="S369" s="5" t="n">
        <v>0</v>
      </c>
      <c r="T369" s="5" t="n">
        <v>1</v>
      </c>
      <c r="U369" s="5" t="inlineStr">
        <is>
          <t>testing</t>
        </is>
      </c>
      <c r="V369" s="5" t="n">
        <v>0</v>
      </c>
    </row>
    <row r="370">
      <c r="A370" s="5" t="n">
        <v>366</v>
      </c>
      <c r="B370" s="5" t="n">
        <v>0</v>
      </c>
      <c r="C370" s="6" t="n">
        <v>-0.7357010147163632</v>
      </c>
      <c r="D370" s="6" t="n">
        <v>-0.5978602283347692</v>
      </c>
      <c r="E370" s="6" t="n">
        <v>0.04000758952108359</v>
      </c>
      <c r="F370" s="6" t="n">
        <v>-0.8850484360866833</v>
      </c>
      <c r="G370" s="5" t="n">
        <v>0</v>
      </c>
      <c r="H370" s="5" t="n">
        <v>0</v>
      </c>
      <c r="I370" s="5" t="n">
        <v>0</v>
      </c>
      <c r="J370" s="5" t="n">
        <v>0</v>
      </c>
      <c r="K370" s="5" t="n">
        <v>0</v>
      </c>
      <c r="L370" s="5" t="n">
        <v>0</v>
      </c>
      <c r="M370" s="5" t="n">
        <v>0</v>
      </c>
      <c r="N370" s="5" t="n">
        <v>0</v>
      </c>
      <c r="O370" s="5" t="n">
        <v>0</v>
      </c>
      <c r="P370" s="5" t="n">
        <v>0</v>
      </c>
      <c r="Q370" s="5" t="n">
        <v>0</v>
      </c>
      <c r="R370" s="5" t="n">
        <v>0</v>
      </c>
      <c r="S370" s="5" t="n">
        <v>0</v>
      </c>
      <c r="T370" s="5" t="n">
        <v>0</v>
      </c>
      <c r="U370" s="5" t="inlineStr">
        <is>
          <t>testing</t>
        </is>
      </c>
      <c r="V370" s="5" t="n">
        <v>0</v>
      </c>
    </row>
    <row r="371">
      <c r="A371" s="5" t="n">
        <v>367</v>
      </c>
      <c r="B371" s="5" t="n">
        <v>0</v>
      </c>
      <c r="C371" s="6" t="n">
        <v>-0.2301473069597001</v>
      </c>
      <c r="D371" s="6" t="n">
        <v>0.2096922196875345</v>
      </c>
      <c r="E371" s="6" t="n">
        <v>-0.7427495967609852</v>
      </c>
      <c r="F371" s="6" t="n">
        <v>0.01674764143977723</v>
      </c>
      <c r="G371" s="5" t="n">
        <v>0</v>
      </c>
      <c r="H371" s="5" t="n">
        <v>0</v>
      </c>
      <c r="I371" s="5" t="n">
        <v>0</v>
      </c>
      <c r="J371" s="5" t="n">
        <v>1</v>
      </c>
      <c r="K371" s="5" t="n">
        <v>0</v>
      </c>
      <c r="L371" s="5" t="n">
        <v>0</v>
      </c>
      <c r="M371" s="5" t="n">
        <v>0</v>
      </c>
      <c r="N371" s="5" t="n">
        <v>0</v>
      </c>
      <c r="O371" s="5" t="n">
        <v>0</v>
      </c>
      <c r="P371" s="5" t="n">
        <v>0</v>
      </c>
      <c r="Q371" s="5" t="n">
        <v>0</v>
      </c>
      <c r="R371" s="5" t="n">
        <v>1</v>
      </c>
      <c r="S371" s="5" t="n">
        <v>0</v>
      </c>
      <c r="T371" s="5" t="n">
        <v>0</v>
      </c>
      <c r="U371" s="5" t="inlineStr">
        <is>
          <t>training</t>
        </is>
      </c>
      <c r="V371" s="5" t="n">
        <v>0</v>
      </c>
    </row>
    <row r="372">
      <c r="A372" s="5" t="n">
        <v>368</v>
      </c>
      <c r="B372" s="5" t="n">
        <v>0</v>
      </c>
      <c r="C372" s="6" t="n">
        <v>-0.2301473069597001</v>
      </c>
      <c r="D372" s="6" t="n">
        <v>0.139713671332049</v>
      </c>
      <c r="E372" s="6" t="n">
        <v>-1.177614700251023</v>
      </c>
      <c r="F372" s="6" t="n">
        <v>-1.786844513613144</v>
      </c>
      <c r="G372" s="5" t="n">
        <v>1</v>
      </c>
      <c r="H372" s="5" t="n">
        <v>0</v>
      </c>
      <c r="I372" s="5" t="n">
        <v>0</v>
      </c>
      <c r="J372" s="5" t="n">
        <v>0</v>
      </c>
      <c r="K372" s="5" t="n">
        <v>0</v>
      </c>
      <c r="L372" s="5" t="n">
        <v>0</v>
      </c>
      <c r="M372" s="5" t="n">
        <v>0</v>
      </c>
      <c r="N372" s="5" t="n">
        <v>0</v>
      </c>
      <c r="O372" s="5" t="n">
        <v>0</v>
      </c>
      <c r="P372" s="5" t="n">
        <v>1</v>
      </c>
      <c r="Q372" s="5" t="n">
        <v>0</v>
      </c>
      <c r="R372" s="5" t="n">
        <v>0</v>
      </c>
      <c r="S372" s="5" t="n">
        <v>0</v>
      </c>
      <c r="T372" s="5" t="n">
        <v>1</v>
      </c>
      <c r="U372" s="5" t="inlineStr">
        <is>
          <t>training</t>
        </is>
      </c>
      <c r="V372" s="5" t="n">
        <v>0</v>
      </c>
    </row>
    <row r="373">
      <c r="A373" s="5" t="n">
        <v>369</v>
      </c>
      <c r="B373" s="5" t="n">
        <v>1</v>
      </c>
      <c r="C373" s="6" t="n">
        <v>1.286513816310289</v>
      </c>
      <c r="D373" s="6" t="n">
        <v>0.06833555200945365</v>
      </c>
      <c r="E373" s="6" t="n">
        <v>0.5618457137091294</v>
      </c>
      <c r="F373" s="6" t="n">
        <v>0.9185437189662378</v>
      </c>
      <c r="G373" s="5" t="n">
        <v>1</v>
      </c>
      <c r="H373" s="5" t="n">
        <v>0</v>
      </c>
      <c r="I373" s="5" t="n">
        <v>0</v>
      </c>
      <c r="J373" s="5" t="n">
        <v>0</v>
      </c>
      <c r="K373" s="5" t="n">
        <v>0</v>
      </c>
      <c r="L373" s="5" t="n">
        <v>0</v>
      </c>
      <c r="M373" s="5" t="n">
        <v>0</v>
      </c>
      <c r="N373" s="5" t="n">
        <v>0</v>
      </c>
      <c r="O373" s="5" t="n">
        <v>0</v>
      </c>
      <c r="P373" s="5" t="n">
        <v>0</v>
      </c>
      <c r="Q373" s="5" t="n">
        <v>0</v>
      </c>
      <c r="R373" s="5" t="n">
        <v>0</v>
      </c>
      <c r="S373" s="5" t="n">
        <v>0</v>
      </c>
      <c r="T373" s="5" t="n">
        <v>1</v>
      </c>
      <c r="U373" s="5" t="inlineStr">
        <is>
          <t>training</t>
        </is>
      </c>
      <c r="V373" s="5" t="n">
        <v>1</v>
      </c>
    </row>
    <row r="374">
      <c r="A374" s="5" t="n">
        <v>370</v>
      </c>
      <c r="B374" s="5" t="n">
        <v>0</v>
      </c>
      <c r="C374" s="6" t="n">
        <v>-0.2301473069597001</v>
      </c>
      <c r="D374" s="6" t="n">
        <v>-0.08736671808150179</v>
      </c>
      <c r="E374" s="6" t="n">
        <v>0.3878996723131141</v>
      </c>
      <c r="F374" s="6" t="n">
        <v>-0.8850484360866833</v>
      </c>
      <c r="G374" s="5" t="n">
        <v>0</v>
      </c>
      <c r="H374" s="5" t="n">
        <v>1</v>
      </c>
      <c r="I374" s="5" t="n">
        <v>0</v>
      </c>
      <c r="J374" s="5" t="n">
        <v>0</v>
      </c>
      <c r="K374" s="5" t="n">
        <v>0</v>
      </c>
      <c r="L374" s="5" t="n">
        <v>0</v>
      </c>
      <c r="M374" s="5" t="n">
        <v>0</v>
      </c>
      <c r="N374" s="5" t="n">
        <v>0</v>
      </c>
      <c r="O374" s="5" t="n">
        <v>0</v>
      </c>
      <c r="P374" s="5" t="n">
        <v>1</v>
      </c>
      <c r="Q374" s="5" t="n">
        <v>0</v>
      </c>
      <c r="R374" s="5" t="n">
        <v>0</v>
      </c>
      <c r="S374" s="5" t="n">
        <v>0</v>
      </c>
      <c r="T374" s="5" t="n">
        <v>1</v>
      </c>
      <c r="U374" s="5" t="inlineStr">
        <is>
          <t>training</t>
        </is>
      </c>
      <c r="V374" s="5" t="n">
        <v>1</v>
      </c>
    </row>
    <row r="375">
      <c r="A375" s="5" t="n">
        <v>371</v>
      </c>
      <c r="B375" s="5" t="n">
        <v>0</v>
      </c>
      <c r="C375" s="6" t="n">
        <v>1.286513816310289</v>
      </c>
      <c r="D375" s="6" t="n">
        <v>-0.0600750842228624</v>
      </c>
      <c r="E375" s="6" t="n">
        <v>0.04000758952108359</v>
      </c>
      <c r="F375" s="6" t="n">
        <v>0.9185437189662378</v>
      </c>
      <c r="G375" s="5" t="n">
        <v>0</v>
      </c>
      <c r="H375" s="5" t="n">
        <v>0</v>
      </c>
      <c r="I375" s="5" t="n">
        <v>0</v>
      </c>
      <c r="J375" s="5" t="n">
        <v>0</v>
      </c>
      <c r="K375" s="5" t="n">
        <v>0</v>
      </c>
      <c r="L375" s="5" t="n">
        <v>0</v>
      </c>
      <c r="M375" s="5" t="n">
        <v>0</v>
      </c>
      <c r="N375" s="5" t="n">
        <v>0</v>
      </c>
      <c r="O375" s="5" t="n">
        <v>1</v>
      </c>
      <c r="P375" s="5" t="n">
        <v>0</v>
      </c>
      <c r="Q375" s="5" t="n">
        <v>0</v>
      </c>
      <c r="R375" s="5" t="n">
        <v>1</v>
      </c>
      <c r="S375" s="5" t="n">
        <v>0</v>
      </c>
      <c r="T375" s="5" t="n">
        <v>0</v>
      </c>
      <c r="U375" s="5" t="inlineStr">
        <is>
          <t>training</t>
        </is>
      </c>
      <c r="V375" s="5" t="n">
        <v>1</v>
      </c>
    </row>
    <row r="376">
      <c r="A376" s="5" t="n">
        <v>372</v>
      </c>
      <c r="B376" s="5" t="n">
        <v>0</v>
      </c>
      <c r="C376" s="6" t="n">
        <v>-0.2301473069597001</v>
      </c>
      <c r="D376" s="6" t="n">
        <v>0.9864541064334246</v>
      </c>
      <c r="E376" s="6" t="n">
        <v>-0.2209114725729393</v>
      </c>
      <c r="F376" s="6" t="n">
        <v>0.01674764143977723</v>
      </c>
      <c r="G376" s="5" t="n">
        <v>0</v>
      </c>
      <c r="H376" s="5" t="n">
        <v>0</v>
      </c>
      <c r="I376" s="5" t="n">
        <v>0</v>
      </c>
      <c r="J376" s="5" t="n">
        <v>1</v>
      </c>
      <c r="K376" s="5" t="n">
        <v>0</v>
      </c>
      <c r="L376" s="5" t="n">
        <v>0</v>
      </c>
      <c r="M376" s="5" t="n">
        <v>0</v>
      </c>
      <c r="N376" s="5" t="n">
        <v>0</v>
      </c>
      <c r="O376" s="5" t="n">
        <v>0</v>
      </c>
      <c r="P376" s="5" t="n">
        <v>0</v>
      </c>
      <c r="Q376" s="5" t="n">
        <v>0</v>
      </c>
      <c r="R376" s="5" t="n">
        <v>0</v>
      </c>
      <c r="S376" s="5" t="n">
        <v>1</v>
      </c>
      <c r="T376" s="5" t="n">
        <v>0</v>
      </c>
      <c r="U376" s="5" t="inlineStr">
        <is>
          <t>training</t>
        </is>
      </c>
      <c r="V376" s="5" t="n">
        <v>0</v>
      </c>
    </row>
    <row r="377">
      <c r="A377" s="5" t="n">
        <v>373</v>
      </c>
      <c r="B377" s="5" t="n">
        <v>0</v>
      </c>
      <c r="C377" s="6" t="n">
        <v>-0.9042189173019176</v>
      </c>
      <c r="D377" s="6" t="n">
        <v>-0.3865250123012027</v>
      </c>
      <c r="E377" s="6" t="n">
        <v>-1.090641679553016</v>
      </c>
      <c r="F377" s="6" t="n">
        <v>-1.786844513613144</v>
      </c>
      <c r="G377" s="5" t="n">
        <v>0</v>
      </c>
      <c r="H377" s="5" t="n">
        <v>0</v>
      </c>
      <c r="I377" s="5" t="n">
        <v>0</v>
      </c>
      <c r="J377" s="5" t="n">
        <v>1</v>
      </c>
      <c r="K377" s="5" t="n">
        <v>0</v>
      </c>
      <c r="L377" s="5" t="n">
        <v>0</v>
      </c>
      <c r="M377" s="5" t="n">
        <v>0</v>
      </c>
      <c r="N377" s="5" t="n">
        <v>0</v>
      </c>
      <c r="O377" s="5" t="n">
        <v>0</v>
      </c>
      <c r="P377" s="5" t="n">
        <v>1</v>
      </c>
      <c r="Q377" s="5" t="n">
        <v>0</v>
      </c>
      <c r="R377" s="5" t="n">
        <v>0</v>
      </c>
      <c r="S377" s="5" t="n">
        <v>0</v>
      </c>
      <c r="T377" s="5" t="n">
        <v>1</v>
      </c>
      <c r="U377" s="5" t="inlineStr">
        <is>
          <t>training</t>
        </is>
      </c>
      <c r="V377" s="5" t="n">
        <v>0</v>
      </c>
    </row>
    <row r="378">
      <c r="A378" s="5" t="n">
        <v>374</v>
      </c>
      <c r="B378" s="5" t="n">
        <v>0</v>
      </c>
      <c r="C378" s="6" t="n">
        <v>3.308728647336942</v>
      </c>
      <c r="D378" s="6" t="n">
        <v>3.675729719734736</v>
      </c>
      <c r="E378" s="6" t="n">
        <v>2.38827914836729</v>
      </c>
      <c r="F378" s="6" t="n">
        <v>-0.8850484360866833</v>
      </c>
      <c r="G378" s="5" t="n">
        <v>0</v>
      </c>
      <c r="H378" s="5" t="n">
        <v>0</v>
      </c>
      <c r="I378" s="5" t="n">
        <v>0</v>
      </c>
      <c r="J378" s="5" t="n">
        <v>1</v>
      </c>
      <c r="K378" s="5" t="n">
        <v>0</v>
      </c>
      <c r="L378" s="5" t="n">
        <v>0</v>
      </c>
      <c r="M378" s="5" t="n">
        <v>0</v>
      </c>
      <c r="N378" s="5" t="n">
        <v>0</v>
      </c>
      <c r="O378" s="5" t="n">
        <v>1</v>
      </c>
      <c r="P378" s="5" t="n">
        <v>0</v>
      </c>
      <c r="Q378" s="5" t="n">
        <v>1</v>
      </c>
      <c r="R378" s="5" t="n">
        <v>1</v>
      </c>
      <c r="S378" s="5" t="n">
        <v>0</v>
      </c>
      <c r="T378" s="5" t="n">
        <v>0</v>
      </c>
      <c r="U378" s="5" t="inlineStr">
        <is>
          <t>training</t>
        </is>
      </c>
      <c r="V378" s="5" t="n">
        <v>1</v>
      </c>
    </row>
    <row r="379">
      <c r="A379" s="5" t="n">
        <v>375</v>
      </c>
      <c r="B379" s="5" t="n">
        <v>1</v>
      </c>
      <c r="C379" s="6" t="n">
        <v>3.308728647336942</v>
      </c>
      <c r="D379" s="6" t="n">
        <v>4.034719672798377</v>
      </c>
      <c r="E379" s="6" t="n">
        <v>2.127360086273267</v>
      </c>
      <c r="F379" s="6" t="n">
        <v>0.01674764143977723</v>
      </c>
      <c r="G379" s="5" t="n">
        <v>0</v>
      </c>
      <c r="H379" s="5" t="n">
        <v>1</v>
      </c>
      <c r="I379" s="5" t="n">
        <v>0</v>
      </c>
      <c r="J379" s="5" t="n">
        <v>0</v>
      </c>
      <c r="K379" s="5" t="n">
        <v>0</v>
      </c>
      <c r="L379" s="5" t="n">
        <v>1</v>
      </c>
      <c r="M379" s="5" t="n">
        <v>1</v>
      </c>
      <c r="N379" s="5" t="n">
        <v>0</v>
      </c>
      <c r="O379" s="5" t="n">
        <v>0</v>
      </c>
      <c r="P379" s="5" t="n">
        <v>0</v>
      </c>
      <c r="Q379" s="5" t="n">
        <v>1</v>
      </c>
      <c r="R379" s="5" t="n">
        <v>0</v>
      </c>
      <c r="S379" s="5" t="n">
        <v>0</v>
      </c>
      <c r="T379" s="5" t="n">
        <v>0</v>
      </c>
      <c r="U379" s="5" t="inlineStr">
        <is>
          <t>training</t>
        </is>
      </c>
      <c r="V379" s="5" t="n">
        <v>1</v>
      </c>
    </row>
    <row r="380">
      <c r="A380" s="5" t="n">
        <v>376</v>
      </c>
      <c r="B380" s="5" t="n">
        <v>1</v>
      </c>
      <c r="C380" s="6" t="n">
        <v>2.297621231823615</v>
      </c>
      <c r="D380" s="6" t="n">
        <v>1.551530884403971</v>
      </c>
      <c r="E380" s="6" t="n">
        <v>0.1269806102190912</v>
      </c>
      <c r="F380" s="6" t="n">
        <v>-0.8850484360866833</v>
      </c>
      <c r="G380" s="5" t="n">
        <v>1</v>
      </c>
      <c r="H380" s="5" t="n">
        <v>0</v>
      </c>
      <c r="I380" s="5" t="n">
        <v>0</v>
      </c>
      <c r="J380" s="5" t="n">
        <v>0</v>
      </c>
      <c r="K380" s="5" t="n">
        <v>0</v>
      </c>
      <c r="L380" s="5" t="n">
        <v>1</v>
      </c>
      <c r="M380" s="5" t="n">
        <v>0</v>
      </c>
      <c r="N380" s="5" t="n">
        <v>0</v>
      </c>
      <c r="O380" s="5" t="n">
        <v>0</v>
      </c>
      <c r="P380" s="5" t="n">
        <v>1</v>
      </c>
      <c r="Q380" s="5" t="n">
        <v>0</v>
      </c>
      <c r="R380" s="5" t="n">
        <v>0</v>
      </c>
      <c r="S380" s="5" t="n">
        <v>0</v>
      </c>
      <c r="T380" s="5" t="n">
        <v>0</v>
      </c>
      <c r="U380" s="5" t="inlineStr">
        <is>
          <t>training</t>
        </is>
      </c>
      <c r="V380" s="5" t="n">
        <v>1</v>
      </c>
    </row>
    <row r="381">
      <c r="A381" s="5" t="n">
        <v>377</v>
      </c>
      <c r="B381" s="5" t="n">
        <v>0</v>
      </c>
      <c r="C381" s="6" t="n">
        <v>-0.2301473069597001</v>
      </c>
      <c r="D381" s="6" t="n">
        <v>-0.3256436752319302</v>
      </c>
      <c r="E381" s="6" t="n">
        <v>-0.1339384518749317</v>
      </c>
      <c r="F381" s="6" t="n">
        <v>-0.8850484360866833</v>
      </c>
      <c r="G381" s="5" t="n">
        <v>0</v>
      </c>
      <c r="H381" s="5" t="n">
        <v>0</v>
      </c>
      <c r="I381" s="5" t="n">
        <v>0</v>
      </c>
      <c r="J381" s="5" t="n">
        <v>0</v>
      </c>
      <c r="K381" s="5" t="n">
        <v>1</v>
      </c>
      <c r="L381" s="5" t="n">
        <v>0</v>
      </c>
      <c r="M381" s="5" t="n">
        <v>0</v>
      </c>
      <c r="N381" s="5" t="n">
        <v>0</v>
      </c>
      <c r="O381" s="5" t="n">
        <v>0</v>
      </c>
      <c r="P381" s="5" t="n">
        <v>0</v>
      </c>
      <c r="Q381" s="5" t="n">
        <v>0</v>
      </c>
      <c r="R381" s="5" t="n">
        <v>0</v>
      </c>
      <c r="S381" s="5" t="n">
        <v>1</v>
      </c>
      <c r="T381" s="5" t="n">
        <v>0</v>
      </c>
      <c r="U381" s="5" t="inlineStr">
        <is>
          <t>training</t>
        </is>
      </c>
      <c r="V381" s="5" t="n">
        <v>0</v>
      </c>
    </row>
    <row r="382">
      <c r="A382" s="5" t="n">
        <v>378</v>
      </c>
      <c r="B382" s="5" t="n">
        <v>0</v>
      </c>
      <c r="C382" s="6" t="n">
        <v>-1.156995771180249</v>
      </c>
      <c r="D382" s="6" t="n">
        <v>-0.841385576611859</v>
      </c>
      <c r="E382" s="6" t="n">
        <v>0.04000758952108359</v>
      </c>
      <c r="F382" s="6" t="n">
        <v>0.01674764143977723</v>
      </c>
      <c r="G382" s="5" t="n">
        <v>0</v>
      </c>
      <c r="H382" s="5" t="n">
        <v>0</v>
      </c>
      <c r="I382" s="5" t="n">
        <v>0</v>
      </c>
      <c r="J382" s="5" t="n">
        <v>0</v>
      </c>
      <c r="K382" s="5" t="n">
        <v>1</v>
      </c>
      <c r="L382" s="5" t="n">
        <v>0</v>
      </c>
      <c r="M382" s="5" t="n">
        <v>0</v>
      </c>
      <c r="N382" s="5" t="n">
        <v>0</v>
      </c>
      <c r="O382" s="5" t="n">
        <v>1</v>
      </c>
      <c r="P382" s="5" t="n">
        <v>0</v>
      </c>
      <c r="Q382" s="5" t="n">
        <v>1</v>
      </c>
      <c r="R382" s="5" t="n">
        <v>0</v>
      </c>
      <c r="S382" s="5" t="n">
        <v>1</v>
      </c>
      <c r="T382" s="5" t="n">
        <v>0</v>
      </c>
      <c r="U382" s="5" t="inlineStr">
        <is>
          <t>training</t>
        </is>
      </c>
      <c r="V382" s="5" t="n">
        <v>0</v>
      </c>
    </row>
    <row r="383">
      <c r="A383" s="5" t="n">
        <v>379</v>
      </c>
      <c r="B383" s="5" t="n">
        <v>1</v>
      </c>
      <c r="C383" s="6" t="n">
        <v>1.286513816310289</v>
      </c>
      <c r="D383" s="6" t="n">
        <v>3.87236944061365</v>
      </c>
      <c r="E383" s="6" t="n">
        <v>1.866441024179244</v>
      </c>
      <c r="F383" s="6" t="n">
        <v>0.9185437189662378</v>
      </c>
      <c r="G383" s="5" t="n">
        <v>0</v>
      </c>
      <c r="H383" s="5" t="n">
        <v>1</v>
      </c>
      <c r="I383" s="5" t="n">
        <v>0</v>
      </c>
      <c r="J383" s="5" t="n">
        <v>0</v>
      </c>
      <c r="K383" s="5" t="n">
        <v>0</v>
      </c>
      <c r="L383" s="5" t="n">
        <v>0</v>
      </c>
      <c r="M383" s="5" t="n">
        <v>0</v>
      </c>
      <c r="N383" s="5" t="n">
        <v>0</v>
      </c>
      <c r="O383" s="5" t="n">
        <v>0</v>
      </c>
      <c r="P383" s="5" t="n">
        <v>0</v>
      </c>
      <c r="Q383" s="5" t="n">
        <v>1</v>
      </c>
      <c r="R383" s="5" t="n">
        <v>1</v>
      </c>
      <c r="S383" s="5" t="n">
        <v>0</v>
      </c>
      <c r="T383" s="5" t="n">
        <v>0</v>
      </c>
      <c r="U383" s="5" t="inlineStr">
        <is>
          <t>training</t>
        </is>
      </c>
      <c r="V383" s="5" t="n">
        <v>1</v>
      </c>
    </row>
    <row r="384">
      <c r="A384" s="5" t="n">
        <v>380</v>
      </c>
      <c r="B384" s="5" t="n">
        <v>0</v>
      </c>
      <c r="C384" s="6" t="n">
        <v>-1.241254722473026</v>
      </c>
      <c r="D384" s="6" t="n">
        <v>-1.010733663632134</v>
      </c>
      <c r="E384" s="6" t="n">
        <v>1.431575920689206</v>
      </c>
      <c r="F384" s="6" t="n">
        <v>0.9185437189662378</v>
      </c>
      <c r="G384" s="5" t="n">
        <v>0</v>
      </c>
      <c r="H384" s="5" t="n">
        <v>0</v>
      </c>
      <c r="I384" s="5" t="n">
        <v>0</v>
      </c>
      <c r="J384" s="5" t="n">
        <v>1</v>
      </c>
      <c r="K384" s="5" t="n">
        <v>0</v>
      </c>
      <c r="L384" s="5" t="n">
        <v>0</v>
      </c>
      <c r="M384" s="5" t="n">
        <v>1</v>
      </c>
      <c r="N384" s="5" t="n">
        <v>0</v>
      </c>
      <c r="O384" s="5" t="n">
        <v>0</v>
      </c>
      <c r="P384" s="5" t="n">
        <v>0</v>
      </c>
      <c r="Q384" s="5" t="n">
        <v>0</v>
      </c>
      <c r="R384" s="5" t="n">
        <v>1</v>
      </c>
      <c r="S384" s="5" t="n">
        <v>0</v>
      </c>
      <c r="T384" s="5" t="n">
        <v>0</v>
      </c>
      <c r="U384" s="5" t="inlineStr">
        <is>
          <t>training</t>
        </is>
      </c>
      <c r="V384" s="5" t="n">
        <v>1</v>
      </c>
    </row>
    <row r="385">
      <c r="A385" s="5" t="n">
        <v>381</v>
      </c>
      <c r="B385" s="5" t="n">
        <v>0</v>
      </c>
      <c r="C385" s="6" t="n">
        <v>-0.06162940437414574</v>
      </c>
      <c r="D385" s="6" t="n">
        <v>-0.3634320913438924</v>
      </c>
      <c r="E385" s="6" t="n">
        <v>0.3009266516151065</v>
      </c>
      <c r="F385" s="6" t="n">
        <v>0.9185437189662378</v>
      </c>
      <c r="G385" s="5" t="n">
        <v>1</v>
      </c>
      <c r="H385" s="5" t="n">
        <v>0</v>
      </c>
      <c r="I385" s="5" t="n">
        <v>0</v>
      </c>
      <c r="J385" s="5" t="n">
        <v>0</v>
      </c>
      <c r="K385" s="5" t="n">
        <v>0</v>
      </c>
      <c r="L385" s="5" t="n">
        <v>0</v>
      </c>
      <c r="M385" s="5" t="n">
        <v>0</v>
      </c>
      <c r="N385" s="5" t="n">
        <v>0</v>
      </c>
      <c r="O385" s="5" t="n">
        <v>1</v>
      </c>
      <c r="P385" s="5" t="n">
        <v>0</v>
      </c>
      <c r="Q385" s="5" t="n">
        <v>0</v>
      </c>
      <c r="R385" s="5" t="n">
        <v>0</v>
      </c>
      <c r="S385" s="5" t="n">
        <v>0</v>
      </c>
      <c r="T385" s="5" t="n">
        <v>1</v>
      </c>
      <c r="U385" s="5" t="inlineStr">
        <is>
          <t>testing</t>
        </is>
      </c>
      <c r="V385" s="5" t="n">
        <v>0</v>
      </c>
    </row>
    <row r="386">
      <c r="A386" s="5" t="n">
        <v>382</v>
      </c>
      <c r="B386" s="5" t="n">
        <v>1</v>
      </c>
      <c r="C386" s="6" t="n">
        <v>-0.2301473069597001</v>
      </c>
      <c r="D386" s="6" t="n">
        <v>3.402813381148342</v>
      </c>
      <c r="E386" s="6" t="n">
        <v>0.2139536309170988</v>
      </c>
      <c r="F386" s="6" t="n">
        <v>0.01674764143977723</v>
      </c>
      <c r="G386" s="5" t="n">
        <v>0</v>
      </c>
      <c r="H386" s="5" t="n">
        <v>1</v>
      </c>
      <c r="I386" s="5" t="n">
        <v>0</v>
      </c>
      <c r="J386" s="5" t="n">
        <v>0</v>
      </c>
      <c r="K386" s="5" t="n">
        <v>0</v>
      </c>
      <c r="L386" s="5" t="n">
        <v>0</v>
      </c>
      <c r="M386" s="5" t="n">
        <v>0</v>
      </c>
      <c r="N386" s="5" t="n">
        <v>0</v>
      </c>
      <c r="O386" s="5" t="n">
        <v>0</v>
      </c>
      <c r="P386" s="5" t="n">
        <v>0</v>
      </c>
      <c r="Q386" s="5" t="n">
        <v>1</v>
      </c>
      <c r="R386" s="5" t="n">
        <v>1</v>
      </c>
      <c r="S386" s="5" t="n">
        <v>0</v>
      </c>
      <c r="T386" s="5" t="n">
        <v>0</v>
      </c>
      <c r="U386" s="5" t="inlineStr">
        <is>
          <t>testing</t>
        </is>
      </c>
      <c r="V386" s="5" t="n">
        <v>0</v>
      </c>
    </row>
    <row r="387">
      <c r="A387" s="5" t="n">
        <v>383</v>
      </c>
      <c r="B387" s="5" t="n">
        <v>0</v>
      </c>
      <c r="C387" s="6" t="n">
        <v>0.1068884982114086</v>
      </c>
      <c r="D387" s="6" t="n">
        <v>-0.688482448455123</v>
      </c>
      <c r="E387" s="6" t="n">
        <v>-0.9166956381570004</v>
      </c>
      <c r="F387" s="6" t="n">
        <v>0.9185437189662378</v>
      </c>
      <c r="G387" s="5" t="n">
        <v>0</v>
      </c>
      <c r="H387" s="5" t="n">
        <v>0</v>
      </c>
      <c r="I387" s="5" t="n">
        <v>0</v>
      </c>
      <c r="J387" s="5" t="n">
        <v>0</v>
      </c>
      <c r="K387" s="5" t="n">
        <v>0</v>
      </c>
      <c r="L387" s="5" t="n">
        <v>0</v>
      </c>
      <c r="M387" s="5" t="n">
        <v>0</v>
      </c>
      <c r="N387" s="5" t="n">
        <v>0</v>
      </c>
      <c r="O387" s="5" t="n">
        <v>1</v>
      </c>
      <c r="P387" s="5" t="n">
        <v>1</v>
      </c>
      <c r="Q387" s="5" t="n">
        <v>0</v>
      </c>
      <c r="R387" s="5" t="n">
        <v>1</v>
      </c>
      <c r="S387" s="5" t="n">
        <v>0</v>
      </c>
      <c r="T387" s="5" t="n">
        <v>0</v>
      </c>
      <c r="U387" s="5" t="inlineStr">
        <is>
          <t>training</t>
        </is>
      </c>
      <c r="V387" s="5" t="n">
        <v>0</v>
      </c>
    </row>
    <row r="388">
      <c r="A388" s="5" t="n">
        <v>384</v>
      </c>
      <c r="B388" s="5" t="n">
        <v>0</v>
      </c>
      <c r="C388" s="6" t="n">
        <v>-0.7357010147163632</v>
      </c>
      <c r="D388" s="6" t="n">
        <v>-0.6720374895915838</v>
      </c>
      <c r="E388" s="6" t="n">
        <v>-0.8297226174589928</v>
      </c>
      <c r="F388" s="6" t="n">
        <v>0.9185437189662378</v>
      </c>
      <c r="G388" s="5" t="n">
        <v>0</v>
      </c>
      <c r="H388" s="5" t="n">
        <v>0</v>
      </c>
      <c r="I388" s="5" t="n">
        <v>1</v>
      </c>
      <c r="J388" s="5" t="n">
        <v>0</v>
      </c>
      <c r="K388" s="5" t="n">
        <v>0</v>
      </c>
      <c r="L388" s="5" t="n">
        <v>0</v>
      </c>
      <c r="M388" s="5" t="n">
        <v>0</v>
      </c>
      <c r="N388" s="5" t="n">
        <v>0</v>
      </c>
      <c r="O388" s="5" t="n">
        <v>0</v>
      </c>
      <c r="P388" s="5" t="n">
        <v>0</v>
      </c>
      <c r="Q388" s="5" t="n">
        <v>0</v>
      </c>
      <c r="R388" s="5" t="n">
        <v>1</v>
      </c>
      <c r="S388" s="5" t="n">
        <v>0</v>
      </c>
      <c r="T388" s="5" t="n">
        <v>0</v>
      </c>
      <c r="U388" s="5" t="inlineStr">
        <is>
          <t>training</t>
        </is>
      </c>
      <c r="V388" s="5" t="n">
        <v>0</v>
      </c>
    </row>
    <row r="389">
      <c r="A389" s="5" t="n">
        <v>385</v>
      </c>
      <c r="B389" s="5" t="n">
        <v>0</v>
      </c>
      <c r="C389" s="6" t="n">
        <v>0.7809601085536261</v>
      </c>
      <c r="D389" s="6" t="n">
        <v>0.3573469567176091</v>
      </c>
      <c r="E389" s="6" t="n">
        <v>-0.8297226174589928</v>
      </c>
      <c r="F389" s="6" t="n">
        <v>-0.8850484360866833</v>
      </c>
      <c r="G389" s="5" t="n">
        <v>0</v>
      </c>
      <c r="H389" s="5" t="n">
        <v>0</v>
      </c>
      <c r="I389" s="5" t="n">
        <v>0</v>
      </c>
      <c r="J389" s="5" t="n">
        <v>0</v>
      </c>
      <c r="K389" s="5" t="n">
        <v>1</v>
      </c>
      <c r="L389" s="5" t="n">
        <v>0</v>
      </c>
      <c r="M389" s="5" t="n">
        <v>1</v>
      </c>
      <c r="N389" s="5" t="n">
        <v>0</v>
      </c>
      <c r="O389" s="5" t="n">
        <v>0</v>
      </c>
      <c r="P389" s="5" t="n">
        <v>0</v>
      </c>
      <c r="Q389" s="5" t="n">
        <v>0</v>
      </c>
      <c r="R389" s="5" t="n">
        <v>0</v>
      </c>
      <c r="S389" s="5" t="n">
        <v>0</v>
      </c>
      <c r="T389" s="5" t="n">
        <v>0</v>
      </c>
      <c r="U389" s="5" t="inlineStr">
        <is>
          <t>training</t>
        </is>
      </c>
      <c r="V389" s="5" t="n">
        <v>0</v>
      </c>
    </row>
    <row r="390">
      <c r="A390" s="5" t="n">
        <v>386</v>
      </c>
      <c r="B390" s="5" t="n">
        <v>0</v>
      </c>
      <c r="C390" s="6" t="n">
        <v>-0.2301473069597001</v>
      </c>
      <c r="D390" s="6" t="n">
        <v>-0.3543348800576793</v>
      </c>
      <c r="E390" s="6" t="n">
        <v>-0.9166956381570004</v>
      </c>
      <c r="F390" s="6" t="n">
        <v>-0.8850484360866833</v>
      </c>
      <c r="G390" s="5" t="n">
        <v>0</v>
      </c>
      <c r="H390" s="5" t="n">
        <v>0</v>
      </c>
      <c r="I390" s="5" t="n">
        <v>0</v>
      </c>
      <c r="J390" s="5" t="n">
        <v>1</v>
      </c>
      <c r="K390" s="5" t="n">
        <v>0</v>
      </c>
      <c r="L390" s="5" t="n">
        <v>0</v>
      </c>
      <c r="M390" s="5" t="n">
        <v>0</v>
      </c>
      <c r="N390" s="5" t="n">
        <v>0</v>
      </c>
      <c r="O390" s="5" t="n">
        <v>0</v>
      </c>
      <c r="P390" s="5" t="n">
        <v>0</v>
      </c>
      <c r="Q390" s="5" t="n">
        <v>0</v>
      </c>
      <c r="R390" s="5" t="n">
        <v>0</v>
      </c>
      <c r="S390" s="5" t="n">
        <v>1</v>
      </c>
      <c r="T390" s="5" t="n">
        <v>0</v>
      </c>
      <c r="U390" s="5" t="inlineStr">
        <is>
          <t>testing</t>
        </is>
      </c>
      <c r="V390" s="5" t="n">
        <v>0</v>
      </c>
    </row>
    <row r="391">
      <c r="A391" s="5" t="n">
        <v>387</v>
      </c>
      <c r="B391" s="5" t="n">
        <v>0</v>
      </c>
      <c r="C391" s="6" t="n">
        <v>-0.2301473069597001</v>
      </c>
      <c r="D391" s="6" t="n">
        <v>-0.7434156089141791</v>
      </c>
      <c r="E391" s="6" t="n">
        <v>-1.264587720949031</v>
      </c>
      <c r="F391" s="6" t="n">
        <v>0.9185437189662378</v>
      </c>
      <c r="G391" s="5" t="n">
        <v>0</v>
      </c>
      <c r="H391" s="5" t="n">
        <v>0</v>
      </c>
      <c r="I391" s="5" t="n">
        <v>0</v>
      </c>
      <c r="J391" s="5" t="n">
        <v>0</v>
      </c>
      <c r="K391" s="5" t="n">
        <v>0</v>
      </c>
      <c r="L391" s="5" t="n">
        <v>0</v>
      </c>
      <c r="M391" s="5" t="n">
        <v>0</v>
      </c>
      <c r="N391" s="5" t="n">
        <v>0</v>
      </c>
      <c r="O391" s="5" t="n">
        <v>1</v>
      </c>
      <c r="P391" s="5" t="n">
        <v>1</v>
      </c>
      <c r="Q391" s="5" t="n">
        <v>0</v>
      </c>
      <c r="R391" s="5" t="n">
        <v>0</v>
      </c>
      <c r="S391" s="5" t="n">
        <v>1</v>
      </c>
      <c r="T391" s="5" t="n">
        <v>0</v>
      </c>
      <c r="U391" s="5" t="inlineStr">
        <is>
          <t>testing</t>
        </is>
      </c>
      <c r="V391" s="5" t="n">
        <v>0</v>
      </c>
    </row>
    <row r="392">
      <c r="A392" s="5" t="n">
        <v>388</v>
      </c>
      <c r="B392" s="5" t="n">
        <v>0</v>
      </c>
      <c r="C392" s="6" t="n">
        <v>-0.2301473069597001</v>
      </c>
      <c r="D392" s="6" t="n">
        <v>1.442714241711191</v>
      </c>
      <c r="E392" s="6" t="n">
        <v>0.3878996723131141</v>
      </c>
      <c r="F392" s="6" t="n">
        <v>0.9185437189662378</v>
      </c>
      <c r="G392" s="5" t="n">
        <v>0</v>
      </c>
      <c r="H392" s="5" t="n">
        <v>1</v>
      </c>
      <c r="I392" s="5" t="n">
        <v>0</v>
      </c>
      <c r="J392" s="5" t="n">
        <v>1</v>
      </c>
      <c r="K392" s="5" t="n">
        <v>0</v>
      </c>
      <c r="L392" s="5" t="n">
        <v>0</v>
      </c>
      <c r="M392" s="5" t="n">
        <v>0</v>
      </c>
      <c r="N392" s="5" t="n">
        <v>0</v>
      </c>
      <c r="O392" s="5" t="n">
        <v>0</v>
      </c>
      <c r="P392" s="5" t="n">
        <v>0</v>
      </c>
      <c r="Q392" s="5" t="n">
        <v>0</v>
      </c>
      <c r="R392" s="5" t="n">
        <v>0</v>
      </c>
      <c r="S392" s="5" t="n">
        <v>0</v>
      </c>
      <c r="T392" s="5" t="n">
        <v>1</v>
      </c>
      <c r="U392" s="5" t="inlineStr">
        <is>
          <t>training</t>
        </is>
      </c>
      <c r="V392" s="5" t="n">
        <v>1</v>
      </c>
    </row>
    <row r="393">
      <c r="A393" s="5" t="n">
        <v>389</v>
      </c>
      <c r="B393" s="5" t="n">
        <v>0</v>
      </c>
      <c r="C393" s="6" t="n">
        <v>-0.4829241608380317</v>
      </c>
      <c r="D393" s="6" t="n">
        <v>-0.3235443187812657</v>
      </c>
      <c r="E393" s="6" t="n">
        <v>-0.7427495967609852</v>
      </c>
      <c r="F393" s="6" t="n">
        <v>-0.8850484360866833</v>
      </c>
      <c r="G393" s="5" t="n">
        <v>0</v>
      </c>
      <c r="H393" s="5" t="n">
        <v>1</v>
      </c>
      <c r="I393" s="5" t="n">
        <v>0</v>
      </c>
      <c r="J393" s="5" t="n">
        <v>1</v>
      </c>
      <c r="K393" s="5" t="n">
        <v>0</v>
      </c>
      <c r="L393" s="5" t="n">
        <v>0</v>
      </c>
      <c r="M393" s="5" t="n">
        <v>1</v>
      </c>
      <c r="N393" s="5" t="n">
        <v>0</v>
      </c>
      <c r="O393" s="5" t="n">
        <v>0</v>
      </c>
      <c r="P393" s="5" t="n">
        <v>0</v>
      </c>
      <c r="Q393" s="5" t="n">
        <v>0</v>
      </c>
      <c r="R393" s="5" t="n">
        <v>0</v>
      </c>
      <c r="S393" s="5" t="n">
        <v>0</v>
      </c>
      <c r="T393" s="5" t="n">
        <v>0</v>
      </c>
      <c r="U393" s="5" t="inlineStr">
        <is>
          <t>testing</t>
        </is>
      </c>
      <c r="V393" s="5" t="n">
        <v>0</v>
      </c>
    </row>
    <row r="394">
      <c r="A394" s="5" t="n">
        <v>390</v>
      </c>
      <c r="B394" s="5" t="n">
        <v>0</v>
      </c>
      <c r="C394" s="6" t="n">
        <v>-0.9884778685946948</v>
      </c>
      <c r="D394" s="6" t="n">
        <v>-0.63040025332007</v>
      </c>
      <c r="E394" s="6" t="n">
        <v>-0.7427495967609852</v>
      </c>
      <c r="F394" s="6" t="n">
        <v>0.01674764143977723</v>
      </c>
      <c r="G394" s="5" t="n">
        <v>0</v>
      </c>
      <c r="H394" s="5" t="n">
        <v>0</v>
      </c>
      <c r="I394" s="5" t="n">
        <v>0</v>
      </c>
      <c r="J394" s="5" t="n">
        <v>0</v>
      </c>
      <c r="K394" s="5" t="n">
        <v>0</v>
      </c>
      <c r="L394" s="5" t="n">
        <v>0</v>
      </c>
      <c r="M394" s="5" t="n">
        <v>0</v>
      </c>
      <c r="N394" s="5" t="n">
        <v>0</v>
      </c>
      <c r="O394" s="5" t="n">
        <v>0</v>
      </c>
      <c r="P394" s="5" t="n">
        <v>0</v>
      </c>
      <c r="Q394" s="5" t="n">
        <v>0</v>
      </c>
      <c r="R394" s="5" t="n">
        <v>0</v>
      </c>
      <c r="S394" s="5" t="n">
        <v>0</v>
      </c>
      <c r="T394" s="5" t="n">
        <v>0</v>
      </c>
      <c r="U394" s="5" t="inlineStr">
        <is>
          <t>training</t>
        </is>
      </c>
      <c r="V394" s="5" t="n">
        <v>0</v>
      </c>
    </row>
    <row r="395">
      <c r="A395" s="5" t="n">
        <v>391</v>
      </c>
      <c r="B395" s="5" t="n">
        <v>0</v>
      </c>
      <c r="C395" s="6" t="n">
        <v>-0.2301473069597001</v>
      </c>
      <c r="D395" s="6" t="n">
        <v>-0.5005900461206442</v>
      </c>
      <c r="E395" s="6" t="n">
        <v>-0.4818305346669622</v>
      </c>
      <c r="F395" s="6" t="n">
        <v>-0.8850484360866833</v>
      </c>
      <c r="G395" s="5" t="n">
        <v>0</v>
      </c>
      <c r="H395" s="5" t="n">
        <v>0</v>
      </c>
      <c r="I395" s="5" t="n">
        <v>0</v>
      </c>
      <c r="J395" s="5" t="n">
        <v>0</v>
      </c>
      <c r="K395" s="5" t="n">
        <v>0</v>
      </c>
      <c r="L395" s="5" t="n">
        <v>0</v>
      </c>
      <c r="M395" s="5" t="n">
        <v>0</v>
      </c>
      <c r="N395" s="5" t="n">
        <v>0</v>
      </c>
      <c r="O395" s="5" t="n">
        <v>0</v>
      </c>
      <c r="P395" s="5" t="n">
        <v>0</v>
      </c>
      <c r="Q395" s="5" t="n">
        <v>0</v>
      </c>
      <c r="R395" s="5" t="n">
        <v>1</v>
      </c>
      <c r="S395" s="5" t="n">
        <v>0</v>
      </c>
      <c r="T395" s="5" t="n">
        <v>0</v>
      </c>
      <c r="U395" s="5" t="inlineStr">
        <is>
          <t>training</t>
        </is>
      </c>
      <c r="V395" s="5" t="n">
        <v>1</v>
      </c>
    </row>
    <row r="396">
      <c r="A396" s="5" t="n">
        <v>392</v>
      </c>
      <c r="B396" s="5" t="n">
        <v>0</v>
      </c>
      <c r="C396" s="6" t="n">
        <v>-0.7357010147163632</v>
      </c>
      <c r="D396" s="6" t="n">
        <v>-0.7934502709883514</v>
      </c>
      <c r="E396" s="6" t="n">
        <v>-1.438533762345046</v>
      </c>
      <c r="F396" s="6" t="n">
        <v>-1.786844513613144</v>
      </c>
      <c r="G396" s="5" t="n">
        <v>0</v>
      </c>
      <c r="H396" s="5" t="n">
        <v>1</v>
      </c>
      <c r="I396" s="5" t="n">
        <v>0</v>
      </c>
      <c r="J396" s="5" t="n">
        <v>0</v>
      </c>
      <c r="K396" s="5" t="n">
        <v>0</v>
      </c>
      <c r="L396" s="5" t="n">
        <v>0</v>
      </c>
      <c r="M396" s="5" t="n">
        <v>0</v>
      </c>
      <c r="N396" s="5" t="n">
        <v>1</v>
      </c>
      <c r="O396" s="5" t="n">
        <v>0</v>
      </c>
      <c r="P396" s="5" t="n">
        <v>1</v>
      </c>
      <c r="Q396" s="5" t="n">
        <v>0</v>
      </c>
      <c r="R396" s="5" t="n">
        <v>0</v>
      </c>
      <c r="S396" s="5" t="n">
        <v>0</v>
      </c>
      <c r="T396" s="5" t="n">
        <v>1</v>
      </c>
      <c r="U396" s="5" t="inlineStr">
        <is>
          <t>testing</t>
        </is>
      </c>
      <c r="V396" s="5" t="n">
        <v>0</v>
      </c>
    </row>
    <row r="397">
      <c r="A397" s="5" t="n">
        <v>393</v>
      </c>
      <c r="B397" s="5" t="n">
        <v>0</v>
      </c>
      <c r="C397" s="6" t="n">
        <v>1.286513816310289</v>
      </c>
      <c r="D397" s="6" t="n">
        <v>-0.0005933181206996506</v>
      </c>
      <c r="E397" s="6" t="n">
        <v>0.3009266516151065</v>
      </c>
      <c r="F397" s="6" t="n">
        <v>-0.8850484360866833</v>
      </c>
      <c r="G397" s="5" t="n">
        <v>1</v>
      </c>
      <c r="H397" s="5" t="n">
        <v>0</v>
      </c>
      <c r="I397" s="5" t="n">
        <v>0</v>
      </c>
      <c r="J397" s="5" t="n">
        <v>0</v>
      </c>
      <c r="K397" s="5" t="n">
        <v>0</v>
      </c>
      <c r="L397" s="5" t="n">
        <v>0</v>
      </c>
      <c r="M397" s="5" t="n">
        <v>0</v>
      </c>
      <c r="N397" s="5" t="n">
        <v>0</v>
      </c>
      <c r="O397" s="5" t="n">
        <v>0</v>
      </c>
      <c r="P397" s="5" t="n">
        <v>0</v>
      </c>
      <c r="Q397" s="5" t="n">
        <v>1</v>
      </c>
      <c r="R397" s="5" t="n">
        <v>1</v>
      </c>
      <c r="S397" s="5" t="n">
        <v>0</v>
      </c>
      <c r="T397" s="5" t="n">
        <v>0</v>
      </c>
      <c r="U397" s="5" t="inlineStr">
        <is>
          <t>testing</t>
        </is>
      </c>
      <c r="V397" s="5" t="n">
        <v>0</v>
      </c>
    </row>
    <row r="398">
      <c r="A398" s="5" t="n">
        <v>394</v>
      </c>
      <c r="B398" s="5" t="n">
        <v>0</v>
      </c>
      <c r="C398" s="6" t="n">
        <v>-1.241254722473026</v>
      </c>
      <c r="D398" s="6" t="n">
        <v>-0.4526547404971366</v>
      </c>
      <c r="E398" s="6" t="n">
        <v>-0.3948575139689546</v>
      </c>
      <c r="F398" s="6" t="n">
        <v>-1.786844513613144</v>
      </c>
      <c r="G398" s="5" t="n">
        <v>1</v>
      </c>
      <c r="H398" s="5" t="n">
        <v>0</v>
      </c>
      <c r="I398" s="5" t="n">
        <v>0</v>
      </c>
      <c r="J398" s="5" t="n">
        <v>1</v>
      </c>
      <c r="K398" s="5" t="n">
        <v>0</v>
      </c>
      <c r="L398" s="5" t="n">
        <v>0</v>
      </c>
      <c r="M398" s="5" t="n">
        <v>0</v>
      </c>
      <c r="N398" s="5" t="n">
        <v>0</v>
      </c>
      <c r="O398" s="5" t="n">
        <v>0</v>
      </c>
      <c r="P398" s="5" t="n">
        <v>0</v>
      </c>
      <c r="Q398" s="5" t="n">
        <v>0</v>
      </c>
      <c r="R398" s="5" t="n">
        <v>0</v>
      </c>
      <c r="S398" s="5" t="n">
        <v>1</v>
      </c>
      <c r="T398" s="5" t="n">
        <v>0</v>
      </c>
      <c r="U398" s="5" t="inlineStr">
        <is>
          <t>testing</t>
        </is>
      </c>
      <c r="V398" s="5" t="n">
        <v>0</v>
      </c>
    </row>
    <row r="399">
      <c r="A399" s="5" t="n">
        <v>395</v>
      </c>
      <c r="B399" s="5" t="n">
        <v>0</v>
      </c>
      <c r="C399" s="6" t="n">
        <v>-0.9884778685946948</v>
      </c>
      <c r="D399" s="6" t="n">
        <v>-0.2955528994390714</v>
      </c>
      <c r="E399" s="6" t="n">
        <v>-0.3948575139689546</v>
      </c>
      <c r="F399" s="6" t="n">
        <v>-0.8850484360866833</v>
      </c>
      <c r="G399" s="5" t="n">
        <v>0</v>
      </c>
      <c r="H399" s="5" t="n">
        <v>0</v>
      </c>
      <c r="I399" s="5" t="n">
        <v>0</v>
      </c>
      <c r="J399" s="5" t="n">
        <v>1</v>
      </c>
      <c r="K399" s="5" t="n">
        <v>0</v>
      </c>
      <c r="L399" s="5" t="n">
        <v>0</v>
      </c>
      <c r="M399" s="5" t="n">
        <v>0</v>
      </c>
      <c r="N399" s="5" t="n">
        <v>0</v>
      </c>
      <c r="O399" s="5" t="n">
        <v>0</v>
      </c>
      <c r="P399" s="5" t="n">
        <v>0</v>
      </c>
      <c r="Q399" s="5" t="n">
        <v>0</v>
      </c>
      <c r="R399" s="5" t="n">
        <v>0</v>
      </c>
      <c r="S399" s="5" t="n">
        <v>0</v>
      </c>
      <c r="T399" s="5" t="n">
        <v>1</v>
      </c>
      <c r="U399" s="5" t="inlineStr">
        <is>
          <t>training</t>
        </is>
      </c>
      <c r="V399" s="5" t="n">
        <v>0</v>
      </c>
    </row>
    <row r="400">
      <c r="A400" s="5" t="n">
        <v>396</v>
      </c>
      <c r="B400" s="5" t="n">
        <v>0</v>
      </c>
      <c r="C400" s="6" t="n">
        <v>1.539290670188621</v>
      </c>
      <c r="D400" s="6" t="n">
        <v>2.97734380714699</v>
      </c>
      <c r="E400" s="6" t="n">
        <v>-0.307884493270947</v>
      </c>
      <c r="F400" s="6" t="n">
        <v>-0.8850484360866833</v>
      </c>
      <c r="G400" s="5" t="n">
        <v>0</v>
      </c>
      <c r="H400" s="5" t="n">
        <v>1</v>
      </c>
      <c r="I400" s="5" t="n">
        <v>0</v>
      </c>
      <c r="J400" s="5" t="n">
        <v>0</v>
      </c>
      <c r="K400" s="5" t="n">
        <v>1</v>
      </c>
      <c r="L400" s="5" t="n">
        <v>0</v>
      </c>
      <c r="M400" s="5" t="n">
        <v>1</v>
      </c>
      <c r="N400" s="5" t="n">
        <v>0</v>
      </c>
      <c r="O400" s="5" t="n">
        <v>0</v>
      </c>
      <c r="P400" s="5" t="n">
        <v>1</v>
      </c>
      <c r="Q400" s="5" t="n">
        <v>0</v>
      </c>
      <c r="R400" s="5" t="n">
        <v>0</v>
      </c>
      <c r="S400" s="5" t="n">
        <v>0</v>
      </c>
      <c r="T400" s="5" t="n">
        <v>0</v>
      </c>
      <c r="U400" s="5" t="inlineStr">
        <is>
          <t>training</t>
        </is>
      </c>
      <c r="V400" s="5" t="n">
        <v>1</v>
      </c>
    </row>
    <row r="401">
      <c r="A401" s="5" t="n">
        <v>397</v>
      </c>
      <c r="B401" s="5" t="n">
        <v>0</v>
      </c>
      <c r="C401" s="6" t="n">
        <v>-0.7357010147163632</v>
      </c>
      <c r="D401" s="6" t="n">
        <v>-0.2353713478533538</v>
      </c>
      <c r="E401" s="6" t="n">
        <v>1.692494982783229</v>
      </c>
      <c r="F401" s="6" t="n">
        <v>0.01674764143977723</v>
      </c>
      <c r="G401" s="5" t="n">
        <v>1</v>
      </c>
      <c r="H401" s="5" t="n">
        <v>0</v>
      </c>
      <c r="I401" s="5" t="n">
        <v>0</v>
      </c>
      <c r="J401" s="5" t="n">
        <v>0</v>
      </c>
      <c r="K401" s="5" t="n">
        <v>0</v>
      </c>
      <c r="L401" s="5" t="n">
        <v>0</v>
      </c>
      <c r="M401" s="5" t="n">
        <v>0</v>
      </c>
      <c r="N401" s="5" t="n">
        <v>0</v>
      </c>
      <c r="O401" s="5" t="n">
        <v>0</v>
      </c>
      <c r="P401" s="5" t="n">
        <v>0</v>
      </c>
      <c r="Q401" s="5" t="n">
        <v>1</v>
      </c>
      <c r="R401" s="5" t="n">
        <v>0</v>
      </c>
      <c r="S401" s="5" t="n">
        <v>0</v>
      </c>
      <c r="T401" s="5" t="n">
        <v>1</v>
      </c>
      <c r="U401" s="5" t="inlineStr">
        <is>
          <t>testing</t>
        </is>
      </c>
      <c r="V401" s="5" t="n">
        <v>0</v>
      </c>
    </row>
    <row r="402">
      <c r="A402" s="5" t="n">
        <v>398</v>
      </c>
      <c r="B402" s="5" t="n">
        <v>0</v>
      </c>
      <c r="C402" s="6" t="n">
        <v>1.286513816310289</v>
      </c>
      <c r="D402" s="6" t="n">
        <v>-0.3158466784621622</v>
      </c>
      <c r="E402" s="6" t="n">
        <v>0.9097377965011599</v>
      </c>
      <c r="F402" s="6" t="n">
        <v>0.01674764143977723</v>
      </c>
      <c r="G402" s="5" t="n">
        <v>1</v>
      </c>
      <c r="H402" s="5" t="n">
        <v>0</v>
      </c>
      <c r="I402" s="5" t="n">
        <v>0</v>
      </c>
      <c r="J402" s="5" t="n">
        <v>1</v>
      </c>
      <c r="K402" s="5" t="n">
        <v>0</v>
      </c>
      <c r="L402" s="5" t="n">
        <v>0</v>
      </c>
      <c r="M402" s="5" t="n">
        <v>0</v>
      </c>
      <c r="N402" s="5" t="n">
        <v>0</v>
      </c>
      <c r="O402" s="5" t="n">
        <v>0</v>
      </c>
      <c r="P402" s="5" t="n">
        <v>0</v>
      </c>
      <c r="Q402" s="5" t="n">
        <v>0</v>
      </c>
      <c r="R402" s="5" t="n">
        <v>0</v>
      </c>
      <c r="S402" s="5" t="n">
        <v>0</v>
      </c>
      <c r="T402" s="5" t="n">
        <v>1</v>
      </c>
      <c r="U402" s="5" t="inlineStr">
        <is>
          <t>testing</t>
        </is>
      </c>
      <c r="V402" s="5" t="n">
        <v>0</v>
      </c>
    </row>
    <row r="403">
      <c r="A403" s="5" t="n">
        <v>399</v>
      </c>
      <c r="B403" s="5" t="n">
        <v>1</v>
      </c>
      <c r="C403" s="6" t="n">
        <v>-0.7357010147163632</v>
      </c>
      <c r="D403" s="6" t="n">
        <v>-0.7094760129617687</v>
      </c>
      <c r="E403" s="6" t="n">
        <v>0.9097377965011599</v>
      </c>
      <c r="F403" s="6" t="n">
        <v>-1.786844513613144</v>
      </c>
      <c r="G403" s="5" t="n">
        <v>0</v>
      </c>
      <c r="H403" s="5" t="n">
        <v>1</v>
      </c>
      <c r="I403" s="5" t="n">
        <v>0</v>
      </c>
      <c r="J403" s="5" t="n">
        <v>0</v>
      </c>
      <c r="K403" s="5" t="n">
        <v>0</v>
      </c>
      <c r="L403" s="5" t="n">
        <v>0</v>
      </c>
      <c r="M403" s="5" t="n">
        <v>0</v>
      </c>
      <c r="N403" s="5" t="n">
        <v>0</v>
      </c>
      <c r="O403" s="5" t="n">
        <v>0</v>
      </c>
      <c r="P403" s="5" t="n">
        <v>1</v>
      </c>
      <c r="Q403" s="5" t="n">
        <v>0</v>
      </c>
      <c r="R403" s="5" t="n">
        <v>1</v>
      </c>
      <c r="S403" s="5" t="n">
        <v>0</v>
      </c>
      <c r="T403" s="5" t="n">
        <v>0</v>
      </c>
      <c r="U403" s="5" t="inlineStr">
        <is>
          <t>training</t>
        </is>
      </c>
      <c r="V403" s="5" t="n">
        <v>1</v>
      </c>
    </row>
    <row r="404">
      <c r="A404" s="5" t="n">
        <v>400</v>
      </c>
      <c r="B404" s="5" t="n">
        <v>0</v>
      </c>
      <c r="C404" s="6" t="n">
        <v>0.275406400796963</v>
      </c>
      <c r="D404" s="6" t="n">
        <v>-0.6069574396209823</v>
      </c>
      <c r="E404" s="6" t="n">
        <v>0.648818734407137</v>
      </c>
      <c r="F404" s="6" t="n">
        <v>0.9185437189662378</v>
      </c>
      <c r="G404" s="5" t="n">
        <v>0</v>
      </c>
      <c r="H404" s="5" t="n">
        <v>0</v>
      </c>
      <c r="I404" s="5" t="n">
        <v>0</v>
      </c>
      <c r="J404" s="5" t="n">
        <v>1</v>
      </c>
      <c r="K404" s="5" t="n">
        <v>0</v>
      </c>
      <c r="L404" s="5" t="n">
        <v>0</v>
      </c>
      <c r="M404" s="5" t="n">
        <v>0</v>
      </c>
      <c r="N404" s="5" t="n">
        <v>1</v>
      </c>
      <c r="O404" s="5" t="n">
        <v>0</v>
      </c>
      <c r="P404" s="5" t="n">
        <v>0</v>
      </c>
      <c r="Q404" s="5" t="n">
        <v>0</v>
      </c>
      <c r="R404" s="5" t="n">
        <v>0</v>
      </c>
      <c r="S404" s="5" t="n">
        <v>1</v>
      </c>
      <c r="T404" s="5" t="n">
        <v>0</v>
      </c>
      <c r="U404" s="5" t="inlineStr">
        <is>
          <t>training</t>
        </is>
      </c>
      <c r="V404" s="5" t="n">
        <v>1</v>
      </c>
    </row>
    <row r="405">
      <c r="A405" s="5" t="n">
        <v>401</v>
      </c>
      <c r="B405" s="5" t="n">
        <v>0</v>
      </c>
      <c r="C405" s="6" t="n">
        <v>-0.2301473069597001</v>
      </c>
      <c r="D405" s="6" t="n">
        <v>-0.6220028275174116</v>
      </c>
      <c r="E405" s="6" t="n">
        <v>0.3009266516151065</v>
      </c>
      <c r="F405" s="6" t="n">
        <v>0.01674764143977723</v>
      </c>
      <c r="G405" s="5" t="n">
        <v>0</v>
      </c>
      <c r="H405" s="5" t="n">
        <v>0</v>
      </c>
      <c r="I405" s="5" t="n">
        <v>0</v>
      </c>
      <c r="J405" s="5" t="n">
        <v>0</v>
      </c>
      <c r="K405" s="5" t="n">
        <v>0</v>
      </c>
      <c r="L405" s="5" t="n">
        <v>0</v>
      </c>
      <c r="M405" s="5" t="n">
        <v>0</v>
      </c>
      <c r="N405" s="5" t="n">
        <v>0</v>
      </c>
      <c r="O405" s="5" t="n">
        <v>0</v>
      </c>
      <c r="P405" s="5" t="n">
        <v>0</v>
      </c>
      <c r="Q405" s="5" t="n">
        <v>0</v>
      </c>
      <c r="R405" s="5" t="n">
        <v>0</v>
      </c>
      <c r="S405" s="5" t="n">
        <v>1</v>
      </c>
      <c r="T405" s="5" t="n">
        <v>0</v>
      </c>
      <c r="U405" s="5" t="inlineStr">
        <is>
          <t>testing</t>
        </is>
      </c>
      <c r="V405" s="5" t="n">
        <v>0</v>
      </c>
    </row>
    <row r="406">
      <c r="A406" s="5" t="n">
        <v>402</v>
      </c>
      <c r="B406" s="5" t="n">
        <v>0</v>
      </c>
      <c r="C406" s="6" t="n">
        <v>-0.2301473069597001</v>
      </c>
      <c r="D406" s="6" t="n">
        <v>-0.4771472324215565</v>
      </c>
      <c r="E406" s="6" t="n">
        <v>-0.6557765760629775</v>
      </c>
      <c r="F406" s="6" t="n">
        <v>0.9185437189662378</v>
      </c>
      <c r="G406" s="5" t="n">
        <v>0</v>
      </c>
      <c r="H406" s="5" t="n">
        <v>1</v>
      </c>
      <c r="I406" s="5" t="n">
        <v>0</v>
      </c>
      <c r="J406" s="5" t="n">
        <v>1</v>
      </c>
      <c r="K406" s="5" t="n">
        <v>0</v>
      </c>
      <c r="L406" s="5" t="n">
        <v>0</v>
      </c>
      <c r="M406" s="5" t="n">
        <v>0</v>
      </c>
      <c r="N406" s="5" t="n">
        <v>0</v>
      </c>
      <c r="O406" s="5" t="n">
        <v>1</v>
      </c>
      <c r="P406" s="5" t="n">
        <v>0</v>
      </c>
      <c r="Q406" s="5" t="n">
        <v>0</v>
      </c>
      <c r="R406" s="5" t="n">
        <v>0</v>
      </c>
      <c r="S406" s="5" t="n">
        <v>0</v>
      </c>
      <c r="T406" s="5" t="n">
        <v>0</v>
      </c>
      <c r="U406" s="5" t="inlineStr">
        <is>
          <t>training</t>
        </is>
      </c>
      <c r="V406" s="5" t="n">
        <v>1</v>
      </c>
    </row>
    <row r="407">
      <c r="A407" s="5" t="n">
        <v>403</v>
      </c>
      <c r="B407" s="5" t="n">
        <v>1</v>
      </c>
      <c r="C407" s="6" t="n">
        <v>0.275406400796963</v>
      </c>
      <c r="D407" s="6" t="n">
        <v>1.888477594735634</v>
      </c>
      <c r="E407" s="6" t="n">
        <v>-0.7427495967609852</v>
      </c>
      <c r="F407" s="6" t="n">
        <v>-0.8850484360866833</v>
      </c>
      <c r="G407" s="5" t="n">
        <v>0</v>
      </c>
      <c r="H407" s="5" t="n">
        <v>0</v>
      </c>
      <c r="I407" s="5" t="n">
        <v>0</v>
      </c>
      <c r="J407" s="5" t="n">
        <v>0</v>
      </c>
      <c r="K407" s="5" t="n">
        <v>1</v>
      </c>
      <c r="L407" s="5" t="n">
        <v>0</v>
      </c>
      <c r="M407" s="5" t="n">
        <v>0</v>
      </c>
      <c r="N407" s="5" t="n">
        <v>0</v>
      </c>
      <c r="O407" s="5" t="n">
        <v>0</v>
      </c>
      <c r="P407" s="5" t="n">
        <v>0</v>
      </c>
      <c r="Q407" s="5" t="n">
        <v>0</v>
      </c>
      <c r="R407" s="5" t="n">
        <v>0</v>
      </c>
      <c r="S407" s="5" t="n">
        <v>0</v>
      </c>
      <c r="T407" s="5" t="n">
        <v>0</v>
      </c>
      <c r="U407" s="5" t="inlineStr">
        <is>
          <t>training</t>
        </is>
      </c>
      <c r="V407" s="5" t="n">
        <v>1</v>
      </c>
    </row>
    <row r="408">
      <c r="A408" s="5" t="n">
        <v>404</v>
      </c>
      <c r="B408" s="5" t="n">
        <v>0</v>
      </c>
      <c r="C408" s="6" t="n">
        <v>-0.5671831121308089</v>
      </c>
      <c r="D408" s="6" t="n">
        <v>-0.8567808572500658</v>
      </c>
      <c r="E408" s="6" t="n">
        <v>-0.7427495967609852</v>
      </c>
      <c r="F408" s="6" t="n">
        <v>0.9185437189662378</v>
      </c>
      <c r="G408" s="5" t="n">
        <v>0</v>
      </c>
      <c r="H408" s="5" t="n">
        <v>0</v>
      </c>
      <c r="I408" s="5" t="n">
        <v>0</v>
      </c>
      <c r="J408" s="5" t="n">
        <v>0</v>
      </c>
      <c r="K408" s="5" t="n">
        <v>1</v>
      </c>
      <c r="L408" s="5" t="n">
        <v>0</v>
      </c>
      <c r="M408" s="5" t="n">
        <v>0</v>
      </c>
      <c r="N408" s="5" t="n">
        <v>0</v>
      </c>
      <c r="O408" s="5" t="n">
        <v>0</v>
      </c>
      <c r="P408" s="5" t="n">
        <v>0</v>
      </c>
      <c r="Q408" s="5" t="n">
        <v>0</v>
      </c>
      <c r="R408" s="5" t="n">
        <v>1</v>
      </c>
      <c r="S408" s="5" t="n">
        <v>0</v>
      </c>
      <c r="T408" s="5" t="n">
        <v>0</v>
      </c>
      <c r="U408" s="5" t="inlineStr">
        <is>
          <t>training</t>
        </is>
      </c>
      <c r="V408" s="5" t="n">
        <v>0</v>
      </c>
    </row>
    <row r="409">
      <c r="A409" s="5" t="n">
        <v>405</v>
      </c>
      <c r="B409" s="5" t="n">
        <v>0</v>
      </c>
      <c r="C409" s="6" t="n">
        <v>-0.2301473069597001</v>
      </c>
      <c r="D409" s="6" t="n">
        <v>-0.1230557777427994</v>
      </c>
      <c r="E409" s="6" t="n">
        <v>0.648818734407137</v>
      </c>
      <c r="F409" s="6" t="n">
        <v>0.9185437189662378</v>
      </c>
      <c r="G409" s="5" t="n">
        <v>0</v>
      </c>
      <c r="H409" s="5" t="n">
        <v>1</v>
      </c>
      <c r="I409" s="5" t="n">
        <v>0</v>
      </c>
      <c r="J409" s="5" t="n">
        <v>0</v>
      </c>
      <c r="K409" s="5" t="n">
        <v>1</v>
      </c>
      <c r="L409" s="5" t="n">
        <v>0</v>
      </c>
      <c r="M409" s="5" t="n">
        <v>0</v>
      </c>
      <c r="N409" s="5" t="n">
        <v>0</v>
      </c>
      <c r="O409" s="5" t="n">
        <v>1</v>
      </c>
      <c r="P409" s="5" t="n">
        <v>0</v>
      </c>
      <c r="Q409" s="5" t="n">
        <v>0</v>
      </c>
      <c r="R409" s="5" t="n">
        <v>1</v>
      </c>
      <c r="S409" s="5" t="n">
        <v>0</v>
      </c>
      <c r="T409" s="5" t="n">
        <v>0</v>
      </c>
      <c r="U409" s="5" t="inlineStr">
        <is>
          <t>training</t>
        </is>
      </c>
      <c r="V409" s="5" t="n">
        <v>1</v>
      </c>
    </row>
    <row r="410">
      <c r="A410" s="5" t="n">
        <v>406</v>
      </c>
      <c r="B410" s="5" t="n">
        <v>1</v>
      </c>
      <c r="C410" s="6" t="n">
        <v>0.275406400796963</v>
      </c>
      <c r="D410" s="6" t="n">
        <v>-0.4239635356713874</v>
      </c>
      <c r="E410" s="6" t="n">
        <v>-1.177614700251023</v>
      </c>
      <c r="F410" s="6" t="n">
        <v>-1.786844513613144</v>
      </c>
      <c r="G410" s="5" t="n">
        <v>0</v>
      </c>
      <c r="H410" s="5" t="n">
        <v>1</v>
      </c>
      <c r="I410" s="5" t="n">
        <v>0</v>
      </c>
      <c r="J410" s="5" t="n">
        <v>0</v>
      </c>
      <c r="K410" s="5" t="n">
        <v>0</v>
      </c>
      <c r="L410" s="5" t="n">
        <v>0</v>
      </c>
      <c r="M410" s="5" t="n">
        <v>0</v>
      </c>
      <c r="N410" s="5" t="n">
        <v>0</v>
      </c>
      <c r="O410" s="5" t="n">
        <v>0</v>
      </c>
      <c r="P410" s="5" t="n">
        <v>0</v>
      </c>
      <c r="Q410" s="5" t="n">
        <v>0</v>
      </c>
      <c r="R410" s="5" t="n">
        <v>0</v>
      </c>
      <c r="S410" s="5" t="n">
        <v>1</v>
      </c>
      <c r="T410" s="5" t="n">
        <v>0</v>
      </c>
      <c r="U410" s="5" t="inlineStr">
        <is>
          <t>training</t>
        </is>
      </c>
      <c r="V410" s="5" t="n">
        <v>1</v>
      </c>
    </row>
    <row r="411">
      <c r="A411" s="5" t="n">
        <v>407</v>
      </c>
      <c r="B411" s="5" t="n">
        <v>0</v>
      </c>
      <c r="C411" s="6" t="n">
        <v>0.275406400796963</v>
      </c>
      <c r="D411" s="6" t="n">
        <v>-0.3686804824705538</v>
      </c>
      <c r="E411" s="6" t="n">
        <v>0.648818734407137</v>
      </c>
      <c r="F411" s="6" t="n">
        <v>0.9185437189662378</v>
      </c>
      <c r="G411" s="5" t="n">
        <v>0</v>
      </c>
      <c r="H411" s="5" t="n">
        <v>0</v>
      </c>
      <c r="I411" s="5" t="n">
        <v>0</v>
      </c>
      <c r="J411" s="5" t="n">
        <v>1</v>
      </c>
      <c r="K411" s="5" t="n">
        <v>0</v>
      </c>
      <c r="L411" s="5" t="n">
        <v>0</v>
      </c>
      <c r="M411" s="5" t="n">
        <v>0</v>
      </c>
      <c r="N411" s="5" t="n">
        <v>0</v>
      </c>
      <c r="O411" s="5" t="n">
        <v>1</v>
      </c>
      <c r="P411" s="5" t="n">
        <v>0</v>
      </c>
      <c r="Q411" s="5" t="n">
        <v>0</v>
      </c>
      <c r="R411" s="5" t="n">
        <v>1</v>
      </c>
      <c r="S411" s="5" t="n">
        <v>0</v>
      </c>
      <c r="T411" s="5" t="n">
        <v>0</v>
      </c>
      <c r="U411" s="5" t="inlineStr">
        <is>
          <t>training</t>
        </is>
      </c>
      <c r="V411" s="5" t="n">
        <v>0</v>
      </c>
    </row>
    <row r="412">
      <c r="A412" s="5" t="n">
        <v>408</v>
      </c>
      <c r="B412" s="5" t="n">
        <v>0</v>
      </c>
      <c r="C412" s="6" t="n">
        <v>-0.4829241608380317</v>
      </c>
      <c r="D412" s="6" t="n">
        <v>-0.7689577790639314</v>
      </c>
      <c r="E412" s="6" t="n">
        <v>-0.7427495967609852</v>
      </c>
      <c r="F412" s="6" t="n">
        <v>0.9185437189662378</v>
      </c>
      <c r="G412" s="5" t="n">
        <v>1</v>
      </c>
      <c r="H412" s="5" t="n">
        <v>0</v>
      </c>
      <c r="I412" s="5" t="n">
        <v>0</v>
      </c>
      <c r="J412" s="5" t="n">
        <v>0</v>
      </c>
      <c r="K412" s="5" t="n">
        <v>0</v>
      </c>
      <c r="L412" s="5" t="n">
        <v>0</v>
      </c>
      <c r="M412" s="5" t="n">
        <v>0</v>
      </c>
      <c r="N412" s="5" t="n">
        <v>0</v>
      </c>
      <c r="O412" s="5" t="n">
        <v>0</v>
      </c>
      <c r="P412" s="5" t="n">
        <v>0</v>
      </c>
      <c r="Q412" s="5" t="n">
        <v>0</v>
      </c>
      <c r="R412" s="5" t="n">
        <v>0</v>
      </c>
      <c r="S412" s="5" t="n">
        <v>1</v>
      </c>
      <c r="T412" s="5" t="n">
        <v>0</v>
      </c>
      <c r="U412" s="5" t="inlineStr">
        <is>
          <t>testing</t>
        </is>
      </c>
      <c r="V412" s="5" t="n">
        <v>0</v>
      </c>
    </row>
    <row r="413">
      <c r="A413" s="5" t="n">
        <v>409</v>
      </c>
      <c r="B413" s="5" t="n">
        <v>0</v>
      </c>
      <c r="C413" s="6" t="n">
        <v>0.275406400796963</v>
      </c>
      <c r="D413" s="6" t="n">
        <v>-0.005491816505583642</v>
      </c>
      <c r="E413" s="6" t="n">
        <v>-0.8297226174589928</v>
      </c>
      <c r="F413" s="6" t="n">
        <v>0.01674764143977723</v>
      </c>
      <c r="G413" s="5" t="n">
        <v>0</v>
      </c>
      <c r="H413" s="5" t="n">
        <v>0</v>
      </c>
      <c r="I413" s="5" t="n">
        <v>0</v>
      </c>
      <c r="J413" s="5" t="n">
        <v>0</v>
      </c>
      <c r="K413" s="5" t="n">
        <v>0</v>
      </c>
      <c r="L413" s="5" t="n">
        <v>0</v>
      </c>
      <c r="M413" s="5" t="n">
        <v>1</v>
      </c>
      <c r="N413" s="5" t="n">
        <v>0</v>
      </c>
      <c r="O413" s="5" t="n">
        <v>0</v>
      </c>
      <c r="P413" s="5" t="n">
        <v>0</v>
      </c>
      <c r="Q413" s="5" t="n">
        <v>0</v>
      </c>
      <c r="R413" s="5" t="n">
        <v>0</v>
      </c>
      <c r="S413" s="5" t="n">
        <v>1</v>
      </c>
      <c r="T413" s="5" t="n">
        <v>0</v>
      </c>
      <c r="U413" s="5" t="inlineStr">
        <is>
          <t>training</t>
        </is>
      </c>
      <c r="V413" s="5" t="n">
        <v>0</v>
      </c>
    </row>
    <row r="414">
      <c r="A414" s="5" t="n">
        <v>410</v>
      </c>
      <c r="B414" s="5" t="n">
        <v>1</v>
      </c>
      <c r="C414" s="6" t="n">
        <v>-0.7357010147163632</v>
      </c>
      <c r="D414" s="6" t="n">
        <v>-0.8088455516265582</v>
      </c>
      <c r="E414" s="6" t="n">
        <v>-0.6557765760629775</v>
      </c>
      <c r="F414" s="6" t="n">
        <v>0.9185437189662378</v>
      </c>
      <c r="G414" s="5" t="n">
        <v>0</v>
      </c>
      <c r="H414" s="5" t="n">
        <v>0</v>
      </c>
      <c r="I414" s="5" t="n">
        <v>1</v>
      </c>
      <c r="J414" s="5" t="n">
        <v>1</v>
      </c>
      <c r="K414" s="5" t="n">
        <v>0</v>
      </c>
      <c r="L414" s="5" t="n">
        <v>0</v>
      </c>
      <c r="M414" s="5" t="n">
        <v>1</v>
      </c>
      <c r="N414" s="5" t="n">
        <v>0</v>
      </c>
      <c r="O414" s="5" t="n">
        <v>0</v>
      </c>
      <c r="P414" s="5" t="n">
        <v>0</v>
      </c>
      <c r="Q414" s="5" t="n">
        <v>0</v>
      </c>
      <c r="R414" s="5" t="n">
        <v>1</v>
      </c>
      <c r="S414" s="5" t="n">
        <v>0</v>
      </c>
      <c r="T414" s="5" t="n">
        <v>0</v>
      </c>
      <c r="U414" s="5" t="inlineStr">
        <is>
          <t>testing</t>
        </is>
      </c>
      <c r="V414" s="5" t="n">
        <v>0</v>
      </c>
    </row>
    <row r="415">
      <c r="A415" s="5" t="n">
        <v>411</v>
      </c>
      <c r="B415" s="5" t="n">
        <v>0</v>
      </c>
      <c r="C415" s="6" t="n">
        <v>0.275406400796963</v>
      </c>
      <c r="D415" s="6" t="n">
        <v>-0.4491558130793623</v>
      </c>
      <c r="E415" s="6" t="n">
        <v>-1.351560741647039</v>
      </c>
      <c r="F415" s="6" t="n">
        <v>0.9185437189662378</v>
      </c>
      <c r="G415" s="5" t="n">
        <v>0</v>
      </c>
      <c r="H415" s="5" t="n">
        <v>1</v>
      </c>
      <c r="I415" s="5" t="n">
        <v>0</v>
      </c>
      <c r="J415" s="5" t="n">
        <v>0</v>
      </c>
      <c r="K415" s="5" t="n">
        <v>0</v>
      </c>
      <c r="L415" s="5" t="n">
        <v>0</v>
      </c>
      <c r="M415" s="5" t="n">
        <v>0</v>
      </c>
      <c r="N415" s="5" t="n">
        <v>0</v>
      </c>
      <c r="O415" s="5" t="n">
        <v>0</v>
      </c>
      <c r="P415" s="5" t="n">
        <v>0</v>
      </c>
      <c r="Q415" s="5" t="n">
        <v>0</v>
      </c>
      <c r="R415" s="5" t="n">
        <v>0</v>
      </c>
      <c r="S415" s="5" t="n">
        <v>1</v>
      </c>
      <c r="T415" s="5" t="n">
        <v>0</v>
      </c>
      <c r="U415" s="5" t="inlineStr">
        <is>
          <t>testing</t>
        </is>
      </c>
      <c r="V415" s="5" t="n">
        <v>0</v>
      </c>
    </row>
    <row r="416">
      <c r="A416" s="5" t="n">
        <v>412</v>
      </c>
      <c r="B416" s="5" t="n">
        <v>0</v>
      </c>
      <c r="C416" s="6" t="n">
        <v>1.033736962431958</v>
      </c>
      <c r="D416" s="6" t="n">
        <v>1.400377219956122</v>
      </c>
      <c r="E416" s="6" t="n">
        <v>-0.04696543117692405</v>
      </c>
      <c r="F416" s="6" t="n">
        <v>0.01674764143977723</v>
      </c>
      <c r="G416" s="5" t="n">
        <v>0</v>
      </c>
      <c r="H416" s="5" t="n">
        <v>0</v>
      </c>
      <c r="I416" s="5" t="n">
        <v>0</v>
      </c>
      <c r="J416" s="5" t="n">
        <v>1</v>
      </c>
      <c r="K416" s="5" t="n">
        <v>0</v>
      </c>
      <c r="L416" s="5" t="n">
        <v>0</v>
      </c>
      <c r="M416" s="5" t="n">
        <v>0</v>
      </c>
      <c r="N416" s="5" t="n">
        <v>0</v>
      </c>
      <c r="O416" s="5" t="n">
        <v>0</v>
      </c>
      <c r="P416" s="5" t="n">
        <v>0</v>
      </c>
      <c r="Q416" s="5" t="n">
        <v>0</v>
      </c>
      <c r="R416" s="5" t="n">
        <v>1</v>
      </c>
      <c r="S416" s="5" t="n">
        <v>0</v>
      </c>
      <c r="T416" s="5" t="n">
        <v>0</v>
      </c>
      <c r="U416" s="5" t="inlineStr">
        <is>
          <t>testing</t>
        </is>
      </c>
      <c r="V416" s="5" t="n">
        <v>0</v>
      </c>
    </row>
    <row r="417">
      <c r="A417" s="5" t="n">
        <v>413</v>
      </c>
      <c r="B417" s="5" t="n">
        <v>1</v>
      </c>
      <c r="C417" s="6" t="n">
        <v>-0.7357010147163632</v>
      </c>
      <c r="D417" s="6" t="n">
        <v>-0.3354406720016982</v>
      </c>
      <c r="E417" s="6" t="n">
        <v>0.5618457137091294</v>
      </c>
      <c r="F417" s="6" t="n">
        <v>0.9185437189662378</v>
      </c>
      <c r="G417" s="5" t="n">
        <v>0</v>
      </c>
      <c r="H417" s="5" t="n">
        <v>0</v>
      </c>
      <c r="I417" s="5" t="n">
        <v>0</v>
      </c>
      <c r="J417" s="5" t="n">
        <v>1</v>
      </c>
      <c r="K417" s="5" t="n">
        <v>0</v>
      </c>
      <c r="L417" s="5" t="n">
        <v>0</v>
      </c>
      <c r="M417" s="5" t="n">
        <v>0</v>
      </c>
      <c r="N417" s="5" t="n">
        <v>0</v>
      </c>
      <c r="O417" s="5" t="n">
        <v>0</v>
      </c>
      <c r="P417" s="5" t="n">
        <v>0</v>
      </c>
      <c r="Q417" s="5" t="n">
        <v>0</v>
      </c>
      <c r="R417" s="5" t="n">
        <v>0</v>
      </c>
      <c r="S417" s="5" t="n">
        <v>0</v>
      </c>
      <c r="T417" s="5" t="n">
        <v>0</v>
      </c>
      <c r="U417" s="5" t="inlineStr">
        <is>
          <t>training</t>
        </is>
      </c>
      <c r="V417" s="5" t="n">
        <v>1</v>
      </c>
    </row>
    <row r="418">
      <c r="A418" s="5" t="n">
        <v>414</v>
      </c>
      <c r="B418" s="5" t="n">
        <v>0</v>
      </c>
      <c r="C418" s="6" t="n">
        <v>-0.9042189173019176</v>
      </c>
      <c r="D418" s="6" t="n">
        <v>-0.5786161275370106</v>
      </c>
      <c r="E418" s="6" t="n">
        <v>0.3878996723131141</v>
      </c>
      <c r="F418" s="6" t="n">
        <v>0.01674764143977723</v>
      </c>
      <c r="G418" s="5" t="n">
        <v>0</v>
      </c>
      <c r="H418" s="5" t="n">
        <v>0</v>
      </c>
      <c r="I418" s="5" t="n">
        <v>0</v>
      </c>
      <c r="J418" s="5" t="n">
        <v>0</v>
      </c>
      <c r="K418" s="5" t="n">
        <v>0</v>
      </c>
      <c r="L418" s="5" t="n">
        <v>0</v>
      </c>
      <c r="M418" s="5" t="n">
        <v>1</v>
      </c>
      <c r="N418" s="5" t="n">
        <v>0</v>
      </c>
      <c r="O418" s="5" t="n">
        <v>0</v>
      </c>
      <c r="P418" s="5" t="n">
        <v>1</v>
      </c>
      <c r="Q418" s="5" t="n">
        <v>0</v>
      </c>
      <c r="R418" s="5" t="n">
        <v>1</v>
      </c>
      <c r="S418" s="5" t="n">
        <v>0</v>
      </c>
      <c r="T418" s="5" t="n">
        <v>0</v>
      </c>
      <c r="U418" s="5" t="inlineStr">
        <is>
          <t>training</t>
        </is>
      </c>
      <c r="V418" s="5" t="n">
        <v>0</v>
      </c>
    </row>
    <row r="419">
      <c r="A419" s="5" t="n">
        <v>415</v>
      </c>
      <c r="B419" s="5" t="n">
        <v>1</v>
      </c>
      <c r="C419" s="6" t="n">
        <v>0.275406400796963</v>
      </c>
      <c r="D419" s="6" t="n">
        <v>-0.6541929597609351</v>
      </c>
      <c r="E419" s="6" t="n">
        <v>-0.04696543117692405</v>
      </c>
      <c r="F419" s="6" t="n">
        <v>0.9185437189662378</v>
      </c>
      <c r="G419" s="5" t="n">
        <v>1</v>
      </c>
      <c r="H419" s="5" t="n">
        <v>0</v>
      </c>
      <c r="I419" s="5" t="n">
        <v>0</v>
      </c>
      <c r="J419" s="5" t="n">
        <v>0</v>
      </c>
      <c r="K419" s="5" t="n">
        <v>0</v>
      </c>
      <c r="L419" s="5" t="n">
        <v>0</v>
      </c>
      <c r="M419" s="5" t="n">
        <v>0</v>
      </c>
      <c r="N419" s="5" t="n">
        <v>0</v>
      </c>
      <c r="O419" s="5" t="n">
        <v>1</v>
      </c>
      <c r="P419" s="5" t="n">
        <v>0</v>
      </c>
      <c r="Q419" s="5" t="n">
        <v>0</v>
      </c>
      <c r="R419" s="5" t="n">
        <v>1</v>
      </c>
      <c r="S419" s="5" t="n">
        <v>0</v>
      </c>
      <c r="T419" s="5" t="n">
        <v>0</v>
      </c>
      <c r="U419" s="5" t="inlineStr">
        <is>
          <t>training</t>
        </is>
      </c>
      <c r="V419" s="5" t="n">
        <v>1</v>
      </c>
    </row>
    <row r="420">
      <c r="A420" s="5" t="n">
        <v>416</v>
      </c>
      <c r="B420" s="5" t="n">
        <v>0</v>
      </c>
      <c r="C420" s="6" t="n">
        <v>1.286513816310289</v>
      </c>
      <c r="D420" s="6" t="n">
        <v>0.906678561308171</v>
      </c>
      <c r="E420" s="6" t="n">
        <v>-0.04696543117692405</v>
      </c>
      <c r="F420" s="6" t="n">
        <v>-0.8850484360866833</v>
      </c>
      <c r="G420" s="5" t="n">
        <v>0</v>
      </c>
      <c r="H420" s="5" t="n">
        <v>0</v>
      </c>
      <c r="I420" s="5" t="n">
        <v>0</v>
      </c>
      <c r="J420" s="5" t="n">
        <v>1</v>
      </c>
      <c r="K420" s="5" t="n">
        <v>0</v>
      </c>
      <c r="L420" s="5" t="n">
        <v>0</v>
      </c>
      <c r="M420" s="5" t="n">
        <v>0</v>
      </c>
      <c r="N420" s="5" t="n">
        <v>0</v>
      </c>
      <c r="O420" s="5" t="n">
        <v>0</v>
      </c>
      <c r="P420" s="5" t="n">
        <v>0</v>
      </c>
      <c r="Q420" s="5" t="n">
        <v>0</v>
      </c>
      <c r="R420" s="5" t="n">
        <v>1</v>
      </c>
      <c r="S420" s="5" t="n">
        <v>0</v>
      </c>
      <c r="T420" s="5" t="n">
        <v>0</v>
      </c>
      <c r="U420" s="5" t="inlineStr">
        <is>
          <t>training</t>
        </is>
      </c>
      <c r="V420" s="5" t="n">
        <v>0</v>
      </c>
    </row>
    <row r="421">
      <c r="A421" s="5" t="n">
        <v>417</v>
      </c>
      <c r="B421" s="5" t="n">
        <v>1</v>
      </c>
      <c r="C421" s="6" t="n">
        <v>-0.7357010147163632</v>
      </c>
      <c r="D421" s="6" t="n">
        <v>-0.2350214551115764</v>
      </c>
      <c r="E421" s="6" t="n">
        <v>-0.2209114725729393</v>
      </c>
      <c r="F421" s="6" t="n">
        <v>0.9185437189662378</v>
      </c>
      <c r="G421" s="5" t="n">
        <v>1</v>
      </c>
      <c r="H421" s="5" t="n">
        <v>0</v>
      </c>
      <c r="I421" s="5" t="n">
        <v>0</v>
      </c>
      <c r="J421" s="5" t="n">
        <v>0</v>
      </c>
      <c r="K421" s="5" t="n">
        <v>0</v>
      </c>
      <c r="L421" s="5" t="n">
        <v>0</v>
      </c>
      <c r="M421" s="5" t="n">
        <v>0</v>
      </c>
      <c r="N421" s="5" t="n">
        <v>0</v>
      </c>
      <c r="O421" s="5" t="n">
        <v>0</v>
      </c>
      <c r="P421" s="5" t="n">
        <v>0</v>
      </c>
      <c r="Q421" s="5" t="n">
        <v>0</v>
      </c>
      <c r="R421" s="5" t="n">
        <v>1</v>
      </c>
      <c r="S421" s="5" t="n">
        <v>0</v>
      </c>
      <c r="T421" s="5" t="n">
        <v>0</v>
      </c>
      <c r="U421" s="5" t="inlineStr">
        <is>
          <t>testing</t>
        </is>
      </c>
      <c r="V421" s="5" t="n">
        <v>0</v>
      </c>
    </row>
    <row r="422">
      <c r="A422" s="5" t="n">
        <v>418</v>
      </c>
      <c r="B422" s="5" t="n">
        <v>0</v>
      </c>
      <c r="C422" s="6" t="n">
        <v>-0.2301473069597001</v>
      </c>
      <c r="D422" s="6" t="n">
        <v>1.826546579441029</v>
      </c>
      <c r="E422" s="6" t="n">
        <v>-1.090641679553016</v>
      </c>
      <c r="F422" s="6" t="n">
        <v>-1.786844513613144</v>
      </c>
      <c r="G422" s="5" t="n">
        <v>1</v>
      </c>
      <c r="H422" s="5" t="n">
        <v>0</v>
      </c>
      <c r="I422" s="5" t="n">
        <v>0</v>
      </c>
      <c r="J422" s="5" t="n">
        <v>0</v>
      </c>
      <c r="K422" s="5" t="n">
        <v>1</v>
      </c>
      <c r="L422" s="5" t="n">
        <v>0</v>
      </c>
      <c r="M422" s="5" t="n">
        <v>0</v>
      </c>
      <c r="N422" s="5" t="n">
        <v>0</v>
      </c>
      <c r="O422" s="5" t="n">
        <v>1</v>
      </c>
      <c r="P422" s="5" t="n">
        <v>1</v>
      </c>
      <c r="Q422" s="5" t="n">
        <v>0</v>
      </c>
      <c r="R422" s="5" t="n">
        <v>0</v>
      </c>
      <c r="S422" s="5" t="n">
        <v>0</v>
      </c>
      <c r="T422" s="5" t="n">
        <v>0</v>
      </c>
      <c r="U422" s="5" t="inlineStr">
        <is>
          <t>training</t>
        </is>
      </c>
      <c r="V422" s="5" t="n">
        <v>0</v>
      </c>
    </row>
    <row r="423">
      <c r="A423" s="5" t="n">
        <v>419</v>
      </c>
      <c r="B423" s="5" t="n">
        <v>0</v>
      </c>
      <c r="C423" s="6" t="n">
        <v>0.02262954691863145</v>
      </c>
      <c r="D423" s="6" t="n">
        <v>-0.1639932285307585</v>
      </c>
      <c r="E423" s="6" t="n">
        <v>-0.3948575139689546</v>
      </c>
      <c r="F423" s="6" t="n">
        <v>-1.786844513613144</v>
      </c>
      <c r="G423" s="5" t="n">
        <v>0</v>
      </c>
      <c r="H423" s="5" t="n">
        <v>0</v>
      </c>
      <c r="I423" s="5" t="n">
        <v>0</v>
      </c>
      <c r="J423" s="5" t="n">
        <v>0</v>
      </c>
      <c r="K423" s="5" t="n">
        <v>0</v>
      </c>
      <c r="L423" s="5" t="n">
        <v>0</v>
      </c>
      <c r="M423" s="5" t="n">
        <v>1</v>
      </c>
      <c r="N423" s="5" t="n">
        <v>0</v>
      </c>
      <c r="O423" s="5" t="n">
        <v>0</v>
      </c>
      <c r="P423" s="5" t="n">
        <v>0</v>
      </c>
      <c r="Q423" s="5" t="n">
        <v>0</v>
      </c>
      <c r="R423" s="5" t="n">
        <v>1</v>
      </c>
      <c r="S423" s="5" t="n">
        <v>0</v>
      </c>
      <c r="T423" s="5" t="n">
        <v>0</v>
      </c>
      <c r="U423" s="5" t="inlineStr">
        <is>
          <t>training</t>
        </is>
      </c>
      <c r="V423" s="5" t="n">
        <v>1</v>
      </c>
    </row>
    <row r="424">
      <c r="A424" s="5" t="n">
        <v>420</v>
      </c>
      <c r="B424" s="5" t="n">
        <v>1</v>
      </c>
      <c r="C424" s="6" t="n">
        <v>-0.2301473069597001</v>
      </c>
      <c r="D424" s="6" t="n">
        <v>-0.7728065992234832</v>
      </c>
      <c r="E424" s="6" t="n">
        <v>-0.2209114725729393</v>
      </c>
      <c r="F424" s="6" t="n">
        <v>0.9185437189662378</v>
      </c>
      <c r="G424" s="5" t="n">
        <v>0</v>
      </c>
      <c r="H424" s="5" t="n">
        <v>1</v>
      </c>
      <c r="I424" s="5" t="n">
        <v>0</v>
      </c>
      <c r="J424" s="5" t="n">
        <v>0</v>
      </c>
      <c r="K424" s="5" t="n">
        <v>0</v>
      </c>
      <c r="L424" s="5" t="n">
        <v>0</v>
      </c>
      <c r="M424" s="5" t="n">
        <v>0</v>
      </c>
      <c r="N424" s="5" t="n">
        <v>0</v>
      </c>
      <c r="O424" s="5" t="n">
        <v>1</v>
      </c>
      <c r="P424" s="5" t="n">
        <v>0</v>
      </c>
      <c r="Q424" s="5" t="n">
        <v>0</v>
      </c>
      <c r="R424" s="5" t="n">
        <v>1</v>
      </c>
      <c r="S424" s="5" t="n">
        <v>0</v>
      </c>
      <c r="T424" s="5" t="n">
        <v>0</v>
      </c>
      <c r="U424" s="5" t="inlineStr">
        <is>
          <t>training</t>
        </is>
      </c>
      <c r="V424" s="5" t="n">
        <v>1</v>
      </c>
    </row>
    <row r="425">
      <c r="A425" s="5" t="n">
        <v>421</v>
      </c>
      <c r="B425" s="5" t="n">
        <v>0</v>
      </c>
      <c r="C425" s="6" t="n">
        <v>-0.4829241608380317</v>
      </c>
      <c r="D425" s="6" t="n">
        <v>-0.02263656085267761</v>
      </c>
      <c r="E425" s="6" t="n">
        <v>-1.351560741647039</v>
      </c>
      <c r="F425" s="6" t="n">
        <v>-0.8850484360866833</v>
      </c>
      <c r="G425" s="5" t="n">
        <v>0</v>
      </c>
      <c r="H425" s="5" t="n">
        <v>0</v>
      </c>
      <c r="I425" s="5" t="n">
        <v>0</v>
      </c>
      <c r="J425" s="5" t="n">
        <v>0</v>
      </c>
      <c r="K425" s="5" t="n">
        <v>0</v>
      </c>
      <c r="L425" s="5" t="n">
        <v>0</v>
      </c>
      <c r="M425" s="5" t="n">
        <v>0</v>
      </c>
      <c r="N425" s="5" t="n">
        <v>1</v>
      </c>
      <c r="O425" s="5" t="n">
        <v>0</v>
      </c>
      <c r="P425" s="5" t="n">
        <v>1</v>
      </c>
      <c r="Q425" s="5" t="n">
        <v>0</v>
      </c>
      <c r="R425" s="5" t="n">
        <v>1</v>
      </c>
      <c r="S425" s="5" t="n">
        <v>0</v>
      </c>
      <c r="T425" s="5" t="n">
        <v>0</v>
      </c>
      <c r="U425" s="5" t="inlineStr">
        <is>
          <t>testing</t>
        </is>
      </c>
      <c r="V425" s="5" t="n">
        <v>0</v>
      </c>
    </row>
    <row r="426">
      <c r="A426" s="5" t="n">
        <v>422</v>
      </c>
      <c r="B426" s="5" t="n">
        <v>0</v>
      </c>
      <c r="C426" s="6" t="n">
        <v>-0.7357010147163632</v>
      </c>
      <c r="D426" s="6" t="n">
        <v>-0.4278123558309392</v>
      </c>
      <c r="E426" s="6" t="n">
        <v>-0.4818305346669622</v>
      </c>
      <c r="F426" s="6" t="n">
        <v>0.9185437189662378</v>
      </c>
      <c r="G426" s="5" t="n">
        <v>0</v>
      </c>
      <c r="H426" s="5" t="n">
        <v>1</v>
      </c>
      <c r="I426" s="5" t="n">
        <v>0</v>
      </c>
      <c r="J426" s="5" t="n">
        <v>0</v>
      </c>
      <c r="K426" s="5" t="n">
        <v>0</v>
      </c>
      <c r="L426" s="5" t="n">
        <v>0</v>
      </c>
      <c r="M426" s="5" t="n">
        <v>0</v>
      </c>
      <c r="N426" s="5" t="n">
        <v>0</v>
      </c>
      <c r="O426" s="5" t="n">
        <v>1</v>
      </c>
      <c r="P426" s="5" t="n">
        <v>0</v>
      </c>
      <c r="Q426" s="5" t="n">
        <v>0</v>
      </c>
      <c r="R426" s="5" t="n">
        <v>1</v>
      </c>
      <c r="S426" s="5" t="n">
        <v>0</v>
      </c>
      <c r="T426" s="5" t="n">
        <v>0</v>
      </c>
      <c r="U426" s="5" t="inlineStr">
        <is>
          <t>training</t>
        </is>
      </c>
      <c r="V426" s="5" t="n">
        <v>0</v>
      </c>
    </row>
    <row r="427">
      <c r="A427" s="5" t="n">
        <v>423</v>
      </c>
      <c r="B427" s="5" t="n">
        <v>0</v>
      </c>
      <c r="C427" s="6" t="n">
        <v>-0.7357010147163632</v>
      </c>
      <c r="D427" s="6" t="n">
        <v>-0.8021975895327871</v>
      </c>
      <c r="E427" s="6" t="n">
        <v>0.9967108171991675</v>
      </c>
      <c r="F427" s="6" t="n">
        <v>-0.8850484360866833</v>
      </c>
      <c r="G427" s="5" t="n">
        <v>0</v>
      </c>
      <c r="H427" s="5" t="n">
        <v>1</v>
      </c>
      <c r="I427" s="5" t="n">
        <v>0</v>
      </c>
      <c r="J427" s="5" t="n">
        <v>1</v>
      </c>
      <c r="K427" s="5" t="n">
        <v>0</v>
      </c>
      <c r="L427" s="5" t="n">
        <v>0</v>
      </c>
      <c r="M427" s="5" t="n">
        <v>0</v>
      </c>
      <c r="N427" s="5" t="n">
        <v>0</v>
      </c>
      <c r="O427" s="5" t="n">
        <v>0</v>
      </c>
      <c r="P427" s="5" t="n">
        <v>0</v>
      </c>
      <c r="Q427" s="5" t="n">
        <v>0</v>
      </c>
      <c r="R427" s="5" t="n">
        <v>1</v>
      </c>
      <c r="S427" s="5" t="n">
        <v>0</v>
      </c>
      <c r="T427" s="5" t="n">
        <v>0</v>
      </c>
      <c r="U427" s="5" t="inlineStr">
        <is>
          <t>training</t>
        </is>
      </c>
      <c r="V427" s="5" t="n">
        <v>0</v>
      </c>
    </row>
    <row r="428">
      <c r="A428" s="5" t="n">
        <v>424</v>
      </c>
      <c r="B428" s="5" t="n">
        <v>0</v>
      </c>
      <c r="C428" s="6" t="n">
        <v>0.02262954691863145</v>
      </c>
      <c r="D428" s="6" t="n">
        <v>-0.5807154839876751</v>
      </c>
      <c r="E428" s="6" t="n">
        <v>-0.1339384518749317</v>
      </c>
      <c r="F428" s="6" t="n">
        <v>0.9185437189662378</v>
      </c>
      <c r="G428" s="5" t="n">
        <v>0</v>
      </c>
      <c r="H428" s="5" t="n">
        <v>0</v>
      </c>
      <c r="I428" s="5" t="n">
        <v>0</v>
      </c>
      <c r="J428" s="5" t="n">
        <v>0</v>
      </c>
      <c r="K428" s="5" t="n">
        <v>1</v>
      </c>
      <c r="L428" s="5" t="n">
        <v>0</v>
      </c>
      <c r="M428" s="5" t="n">
        <v>1</v>
      </c>
      <c r="N428" s="5" t="n">
        <v>0</v>
      </c>
      <c r="O428" s="5" t="n">
        <v>0</v>
      </c>
      <c r="P428" s="5" t="n">
        <v>0</v>
      </c>
      <c r="Q428" s="5" t="n">
        <v>0</v>
      </c>
      <c r="R428" s="5" t="n">
        <v>0</v>
      </c>
      <c r="S428" s="5" t="n">
        <v>0</v>
      </c>
      <c r="T428" s="5" t="n">
        <v>1</v>
      </c>
      <c r="U428" s="5" t="inlineStr">
        <is>
          <t>training</t>
        </is>
      </c>
      <c r="V428" s="5" t="n">
        <v>0</v>
      </c>
    </row>
    <row r="429">
      <c r="A429" s="5" t="n">
        <v>425</v>
      </c>
      <c r="B429" s="5" t="n">
        <v>1</v>
      </c>
      <c r="C429" s="6" t="n">
        <v>-0.7357010147163632</v>
      </c>
      <c r="D429" s="6" t="n">
        <v>-0.1709910833663071</v>
      </c>
      <c r="E429" s="6" t="n">
        <v>-0.9166956381570004</v>
      </c>
      <c r="F429" s="6" t="n">
        <v>-1.786844513613144</v>
      </c>
      <c r="G429" s="5" t="n">
        <v>0</v>
      </c>
      <c r="H429" s="5" t="n">
        <v>1</v>
      </c>
      <c r="I429" s="5" t="n">
        <v>0</v>
      </c>
      <c r="J429" s="5" t="n">
        <v>0</v>
      </c>
      <c r="K429" s="5" t="n">
        <v>0</v>
      </c>
      <c r="L429" s="5" t="n">
        <v>0</v>
      </c>
      <c r="M429" s="5" t="n">
        <v>0</v>
      </c>
      <c r="N429" s="5" t="n">
        <v>0</v>
      </c>
      <c r="O429" s="5" t="n">
        <v>1</v>
      </c>
      <c r="P429" s="5" t="n">
        <v>0</v>
      </c>
      <c r="Q429" s="5" t="n">
        <v>0</v>
      </c>
      <c r="R429" s="5" t="n">
        <v>0</v>
      </c>
      <c r="S429" s="5" t="n">
        <v>0</v>
      </c>
      <c r="T429" s="5" t="n">
        <v>1</v>
      </c>
      <c r="U429" s="5" t="inlineStr">
        <is>
          <t>training</t>
        </is>
      </c>
      <c r="V429" s="5" t="n">
        <v>1</v>
      </c>
    </row>
    <row r="430">
      <c r="A430" s="5" t="n">
        <v>426</v>
      </c>
      <c r="B430" s="5" t="n">
        <v>0</v>
      </c>
      <c r="C430" s="6" t="n">
        <v>-0.2301473069597001</v>
      </c>
      <c r="D430" s="6" t="n">
        <v>-0.1650429067560908</v>
      </c>
      <c r="E430" s="6" t="n">
        <v>-1.264587720949031</v>
      </c>
      <c r="F430" s="6" t="n">
        <v>-1.786844513613144</v>
      </c>
      <c r="G430" s="5" t="n">
        <v>0</v>
      </c>
      <c r="H430" s="5" t="n">
        <v>1</v>
      </c>
      <c r="I430" s="5" t="n">
        <v>0</v>
      </c>
      <c r="J430" s="5" t="n">
        <v>0</v>
      </c>
      <c r="K430" s="5" t="n">
        <v>0</v>
      </c>
      <c r="L430" s="5" t="n">
        <v>0</v>
      </c>
      <c r="M430" s="5" t="n">
        <v>0</v>
      </c>
      <c r="N430" s="5" t="n">
        <v>0</v>
      </c>
      <c r="O430" s="5" t="n">
        <v>0</v>
      </c>
      <c r="P430" s="5" t="n">
        <v>1</v>
      </c>
      <c r="Q430" s="5" t="n">
        <v>0</v>
      </c>
      <c r="R430" s="5" t="n">
        <v>1</v>
      </c>
      <c r="S430" s="5" t="n">
        <v>0</v>
      </c>
      <c r="T430" s="5" t="n">
        <v>0</v>
      </c>
      <c r="U430" s="5" t="inlineStr">
        <is>
          <t>training</t>
        </is>
      </c>
      <c r="V430" s="5" t="n">
        <v>1</v>
      </c>
    </row>
    <row r="431">
      <c r="A431" s="5" t="n">
        <v>427</v>
      </c>
      <c r="B431" s="5" t="n">
        <v>0</v>
      </c>
      <c r="C431" s="6" t="n">
        <v>0.6124422059680718</v>
      </c>
      <c r="D431" s="6" t="n">
        <v>-0.1776390454600782</v>
      </c>
      <c r="E431" s="6" t="n">
        <v>-0.5688035553649698</v>
      </c>
      <c r="F431" s="6" t="n">
        <v>0.9185437189662378</v>
      </c>
      <c r="G431" s="5" t="n">
        <v>0</v>
      </c>
      <c r="H431" s="5" t="n">
        <v>0</v>
      </c>
      <c r="I431" s="5" t="n">
        <v>0</v>
      </c>
      <c r="J431" s="5" t="n">
        <v>1</v>
      </c>
      <c r="K431" s="5" t="n">
        <v>0</v>
      </c>
      <c r="L431" s="5" t="n">
        <v>0</v>
      </c>
      <c r="M431" s="5" t="n">
        <v>0</v>
      </c>
      <c r="N431" s="5" t="n">
        <v>0</v>
      </c>
      <c r="O431" s="5" t="n">
        <v>0</v>
      </c>
      <c r="P431" s="5" t="n">
        <v>0</v>
      </c>
      <c r="Q431" s="5" t="n">
        <v>0</v>
      </c>
      <c r="R431" s="5" t="n">
        <v>0</v>
      </c>
      <c r="S431" s="5" t="n">
        <v>1</v>
      </c>
      <c r="T431" s="5" t="n">
        <v>0</v>
      </c>
      <c r="U431" s="5" t="inlineStr">
        <is>
          <t>training</t>
        </is>
      </c>
      <c r="V431" s="5" t="n">
        <v>0</v>
      </c>
    </row>
    <row r="432">
      <c r="A432" s="5" t="n">
        <v>428</v>
      </c>
      <c r="B432" s="5" t="n">
        <v>0</v>
      </c>
      <c r="C432" s="6" t="n">
        <v>-0.2301473069597001</v>
      </c>
      <c r="D432" s="6" t="n">
        <v>-0.7353680758532983</v>
      </c>
      <c r="E432" s="6" t="n">
        <v>0.9097377965011599</v>
      </c>
      <c r="F432" s="6" t="n">
        <v>0.9185437189662378</v>
      </c>
      <c r="G432" s="5" t="n">
        <v>0</v>
      </c>
      <c r="H432" s="5" t="n">
        <v>0</v>
      </c>
      <c r="I432" s="5" t="n">
        <v>0</v>
      </c>
      <c r="J432" s="5" t="n">
        <v>1</v>
      </c>
      <c r="K432" s="5" t="n">
        <v>0</v>
      </c>
      <c r="L432" s="5" t="n">
        <v>0</v>
      </c>
      <c r="M432" s="5" t="n">
        <v>0</v>
      </c>
      <c r="N432" s="5" t="n">
        <v>1</v>
      </c>
      <c r="O432" s="5" t="n">
        <v>0</v>
      </c>
      <c r="P432" s="5" t="n">
        <v>0</v>
      </c>
      <c r="Q432" s="5" t="n">
        <v>0</v>
      </c>
      <c r="R432" s="5" t="n">
        <v>0</v>
      </c>
      <c r="S432" s="5" t="n">
        <v>1</v>
      </c>
      <c r="T432" s="5" t="n">
        <v>0</v>
      </c>
      <c r="U432" s="5" t="inlineStr">
        <is>
          <t>training</t>
        </is>
      </c>
      <c r="V432" s="5" t="n">
        <v>0</v>
      </c>
    </row>
    <row r="433">
      <c r="A433" s="5" t="n">
        <v>429</v>
      </c>
      <c r="B433" s="5" t="n">
        <v>0</v>
      </c>
      <c r="C433" s="6" t="n">
        <v>-0.9884778685946948</v>
      </c>
      <c r="D433" s="6" t="n">
        <v>-0.6779856662018001</v>
      </c>
      <c r="E433" s="6" t="n">
        <v>-1.351560741647039</v>
      </c>
      <c r="F433" s="6" t="n">
        <v>-1.786844513613144</v>
      </c>
      <c r="G433" s="5" t="n">
        <v>0</v>
      </c>
      <c r="H433" s="5" t="n">
        <v>0</v>
      </c>
      <c r="I433" s="5" t="n">
        <v>0</v>
      </c>
      <c r="J433" s="5" t="n">
        <v>0</v>
      </c>
      <c r="K433" s="5" t="n">
        <v>0</v>
      </c>
      <c r="L433" s="5" t="n">
        <v>0</v>
      </c>
      <c r="M433" s="5" t="n">
        <v>0</v>
      </c>
      <c r="N433" s="5" t="n">
        <v>0</v>
      </c>
      <c r="O433" s="5" t="n">
        <v>0</v>
      </c>
      <c r="P433" s="5" t="n">
        <v>0</v>
      </c>
      <c r="Q433" s="5" t="n">
        <v>0</v>
      </c>
      <c r="R433" s="5" t="n">
        <v>0</v>
      </c>
      <c r="S433" s="5" t="n">
        <v>0</v>
      </c>
      <c r="T433" s="5" t="n">
        <v>1</v>
      </c>
      <c r="U433" s="5" t="inlineStr">
        <is>
          <t>training</t>
        </is>
      </c>
      <c r="V433" s="5" t="n">
        <v>0</v>
      </c>
    </row>
    <row r="434">
      <c r="A434" s="5" t="n">
        <v>430</v>
      </c>
      <c r="B434" s="5" t="n">
        <v>1</v>
      </c>
      <c r="C434" s="6" t="n">
        <v>-0.2301473069597001</v>
      </c>
      <c r="D434" s="6" t="n">
        <v>-0.7210224734404238</v>
      </c>
      <c r="E434" s="6" t="n">
        <v>1.692494982783229</v>
      </c>
      <c r="F434" s="6" t="n">
        <v>-0.8850484360866833</v>
      </c>
      <c r="G434" s="5" t="n">
        <v>1</v>
      </c>
      <c r="H434" s="5" t="n">
        <v>0</v>
      </c>
      <c r="I434" s="5" t="n">
        <v>0</v>
      </c>
      <c r="J434" s="5" t="n">
        <v>1</v>
      </c>
      <c r="K434" s="5" t="n">
        <v>0</v>
      </c>
      <c r="L434" s="5" t="n">
        <v>0</v>
      </c>
      <c r="M434" s="5" t="n">
        <v>0</v>
      </c>
      <c r="N434" s="5" t="n">
        <v>0</v>
      </c>
      <c r="O434" s="5" t="n">
        <v>0</v>
      </c>
      <c r="P434" s="5" t="n">
        <v>0</v>
      </c>
      <c r="Q434" s="5" t="n">
        <v>1</v>
      </c>
      <c r="R434" s="5" t="n">
        <v>0</v>
      </c>
      <c r="S434" s="5" t="n">
        <v>0</v>
      </c>
      <c r="T434" s="5" t="n">
        <v>0</v>
      </c>
      <c r="U434" s="5" t="inlineStr">
        <is>
          <t>testing</t>
        </is>
      </c>
      <c r="V434" s="5" t="n">
        <v>0</v>
      </c>
    </row>
    <row r="435">
      <c r="A435" s="5" t="n">
        <v>431</v>
      </c>
      <c r="B435" s="5" t="n">
        <v>0</v>
      </c>
      <c r="C435" s="6" t="n">
        <v>-1.325513673765804</v>
      </c>
      <c r="D435" s="6" t="n">
        <v>0.06903533749300851</v>
      </c>
      <c r="E435" s="6" t="n">
        <v>3.344982376045374</v>
      </c>
      <c r="F435" s="6" t="n">
        <v>-1.786844513613144</v>
      </c>
      <c r="G435" s="5" t="n">
        <v>0</v>
      </c>
      <c r="H435" s="5" t="n">
        <v>0</v>
      </c>
      <c r="I435" s="5" t="n">
        <v>0</v>
      </c>
      <c r="J435" s="5" t="n">
        <v>0</v>
      </c>
      <c r="K435" s="5" t="n">
        <v>0</v>
      </c>
      <c r="L435" s="5" t="n">
        <v>0</v>
      </c>
      <c r="M435" s="5" t="n">
        <v>0</v>
      </c>
      <c r="N435" s="5" t="n">
        <v>0</v>
      </c>
      <c r="O435" s="5" t="n">
        <v>0</v>
      </c>
      <c r="P435" s="5" t="n">
        <v>0</v>
      </c>
      <c r="Q435" s="5" t="n">
        <v>0</v>
      </c>
      <c r="R435" s="5" t="n">
        <v>0</v>
      </c>
      <c r="S435" s="5" t="n">
        <v>0</v>
      </c>
      <c r="T435" s="5" t="n">
        <v>0</v>
      </c>
      <c r="U435" s="5" t="inlineStr">
        <is>
          <t>testing</t>
        </is>
      </c>
      <c r="V435" s="5" t="n">
        <v>0</v>
      </c>
    </row>
    <row r="436">
      <c r="A436" s="5" t="n">
        <v>432</v>
      </c>
      <c r="B436" s="5" t="n">
        <v>1</v>
      </c>
      <c r="C436" s="6" t="n">
        <v>0.275406400796963</v>
      </c>
      <c r="D436" s="6" t="n">
        <v>2.826190142699141</v>
      </c>
      <c r="E436" s="6" t="n">
        <v>-0.5688035553649698</v>
      </c>
      <c r="F436" s="6" t="n">
        <v>-0.8850484360866833</v>
      </c>
      <c r="G436" s="5" t="n">
        <v>0</v>
      </c>
      <c r="H436" s="5" t="n">
        <v>1</v>
      </c>
      <c r="I436" s="5" t="n">
        <v>0</v>
      </c>
      <c r="J436" s="5" t="n">
        <v>0</v>
      </c>
      <c r="K436" s="5" t="n">
        <v>0</v>
      </c>
      <c r="L436" s="5" t="n">
        <v>0</v>
      </c>
      <c r="M436" s="5" t="n">
        <v>0</v>
      </c>
      <c r="N436" s="5" t="n">
        <v>0</v>
      </c>
      <c r="O436" s="5" t="n">
        <v>0</v>
      </c>
      <c r="P436" s="5" t="n">
        <v>0</v>
      </c>
      <c r="Q436" s="5" t="n">
        <v>0</v>
      </c>
      <c r="R436" s="5" t="n">
        <v>0</v>
      </c>
      <c r="S436" s="5" t="n">
        <v>0</v>
      </c>
      <c r="T436" s="5" t="n">
        <v>0</v>
      </c>
      <c r="U436" s="5" t="inlineStr">
        <is>
          <t>testing</t>
        </is>
      </c>
      <c r="V436" s="5" t="n">
        <v>0</v>
      </c>
    </row>
    <row r="437">
      <c r="A437" s="5" t="n">
        <v>433</v>
      </c>
      <c r="B437" s="5" t="n">
        <v>0</v>
      </c>
      <c r="C437" s="6" t="n">
        <v>-1.241254722473026</v>
      </c>
      <c r="D437" s="6" t="n">
        <v>-0.4823956235482179</v>
      </c>
      <c r="E437" s="6" t="n">
        <v>0.04000758952108359</v>
      </c>
      <c r="F437" s="6" t="n">
        <v>0.9185437189662378</v>
      </c>
      <c r="G437" s="5" t="n">
        <v>1</v>
      </c>
      <c r="H437" s="5" t="n">
        <v>0</v>
      </c>
      <c r="I437" s="5" t="n">
        <v>0</v>
      </c>
      <c r="J437" s="5" t="n">
        <v>1</v>
      </c>
      <c r="K437" s="5" t="n">
        <v>0</v>
      </c>
      <c r="L437" s="5" t="n">
        <v>0</v>
      </c>
      <c r="M437" s="5" t="n">
        <v>0</v>
      </c>
      <c r="N437" s="5" t="n">
        <v>0</v>
      </c>
      <c r="O437" s="5" t="n">
        <v>0</v>
      </c>
      <c r="P437" s="5" t="n">
        <v>0</v>
      </c>
      <c r="Q437" s="5" t="n">
        <v>1</v>
      </c>
      <c r="R437" s="5" t="n">
        <v>0</v>
      </c>
      <c r="S437" s="5" t="n">
        <v>0</v>
      </c>
      <c r="T437" s="5" t="n">
        <v>1</v>
      </c>
      <c r="U437" s="5" t="inlineStr">
        <is>
          <t>testing</t>
        </is>
      </c>
      <c r="V437" s="5" t="n">
        <v>0</v>
      </c>
    </row>
    <row r="438">
      <c r="A438" s="5" t="n">
        <v>434</v>
      </c>
      <c r="B438" s="5" t="n">
        <v>0</v>
      </c>
      <c r="C438" s="6" t="n">
        <v>0.275406400796963</v>
      </c>
      <c r="D438" s="6" t="n">
        <v>-0.4173155735776163</v>
      </c>
      <c r="E438" s="6" t="n">
        <v>-0.2209114725729393</v>
      </c>
      <c r="F438" s="6" t="n">
        <v>0.9185437189662378</v>
      </c>
      <c r="G438" s="5" t="n">
        <v>0</v>
      </c>
      <c r="H438" s="5" t="n">
        <v>0</v>
      </c>
      <c r="I438" s="5" t="n">
        <v>0</v>
      </c>
      <c r="J438" s="5" t="n">
        <v>1</v>
      </c>
      <c r="K438" s="5" t="n">
        <v>0</v>
      </c>
      <c r="L438" s="5" t="n">
        <v>0</v>
      </c>
      <c r="M438" s="5" t="n">
        <v>0</v>
      </c>
      <c r="N438" s="5" t="n">
        <v>0</v>
      </c>
      <c r="O438" s="5" t="n">
        <v>0</v>
      </c>
      <c r="P438" s="5" t="n">
        <v>0</v>
      </c>
      <c r="Q438" s="5" t="n">
        <v>0</v>
      </c>
      <c r="R438" s="5" t="n">
        <v>0</v>
      </c>
      <c r="S438" s="5" t="n">
        <v>0</v>
      </c>
      <c r="T438" s="5" t="n">
        <v>0</v>
      </c>
      <c r="U438" s="5" t="inlineStr">
        <is>
          <t>training</t>
        </is>
      </c>
      <c r="V438" s="5" t="n">
        <v>0</v>
      </c>
    </row>
    <row r="439">
      <c r="A439" s="5" t="n">
        <v>435</v>
      </c>
      <c r="B439" s="5" t="n">
        <v>0</v>
      </c>
      <c r="C439" s="6" t="n">
        <v>-0.9884778685946948</v>
      </c>
      <c r="D439" s="6" t="n">
        <v>-0.390023939718977</v>
      </c>
      <c r="E439" s="6" t="n">
        <v>-0.9166956381570004</v>
      </c>
      <c r="F439" s="6" t="n">
        <v>0.01674764143977723</v>
      </c>
      <c r="G439" s="5" t="n">
        <v>1</v>
      </c>
      <c r="H439" s="5" t="n">
        <v>0</v>
      </c>
      <c r="I439" s="5" t="n">
        <v>0</v>
      </c>
      <c r="J439" s="5" t="n">
        <v>0</v>
      </c>
      <c r="K439" s="5" t="n">
        <v>0</v>
      </c>
      <c r="L439" s="5" t="n">
        <v>0</v>
      </c>
      <c r="M439" s="5" t="n">
        <v>0</v>
      </c>
      <c r="N439" s="5" t="n">
        <v>0</v>
      </c>
      <c r="O439" s="5" t="n">
        <v>0</v>
      </c>
      <c r="P439" s="5" t="n">
        <v>0</v>
      </c>
      <c r="Q439" s="5" t="n">
        <v>0</v>
      </c>
      <c r="R439" s="5" t="n">
        <v>0</v>
      </c>
      <c r="S439" s="5" t="n">
        <v>0</v>
      </c>
      <c r="T439" s="5" t="n">
        <v>1</v>
      </c>
      <c r="U439" s="5" t="inlineStr">
        <is>
          <t>training</t>
        </is>
      </c>
      <c r="V439" s="5" t="n">
        <v>0</v>
      </c>
    </row>
    <row r="440">
      <c r="A440" s="5" t="n">
        <v>436</v>
      </c>
      <c r="B440" s="5" t="n">
        <v>1</v>
      </c>
      <c r="C440" s="6" t="n">
        <v>-0.7357010147163632</v>
      </c>
      <c r="D440" s="6" t="n">
        <v>-0.61815400735786</v>
      </c>
      <c r="E440" s="6" t="n">
        <v>-0.9166956381570004</v>
      </c>
      <c r="F440" s="6" t="n">
        <v>-0.8850484360866833</v>
      </c>
      <c r="G440" s="5" t="n">
        <v>0</v>
      </c>
      <c r="H440" s="5" t="n">
        <v>1</v>
      </c>
      <c r="I440" s="5" t="n">
        <v>0</v>
      </c>
      <c r="J440" s="5" t="n">
        <v>0</v>
      </c>
      <c r="K440" s="5" t="n">
        <v>0</v>
      </c>
      <c r="L440" s="5" t="n">
        <v>0</v>
      </c>
      <c r="M440" s="5" t="n">
        <v>0</v>
      </c>
      <c r="N440" s="5" t="n">
        <v>0</v>
      </c>
      <c r="O440" s="5" t="n">
        <v>1</v>
      </c>
      <c r="P440" s="5" t="n">
        <v>0</v>
      </c>
      <c r="Q440" s="5" t="n">
        <v>0</v>
      </c>
      <c r="R440" s="5" t="n">
        <v>0</v>
      </c>
      <c r="S440" s="5" t="n">
        <v>1</v>
      </c>
      <c r="T440" s="5" t="n">
        <v>0</v>
      </c>
      <c r="U440" s="5" t="inlineStr">
        <is>
          <t>training</t>
        </is>
      </c>
      <c r="V440" s="5" t="n">
        <v>1</v>
      </c>
    </row>
    <row r="441">
      <c r="A441" s="5" t="n">
        <v>437</v>
      </c>
      <c r="B441" s="5" t="n">
        <v>0</v>
      </c>
      <c r="C441" s="6" t="n">
        <v>-1.241254722473026</v>
      </c>
      <c r="D441" s="6" t="n">
        <v>-0.9064656265824605</v>
      </c>
      <c r="E441" s="6" t="n">
        <v>-1.090641679553016</v>
      </c>
      <c r="F441" s="6" t="n">
        <v>-0.8850484360866833</v>
      </c>
      <c r="G441" s="5" t="n">
        <v>0</v>
      </c>
      <c r="H441" s="5" t="n">
        <v>0</v>
      </c>
      <c r="I441" s="5" t="n">
        <v>0</v>
      </c>
      <c r="J441" s="5" t="n">
        <v>0</v>
      </c>
      <c r="K441" s="5" t="n">
        <v>0</v>
      </c>
      <c r="L441" s="5" t="n">
        <v>0</v>
      </c>
      <c r="M441" s="5" t="n">
        <v>1</v>
      </c>
      <c r="N441" s="5" t="n">
        <v>0</v>
      </c>
      <c r="O441" s="5" t="n">
        <v>0</v>
      </c>
      <c r="P441" s="5" t="n">
        <v>1</v>
      </c>
      <c r="Q441" s="5" t="n">
        <v>0</v>
      </c>
      <c r="R441" s="5" t="n">
        <v>0</v>
      </c>
      <c r="S441" s="5" t="n">
        <v>0</v>
      </c>
      <c r="T441" s="5" t="n">
        <v>0</v>
      </c>
      <c r="U441" s="5" t="inlineStr">
        <is>
          <t>training</t>
        </is>
      </c>
      <c r="V441" s="5" t="n">
        <v>1</v>
      </c>
    </row>
    <row r="442">
      <c r="A442" s="5" t="n">
        <v>438</v>
      </c>
      <c r="B442" s="5" t="n">
        <v>0</v>
      </c>
      <c r="C442" s="6" t="n">
        <v>0.275406400796963</v>
      </c>
      <c r="D442" s="6" t="n">
        <v>-0.6870828774880133</v>
      </c>
      <c r="E442" s="6" t="n">
        <v>0.1269806102190912</v>
      </c>
      <c r="F442" s="6" t="n">
        <v>0.9185437189662378</v>
      </c>
      <c r="G442" s="5" t="n">
        <v>0</v>
      </c>
      <c r="H442" s="5" t="n">
        <v>0</v>
      </c>
      <c r="I442" s="5" t="n">
        <v>0</v>
      </c>
      <c r="J442" s="5" t="n">
        <v>1</v>
      </c>
      <c r="K442" s="5" t="n">
        <v>0</v>
      </c>
      <c r="L442" s="5" t="n">
        <v>0</v>
      </c>
      <c r="M442" s="5" t="n">
        <v>0</v>
      </c>
      <c r="N442" s="5" t="n">
        <v>1</v>
      </c>
      <c r="O442" s="5" t="n">
        <v>0</v>
      </c>
      <c r="P442" s="5" t="n">
        <v>0</v>
      </c>
      <c r="Q442" s="5" t="n">
        <v>0</v>
      </c>
      <c r="R442" s="5" t="n">
        <v>1</v>
      </c>
      <c r="S442" s="5" t="n">
        <v>0</v>
      </c>
      <c r="T442" s="5" t="n">
        <v>0</v>
      </c>
      <c r="U442" s="5" t="inlineStr">
        <is>
          <t>testing</t>
        </is>
      </c>
      <c r="V442" s="5" t="n">
        <v>0</v>
      </c>
    </row>
    <row r="443">
      <c r="A443" s="5" t="n">
        <v>439</v>
      </c>
      <c r="B443" s="5" t="n">
        <v>0</v>
      </c>
      <c r="C443" s="6" t="n">
        <v>1.792067524066952</v>
      </c>
      <c r="D443" s="6" t="n">
        <v>0.0501411294370274</v>
      </c>
      <c r="E443" s="6" t="n">
        <v>2.562225189763305</v>
      </c>
      <c r="F443" s="6" t="n">
        <v>0.9185437189662378</v>
      </c>
      <c r="G443" s="5" t="n">
        <v>1</v>
      </c>
      <c r="H443" s="5" t="n">
        <v>0</v>
      </c>
      <c r="I443" s="5" t="n">
        <v>0</v>
      </c>
      <c r="J443" s="5" t="n">
        <v>1</v>
      </c>
      <c r="K443" s="5" t="n">
        <v>0</v>
      </c>
      <c r="L443" s="5" t="n">
        <v>0</v>
      </c>
      <c r="M443" s="5" t="n">
        <v>0</v>
      </c>
      <c r="N443" s="5" t="n">
        <v>0</v>
      </c>
      <c r="O443" s="5" t="n">
        <v>0</v>
      </c>
      <c r="P443" s="5" t="n">
        <v>0</v>
      </c>
      <c r="Q443" s="5" t="n">
        <v>0</v>
      </c>
      <c r="R443" s="5" t="n">
        <v>0</v>
      </c>
      <c r="S443" s="5" t="n">
        <v>0</v>
      </c>
      <c r="T443" s="5" t="n">
        <v>0</v>
      </c>
      <c r="U443" s="5" t="inlineStr">
        <is>
          <t>training</t>
        </is>
      </c>
      <c r="V443" s="5" t="n">
        <v>0</v>
      </c>
    </row>
    <row r="444">
      <c r="A444" s="5" t="n">
        <v>440</v>
      </c>
      <c r="B444" s="5" t="n">
        <v>1</v>
      </c>
      <c r="C444" s="6" t="n">
        <v>-0.7357010147163632</v>
      </c>
      <c r="D444" s="6" t="n">
        <v>-0.9243101564131094</v>
      </c>
      <c r="E444" s="6" t="n">
        <v>-0.8297226174589928</v>
      </c>
      <c r="F444" s="6" t="n">
        <v>0.9185437189662378</v>
      </c>
      <c r="G444" s="5" t="n">
        <v>0</v>
      </c>
      <c r="H444" s="5" t="n">
        <v>0</v>
      </c>
      <c r="I444" s="5" t="n">
        <v>1</v>
      </c>
      <c r="J444" s="5" t="n">
        <v>0</v>
      </c>
      <c r="K444" s="5" t="n">
        <v>0</v>
      </c>
      <c r="L444" s="5" t="n">
        <v>1</v>
      </c>
      <c r="M444" s="5" t="n">
        <v>0</v>
      </c>
      <c r="N444" s="5" t="n">
        <v>0</v>
      </c>
      <c r="O444" s="5" t="n">
        <v>0</v>
      </c>
      <c r="P444" s="5" t="n">
        <v>0</v>
      </c>
      <c r="Q444" s="5" t="n">
        <v>0</v>
      </c>
      <c r="R444" s="5" t="n">
        <v>0</v>
      </c>
      <c r="S444" s="5" t="n">
        <v>0</v>
      </c>
      <c r="T444" s="5" t="n">
        <v>0</v>
      </c>
      <c r="U444" s="5" t="inlineStr">
        <is>
          <t>training</t>
        </is>
      </c>
      <c r="V444" s="5" t="n">
        <v>1</v>
      </c>
    </row>
    <row r="445">
      <c r="A445" s="5" t="n">
        <v>441</v>
      </c>
      <c r="B445" s="5" t="n">
        <v>0</v>
      </c>
      <c r="C445" s="6" t="n">
        <v>-0.7357010147163632</v>
      </c>
      <c r="D445" s="6" t="n">
        <v>-0.4781969106468888</v>
      </c>
      <c r="E445" s="6" t="n">
        <v>0.3009266516151065</v>
      </c>
      <c r="F445" s="6" t="n">
        <v>0.9185437189662378</v>
      </c>
      <c r="G445" s="5" t="n">
        <v>0</v>
      </c>
      <c r="H445" s="5" t="n">
        <v>0</v>
      </c>
      <c r="I445" s="5" t="n">
        <v>0</v>
      </c>
      <c r="J445" s="5" t="n">
        <v>0</v>
      </c>
      <c r="K445" s="5" t="n">
        <v>0</v>
      </c>
      <c r="L445" s="5" t="n">
        <v>0</v>
      </c>
      <c r="M445" s="5" t="n">
        <v>0</v>
      </c>
      <c r="N445" s="5" t="n">
        <v>0</v>
      </c>
      <c r="O445" s="5" t="n">
        <v>0</v>
      </c>
      <c r="P445" s="5" t="n">
        <v>0</v>
      </c>
      <c r="Q445" s="5" t="n">
        <v>0</v>
      </c>
      <c r="R445" s="5" t="n">
        <v>1</v>
      </c>
      <c r="S445" s="5" t="n">
        <v>0</v>
      </c>
      <c r="T445" s="5" t="n">
        <v>0</v>
      </c>
      <c r="U445" s="5" t="inlineStr">
        <is>
          <t>testing</t>
        </is>
      </c>
      <c r="V445" s="5" t="n">
        <v>0</v>
      </c>
    </row>
    <row r="446">
      <c r="A446" s="5" t="n">
        <v>442</v>
      </c>
      <c r="B446" s="5" t="n">
        <v>0</v>
      </c>
      <c r="C446" s="6" t="n">
        <v>-0.7357010147163632</v>
      </c>
      <c r="D446" s="6" t="n">
        <v>-0.5705685944761297</v>
      </c>
      <c r="E446" s="6" t="n">
        <v>-0.4818305346669622</v>
      </c>
      <c r="F446" s="6" t="n">
        <v>-0.8850484360866833</v>
      </c>
      <c r="G446" s="5" t="n">
        <v>1</v>
      </c>
      <c r="H446" s="5" t="n">
        <v>0</v>
      </c>
      <c r="I446" s="5" t="n">
        <v>0</v>
      </c>
      <c r="J446" s="5" t="n">
        <v>0</v>
      </c>
      <c r="K446" s="5" t="n">
        <v>0</v>
      </c>
      <c r="L446" s="5" t="n">
        <v>0</v>
      </c>
      <c r="M446" s="5" t="n">
        <v>0</v>
      </c>
      <c r="N446" s="5" t="n">
        <v>0</v>
      </c>
      <c r="O446" s="5" t="n">
        <v>0</v>
      </c>
      <c r="P446" s="5" t="n">
        <v>0</v>
      </c>
      <c r="Q446" s="5" t="n">
        <v>0</v>
      </c>
      <c r="R446" s="5" t="n">
        <v>0</v>
      </c>
      <c r="S446" s="5" t="n">
        <v>0</v>
      </c>
      <c r="T446" s="5" t="n">
        <v>1</v>
      </c>
      <c r="U446" s="5" t="inlineStr">
        <is>
          <t>testing</t>
        </is>
      </c>
      <c r="V446" s="5" t="n">
        <v>0</v>
      </c>
    </row>
    <row r="447">
      <c r="A447" s="5" t="n">
        <v>443</v>
      </c>
      <c r="B447" s="5" t="n">
        <v>0</v>
      </c>
      <c r="C447" s="6" t="n">
        <v>-0.06162940437414574</v>
      </c>
      <c r="D447" s="6" t="n">
        <v>-0.217526818022705</v>
      </c>
      <c r="E447" s="6" t="n">
        <v>-0.5688035553649698</v>
      </c>
      <c r="F447" s="6" t="n">
        <v>-0.8850484360866833</v>
      </c>
      <c r="G447" s="5" t="n">
        <v>0</v>
      </c>
      <c r="H447" s="5" t="n">
        <v>1</v>
      </c>
      <c r="I447" s="5" t="n">
        <v>0</v>
      </c>
      <c r="J447" s="5" t="n">
        <v>0</v>
      </c>
      <c r="K447" s="5" t="n">
        <v>1</v>
      </c>
      <c r="L447" s="5" t="n">
        <v>0</v>
      </c>
      <c r="M447" s="5" t="n">
        <v>0</v>
      </c>
      <c r="N447" s="5" t="n">
        <v>0</v>
      </c>
      <c r="O447" s="5" t="n">
        <v>0</v>
      </c>
      <c r="P447" s="5" t="n">
        <v>0</v>
      </c>
      <c r="Q447" s="5" t="n">
        <v>0</v>
      </c>
      <c r="R447" s="5" t="n">
        <v>0</v>
      </c>
      <c r="S447" s="5" t="n">
        <v>0</v>
      </c>
      <c r="T447" s="5" t="n">
        <v>0</v>
      </c>
      <c r="U447" s="5" t="inlineStr">
        <is>
          <t>training</t>
        </is>
      </c>
      <c r="V447" s="5" t="n">
        <v>0</v>
      </c>
    </row>
    <row r="448">
      <c r="A448" s="5" t="n">
        <v>444</v>
      </c>
      <c r="B448" s="5" t="n">
        <v>1</v>
      </c>
      <c r="C448" s="6" t="n">
        <v>-0.7357010147163632</v>
      </c>
      <c r="D448" s="6" t="n">
        <v>-0.8858219548175924</v>
      </c>
      <c r="E448" s="6" t="n">
        <v>0.4748726930111218</v>
      </c>
      <c r="F448" s="6" t="n">
        <v>0.9185437189662378</v>
      </c>
      <c r="G448" s="5" t="n">
        <v>0</v>
      </c>
      <c r="H448" s="5" t="n">
        <v>0</v>
      </c>
      <c r="I448" s="5" t="n">
        <v>0</v>
      </c>
      <c r="J448" s="5" t="n">
        <v>0</v>
      </c>
      <c r="K448" s="5" t="n">
        <v>0</v>
      </c>
      <c r="L448" s="5" t="n">
        <v>0</v>
      </c>
      <c r="M448" s="5" t="n">
        <v>0</v>
      </c>
      <c r="N448" s="5" t="n">
        <v>0</v>
      </c>
      <c r="O448" s="5" t="n">
        <v>0</v>
      </c>
      <c r="P448" s="5" t="n">
        <v>0</v>
      </c>
      <c r="Q448" s="5" t="n">
        <v>0</v>
      </c>
      <c r="R448" s="5" t="n">
        <v>0</v>
      </c>
      <c r="S448" s="5" t="n">
        <v>0</v>
      </c>
      <c r="T448" s="5" t="n">
        <v>0</v>
      </c>
      <c r="U448" s="5" t="inlineStr">
        <is>
          <t>training</t>
        </is>
      </c>
      <c r="V448" s="5" t="n">
        <v>1</v>
      </c>
    </row>
    <row r="449">
      <c r="A449" s="5" t="n">
        <v>445</v>
      </c>
      <c r="B449" s="5" t="n">
        <v>1</v>
      </c>
      <c r="C449" s="6" t="n">
        <v>2.297621231823615</v>
      </c>
      <c r="D449" s="6" t="n">
        <v>0.6456585759422098</v>
      </c>
      <c r="E449" s="6" t="n">
        <v>-0.4818305346669622</v>
      </c>
      <c r="F449" s="6" t="n">
        <v>-0.8850484360866833</v>
      </c>
      <c r="G449" s="5" t="n">
        <v>0</v>
      </c>
      <c r="H449" s="5" t="n">
        <v>1</v>
      </c>
      <c r="I449" s="5" t="n">
        <v>0</v>
      </c>
      <c r="J449" s="5" t="n">
        <v>1</v>
      </c>
      <c r="K449" s="5" t="n">
        <v>0</v>
      </c>
      <c r="L449" s="5" t="n">
        <v>0</v>
      </c>
      <c r="M449" s="5" t="n">
        <v>0</v>
      </c>
      <c r="N449" s="5" t="n">
        <v>0</v>
      </c>
      <c r="O449" s="5" t="n">
        <v>0</v>
      </c>
      <c r="P449" s="5" t="n">
        <v>0</v>
      </c>
      <c r="Q449" s="5" t="n">
        <v>0</v>
      </c>
      <c r="R449" s="5" t="n">
        <v>0</v>
      </c>
      <c r="S449" s="5" t="n">
        <v>0</v>
      </c>
      <c r="T449" s="5" t="n">
        <v>1</v>
      </c>
      <c r="U449" s="5" t="inlineStr">
        <is>
          <t>training</t>
        </is>
      </c>
      <c r="V449" s="5" t="n">
        <v>1</v>
      </c>
    </row>
    <row r="450">
      <c r="A450" s="5" t="n">
        <v>446</v>
      </c>
      <c r="B450" s="5" t="n">
        <v>0</v>
      </c>
      <c r="C450" s="6" t="n">
        <v>-0.9884778685946948</v>
      </c>
      <c r="D450" s="6" t="n">
        <v>-0.7021282653844427</v>
      </c>
      <c r="E450" s="6" t="n">
        <v>0.4748726930111218</v>
      </c>
      <c r="F450" s="6" t="n">
        <v>0.9185437189662378</v>
      </c>
      <c r="G450" s="5" t="n">
        <v>0</v>
      </c>
      <c r="H450" s="5" t="n">
        <v>0</v>
      </c>
      <c r="I450" s="5" t="n">
        <v>0</v>
      </c>
      <c r="J450" s="5" t="n">
        <v>1</v>
      </c>
      <c r="K450" s="5" t="n">
        <v>0</v>
      </c>
      <c r="L450" s="5" t="n">
        <v>0</v>
      </c>
      <c r="M450" s="5" t="n">
        <v>0</v>
      </c>
      <c r="N450" s="5" t="n">
        <v>0</v>
      </c>
      <c r="O450" s="5" t="n">
        <v>1</v>
      </c>
      <c r="P450" s="5" t="n">
        <v>1</v>
      </c>
      <c r="Q450" s="5" t="n">
        <v>0</v>
      </c>
      <c r="R450" s="5" t="n">
        <v>0</v>
      </c>
      <c r="S450" s="5" t="n">
        <v>0</v>
      </c>
      <c r="T450" s="5" t="n">
        <v>0</v>
      </c>
      <c r="U450" s="5" t="inlineStr">
        <is>
          <t>training</t>
        </is>
      </c>
      <c r="V450" s="5" t="n">
        <v>1</v>
      </c>
    </row>
    <row r="451">
      <c r="A451" s="5" t="n">
        <v>447</v>
      </c>
      <c r="B451" s="5" t="n">
        <v>1</v>
      </c>
      <c r="C451" s="6" t="n">
        <v>1.286513816310289</v>
      </c>
      <c r="D451" s="6" t="n">
        <v>-0.4928924058015408</v>
      </c>
      <c r="E451" s="6" t="n">
        <v>-0.1339384518749317</v>
      </c>
      <c r="F451" s="6" t="n">
        <v>0.9185437189662378</v>
      </c>
      <c r="G451" s="5" t="n">
        <v>1</v>
      </c>
      <c r="H451" s="5" t="n">
        <v>0</v>
      </c>
      <c r="I451" s="5" t="n">
        <v>0</v>
      </c>
      <c r="J451" s="5" t="n">
        <v>0</v>
      </c>
      <c r="K451" s="5" t="n">
        <v>0</v>
      </c>
      <c r="L451" s="5" t="n">
        <v>0</v>
      </c>
      <c r="M451" s="5" t="n">
        <v>0</v>
      </c>
      <c r="N451" s="5" t="n">
        <v>0</v>
      </c>
      <c r="O451" s="5" t="n">
        <v>0</v>
      </c>
      <c r="P451" s="5" t="n">
        <v>0</v>
      </c>
      <c r="Q451" s="5" t="n">
        <v>0</v>
      </c>
      <c r="R451" s="5" t="n">
        <v>1</v>
      </c>
      <c r="S451" s="5" t="n">
        <v>0</v>
      </c>
      <c r="T451" s="5" t="n">
        <v>0</v>
      </c>
      <c r="U451" s="5" t="inlineStr">
        <is>
          <t>training</t>
        </is>
      </c>
      <c r="V451" s="5" t="n">
        <v>1</v>
      </c>
    </row>
    <row r="452">
      <c r="A452" s="5" t="n">
        <v>448</v>
      </c>
      <c r="B452" s="5" t="n">
        <v>0</v>
      </c>
      <c r="C452" s="6" t="n">
        <v>-1.156995771180249</v>
      </c>
      <c r="D452" s="6" t="n">
        <v>-0.2360711333369087</v>
      </c>
      <c r="E452" s="6" t="n">
        <v>-0.04696543117692405</v>
      </c>
      <c r="F452" s="6" t="n">
        <v>-0.8850484360866833</v>
      </c>
      <c r="G452" s="5" t="n">
        <v>0</v>
      </c>
      <c r="H452" s="5" t="n">
        <v>1</v>
      </c>
      <c r="I452" s="5" t="n">
        <v>0</v>
      </c>
      <c r="J452" s="5" t="n">
        <v>0</v>
      </c>
      <c r="K452" s="5" t="n">
        <v>0</v>
      </c>
      <c r="L452" s="5" t="n">
        <v>0</v>
      </c>
      <c r="M452" s="5" t="n">
        <v>0</v>
      </c>
      <c r="N452" s="5" t="n">
        <v>0</v>
      </c>
      <c r="O452" s="5" t="n">
        <v>0</v>
      </c>
      <c r="P452" s="5" t="n">
        <v>0</v>
      </c>
      <c r="Q452" s="5" t="n">
        <v>0</v>
      </c>
      <c r="R452" s="5" t="n">
        <v>0</v>
      </c>
      <c r="S452" s="5" t="n">
        <v>1</v>
      </c>
      <c r="T452" s="5" t="n">
        <v>0</v>
      </c>
      <c r="U452" s="5" t="inlineStr">
        <is>
          <t>testing</t>
        </is>
      </c>
      <c r="V452" s="5" t="n">
        <v>0</v>
      </c>
    </row>
    <row r="453">
      <c r="A453" s="5" t="n">
        <v>449</v>
      </c>
      <c r="B453" s="5" t="n">
        <v>0</v>
      </c>
      <c r="C453" s="6" t="n">
        <v>-0.7357010147163632</v>
      </c>
      <c r="D453" s="6" t="n">
        <v>-0.6391475718645057</v>
      </c>
      <c r="E453" s="6" t="n">
        <v>1.692494982783229</v>
      </c>
      <c r="F453" s="6" t="n">
        <v>0.01674764143977723</v>
      </c>
      <c r="G453" s="5" t="n">
        <v>0</v>
      </c>
      <c r="H453" s="5" t="n">
        <v>0</v>
      </c>
      <c r="I453" s="5" t="n">
        <v>1</v>
      </c>
      <c r="J453" s="5" t="n">
        <v>0</v>
      </c>
      <c r="K453" s="5" t="n">
        <v>0</v>
      </c>
      <c r="L453" s="5" t="n">
        <v>0</v>
      </c>
      <c r="M453" s="5" t="n">
        <v>0</v>
      </c>
      <c r="N453" s="5" t="n">
        <v>0</v>
      </c>
      <c r="O453" s="5" t="n">
        <v>1</v>
      </c>
      <c r="P453" s="5" t="n">
        <v>0</v>
      </c>
      <c r="Q453" s="5" t="n">
        <v>0</v>
      </c>
      <c r="R453" s="5" t="n">
        <v>0</v>
      </c>
      <c r="S453" s="5" t="n">
        <v>0</v>
      </c>
      <c r="T453" s="5" t="n">
        <v>1</v>
      </c>
      <c r="U453" s="5" t="inlineStr">
        <is>
          <t>testing</t>
        </is>
      </c>
      <c r="V453" s="5" t="n">
        <v>0</v>
      </c>
    </row>
    <row r="454">
      <c r="A454" s="5" t="n">
        <v>450</v>
      </c>
      <c r="B454" s="5" t="n">
        <v>1</v>
      </c>
      <c r="C454" s="6" t="n">
        <v>-0.4829241608380317</v>
      </c>
      <c r="D454" s="6" t="n">
        <v>-0.608357010588092</v>
      </c>
      <c r="E454" s="6" t="n">
        <v>2.214333106971274</v>
      </c>
      <c r="F454" s="6" t="n">
        <v>0.01674764143977723</v>
      </c>
      <c r="G454" s="5" t="n">
        <v>0</v>
      </c>
      <c r="H454" s="5" t="n">
        <v>1</v>
      </c>
      <c r="I454" s="5" t="n">
        <v>0</v>
      </c>
      <c r="J454" s="5" t="n">
        <v>0</v>
      </c>
      <c r="K454" s="5" t="n">
        <v>1</v>
      </c>
      <c r="L454" s="5" t="n">
        <v>0</v>
      </c>
      <c r="M454" s="5" t="n">
        <v>0</v>
      </c>
      <c r="N454" s="5" t="n">
        <v>1</v>
      </c>
      <c r="O454" s="5" t="n">
        <v>0</v>
      </c>
      <c r="P454" s="5" t="n">
        <v>0</v>
      </c>
      <c r="Q454" s="5" t="n">
        <v>0</v>
      </c>
      <c r="R454" s="5" t="n">
        <v>0</v>
      </c>
      <c r="S454" s="5" t="n">
        <v>0</v>
      </c>
      <c r="T454" s="5" t="n">
        <v>0</v>
      </c>
      <c r="U454" s="5" t="inlineStr">
        <is>
          <t>training</t>
        </is>
      </c>
      <c r="V454" s="5" t="n">
        <v>1</v>
      </c>
    </row>
    <row r="455">
      <c r="A455" s="5" t="n">
        <v>451</v>
      </c>
      <c r="B455" s="5" t="n">
        <v>0</v>
      </c>
      <c r="C455" s="6" t="n">
        <v>1.286513816310289</v>
      </c>
      <c r="D455" s="6" t="n">
        <v>2.730319531452126</v>
      </c>
      <c r="E455" s="6" t="n">
        <v>-0.4818305346669622</v>
      </c>
      <c r="F455" s="6" t="n">
        <v>0.9185437189662378</v>
      </c>
      <c r="G455" s="5" t="n">
        <v>0</v>
      </c>
      <c r="H455" s="5" t="n">
        <v>0</v>
      </c>
      <c r="I455" s="5" t="n">
        <v>0</v>
      </c>
      <c r="J455" s="5" t="n">
        <v>1</v>
      </c>
      <c r="K455" s="5" t="n">
        <v>0</v>
      </c>
      <c r="L455" s="5" t="n">
        <v>0</v>
      </c>
      <c r="M455" s="5" t="n">
        <v>0</v>
      </c>
      <c r="N455" s="5" t="n">
        <v>0</v>
      </c>
      <c r="O455" s="5" t="n">
        <v>1</v>
      </c>
      <c r="P455" s="5" t="n">
        <v>0</v>
      </c>
      <c r="Q455" s="5" t="n">
        <v>0</v>
      </c>
      <c r="R455" s="5" t="n">
        <v>1</v>
      </c>
      <c r="S455" s="5" t="n">
        <v>0</v>
      </c>
      <c r="T455" s="5" t="n">
        <v>0</v>
      </c>
      <c r="U455" s="5" t="inlineStr">
        <is>
          <t>testing</t>
        </is>
      </c>
      <c r="V455" s="5" t="n">
        <v>0</v>
      </c>
    </row>
    <row r="456">
      <c r="A456" s="5" t="n">
        <v>452</v>
      </c>
      <c r="B456" s="5" t="n">
        <v>0</v>
      </c>
      <c r="C456" s="6" t="n">
        <v>-1.241254722473026</v>
      </c>
      <c r="D456" s="6" t="n">
        <v>-0.9561503959148554</v>
      </c>
      <c r="E456" s="6" t="n">
        <v>-0.5688035553649698</v>
      </c>
      <c r="F456" s="6" t="n">
        <v>0.01674764143977723</v>
      </c>
      <c r="G456" s="5" t="n">
        <v>0</v>
      </c>
      <c r="H456" s="5" t="n">
        <v>0</v>
      </c>
      <c r="I456" s="5" t="n">
        <v>0</v>
      </c>
      <c r="J456" s="5" t="n">
        <v>0</v>
      </c>
      <c r="K456" s="5" t="n">
        <v>0</v>
      </c>
      <c r="L456" s="5" t="n">
        <v>0</v>
      </c>
      <c r="M456" s="5" t="n">
        <v>0</v>
      </c>
      <c r="N456" s="5" t="n">
        <v>0</v>
      </c>
      <c r="O456" s="5" t="n">
        <v>0</v>
      </c>
      <c r="P456" s="5" t="n">
        <v>0</v>
      </c>
      <c r="Q456" s="5" t="n">
        <v>0</v>
      </c>
      <c r="R456" s="5" t="n">
        <v>0</v>
      </c>
      <c r="S456" s="5" t="n">
        <v>1</v>
      </c>
      <c r="T456" s="5" t="n">
        <v>0</v>
      </c>
      <c r="U456" s="5" t="inlineStr">
        <is>
          <t>training</t>
        </is>
      </c>
      <c r="V456" s="5" t="n">
        <v>1</v>
      </c>
    </row>
    <row r="457">
      <c r="A457" s="5" t="n">
        <v>453</v>
      </c>
      <c r="B457" s="5" t="n">
        <v>0</v>
      </c>
      <c r="C457" s="6" t="n">
        <v>-0.7357010147163632</v>
      </c>
      <c r="D457" s="6" t="n">
        <v>-0.1720407615916393</v>
      </c>
      <c r="E457" s="6" t="n">
        <v>-0.1339384518749317</v>
      </c>
      <c r="F457" s="6" t="n">
        <v>-0.8850484360866833</v>
      </c>
      <c r="G457" s="5" t="n">
        <v>0</v>
      </c>
      <c r="H457" s="5" t="n">
        <v>0</v>
      </c>
      <c r="I457" s="5" t="n">
        <v>0</v>
      </c>
      <c r="J457" s="5" t="n">
        <v>0</v>
      </c>
      <c r="K457" s="5" t="n">
        <v>0</v>
      </c>
      <c r="L457" s="5" t="n">
        <v>1</v>
      </c>
      <c r="M457" s="5" t="n">
        <v>0</v>
      </c>
      <c r="N457" s="5" t="n">
        <v>0</v>
      </c>
      <c r="O457" s="5" t="n">
        <v>0</v>
      </c>
      <c r="P457" s="5" t="n">
        <v>0</v>
      </c>
      <c r="Q457" s="5" t="n">
        <v>0</v>
      </c>
      <c r="R457" s="5" t="n">
        <v>0</v>
      </c>
      <c r="S457" s="5" t="n">
        <v>0</v>
      </c>
      <c r="T457" s="5" t="n">
        <v>1</v>
      </c>
      <c r="U457" s="5" t="inlineStr">
        <is>
          <t>training</t>
        </is>
      </c>
      <c r="V457" s="5" t="n">
        <v>1</v>
      </c>
    </row>
    <row r="458">
      <c r="A458" s="5" t="n">
        <v>454</v>
      </c>
      <c r="B458" s="5" t="n">
        <v>0</v>
      </c>
      <c r="C458" s="6" t="n">
        <v>0.275406400796963</v>
      </c>
      <c r="D458" s="6" t="n">
        <v>-0.2031812156098304</v>
      </c>
      <c r="E458" s="6" t="n">
        <v>-0.04696543117692405</v>
      </c>
      <c r="F458" s="6" t="n">
        <v>0.9185437189662378</v>
      </c>
      <c r="G458" s="5" t="n">
        <v>0</v>
      </c>
      <c r="H458" s="5" t="n">
        <v>0</v>
      </c>
      <c r="I458" s="5" t="n">
        <v>0</v>
      </c>
      <c r="J458" s="5" t="n">
        <v>0</v>
      </c>
      <c r="K458" s="5" t="n">
        <v>0</v>
      </c>
      <c r="L458" s="5" t="n">
        <v>0</v>
      </c>
      <c r="M458" s="5" t="n">
        <v>0</v>
      </c>
      <c r="N458" s="5" t="n">
        <v>0</v>
      </c>
      <c r="O458" s="5" t="n">
        <v>0</v>
      </c>
      <c r="P458" s="5" t="n">
        <v>0</v>
      </c>
      <c r="Q458" s="5" t="n">
        <v>0</v>
      </c>
      <c r="R458" s="5" t="n">
        <v>1</v>
      </c>
      <c r="S458" s="5" t="n">
        <v>0</v>
      </c>
      <c r="T458" s="5" t="n">
        <v>0</v>
      </c>
      <c r="U458" s="5" t="inlineStr">
        <is>
          <t>testing</t>
        </is>
      </c>
      <c r="V458" s="5" t="n">
        <v>0</v>
      </c>
    </row>
    <row r="459">
      <c r="A459" s="5" t="n">
        <v>455</v>
      </c>
      <c r="B459" s="5" t="n">
        <v>1</v>
      </c>
      <c r="C459" s="6" t="n">
        <v>0.275406400796963</v>
      </c>
      <c r="D459" s="6" t="n">
        <v>0.5480385009863074</v>
      </c>
      <c r="E459" s="6" t="n">
        <v>-0.3948575139689546</v>
      </c>
      <c r="F459" s="6" t="n">
        <v>-0.8850484360866833</v>
      </c>
      <c r="G459" s="5" t="n">
        <v>1</v>
      </c>
      <c r="H459" s="5" t="n">
        <v>0</v>
      </c>
      <c r="I459" s="5" t="n">
        <v>0</v>
      </c>
      <c r="J459" s="5" t="n">
        <v>0</v>
      </c>
      <c r="K459" s="5" t="n">
        <v>0</v>
      </c>
      <c r="L459" s="5" t="n">
        <v>0</v>
      </c>
      <c r="M459" s="5" t="n">
        <v>0</v>
      </c>
      <c r="N459" s="5" t="n">
        <v>0</v>
      </c>
      <c r="O459" s="5" t="n">
        <v>0</v>
      </c>
      <c r="P459" s="5" t="n">
        <v>0</v>
      </c>
      <c r="Q459" s="5" t="n">
        <v>0</v>
      </c>
      <c r="R459" s="5" t="n">
        <v>1</v>
      </c>
      <c r="S459" s="5" t="n">
        <v>0</v>
      </c>
      <c r="T459" s="5" t="n">
        <v>0</v>
      </c>
      <c r="U459" s="5" t="inlineStr">
        <is>
          <t>testing</t>
        </is>
      </c>
      <c r="V459" s="5" t="n">
        <v>0</v>
      </c>
    </row>
    <row r="460">
      <c r="A460" s="5" t="n">
        <v>456</v>
      </c>
      <c r="B460" s="5" t="n">
        <v>0</v>
      </c>
      <c r="C460" s="6" t="n">
        <v>0.275406400796963</v>
      </c>
      <c r="D460" s="6" t="n">
        <v>-0.2000321809338336</v>
      </c>
      <c r="E460" s="6" t="n">
        <v>-0.5688035553649698</v>
      </c>
      <c r="F460" s="6" t="n">
        <v>0.9185437189662378</v>
      </c>
      <c r="G460" s="5" t="n">
        <v>0</v>
      </c>
      <c r="H460" s="5" t="n">
        <v>0</v>
      </c>
      <c r="I460" s="5" t="n">
        <v>0</v>
      </c>
      <c r="J460" s="5" t="n">
        <v>0</v>
      </c>
      <c r="K460" s="5" t="n">
        <v>0</v>
      </c>
      <c r="L460" s="5" t="n">
        <v>0</v>
      </c>
      <c r="M460" s="5" t="n">
        <v>0</v>
      </c>
      <c r="N460" s="5" t="n">
        <v>0</v>
      </c>
      <c r="O460" s="5" t="n">
        <v>0</v>
      </c>
      <c r="P460" s="5" t="n">
        <v>0</v>
      </c>
      <c r="Q460" s="5" t="n">
        <v>0</v>
      </c>
      <c r="R460" s="5" t="n">
        <v>1</v>
      </c>
      <c r="S460" s="5" t="n">
        <v>0</v>
      </c>
      <c r="T460" s="5" t="n">
        <v>0</v>
      </c>
      <c r="U460" s="5" t="inlineStr">
        <is>
          <t>testing</t>
        </is>
      </c>
      <c r="V460" s="5" t="n">
        <v>0</v>
      </c>
    </row>
    <row r="461">
      <c r="A461" s="5" t="n">
        <v>457</v>
      </c>
      <c r="B461" s="5" t="n">
        <v>0</v>
      </c>
      <c r="C461" s="6" t="n">
        <v>-0.8199599660091405</v>
      </c>
      <c r="D461" s="6" t="n">
        <v>0.2289363204852931</v>
      </c>
      <c r="E461" s="6" t="n">
        <v>0.04000758952108359</v>
      </c>
      <c r="F461" s="6" t="n">
        <v>-0.8850484360866833</v>
      </c>
      <c r="G461" s="5" t="n">
        <v>1</v>
      </c>
      <c r="H461" s="5" t="n">
        <v>0</v>
      </c>
      <c r="I461" s="5" t="n">
        <v>0</v>
      </c>
      <c r="J461" s="5" t="n">
        <v>1</v>
      </c>
      <c r="K461" s="5" t="n">
        <v>0</v>
      </c>
      <c r="L461" s="5" t="n">
        <v>0</v>
      </c>
      <c r="M461" s="5" t="n">
        <v>0</v>
      </c>
      <c r="N461" s="5" t="n">
        <v>0</v>
      </c>
      <c r="O461" s="5" t="n">
        <v>0</v>
      </c>
      <c r="P461" s="5" t="n">
        <v>1</v>
      </c>
      <c r="Q461" s="5" t="n">
        <v>0</v>
      </c>
      <c r="R461" s="5" t="n">
        <v>1</v>
      </c>
      <c r="S461" s="5" t="n">
        <v>0</v>
      </c>
      <c r="T461" s="5" t="n">
        <v>0</v>
      </c>
      <c r="U461" s="5" t="inlineStr">
        <is>
          <t>testing</t>
        </is>
      </c>
      <c r="V461" s="5" t="n">
        <v>0</v>
      </c>
    </row>
    <row r="462">
      <c r="A462" s="5" t="n">
        <v>458</v>
      </c>
      <c r="B462" s="5" t="n">
        <v>1</v>
      </c>
      <c r="C462" s="6" t="n">
        <v>-0.7357010147163632</v>
      </c>
      <c r="D462" s="6" t="n">
        <v>0.04734198750280798</v>
      </c>
      <c r="E462" s="6" t="n">
        <v>-0.04696543117692405</v>
      </c>
      <c r="F462" s="6" t="n">
        <v>0.01674764143977723</v>
      </c>
      <c r="G462" s="5" t="n">
        <v>1</v>
      </c>
      <c r="H462" s="5" t="n">
        <v>0</v>
      </c>
      <c r="I462" s="5" t="n">
        <v>0</v>
      </c>
      <c r="J462" s="5" t="n">
        <v>0</v>
      </c>
      <c r="K462" s="5" t="n">
        <v>0</v>
      </c>
      <c r="L462" s="5" t="n">
        <v>0</v>
      </c>
      <c r="M462" s="5" t="n">
        <v>0</v>
      </c>
      <c r="N462" s="5" t="n">
        <v>0</v>
      </c>
      <c r="O462" s="5" t="n">
        <v>0</v>
      </c>
      <c r="P462" s="5" t="n">
        <v>0</v>
      </c>
      <c r="Q462" s="5" t="n">
        <v>1</v>
      </c>
      <c r="R462" s="5" t="n">
        <v>1</v>
      </c>
      <c r="S462" s="5" t="n">
        <v>0</v>
      </c>
      <c r="T462" s="5" t="n">
        <v>0</v>
      </c>
      <c r="U462" s="5" t="inlineStr">
        <is>
          <t>training</t>
        </is>
      </c>
      <c r="V462" s="5" t="n">
        <v>1</v>
      </c>
    </row>
    <row r="463">
      <c r="A463" s="5" t="n">
        <v>459</v>
      </c>
      <c r="B463" s="5" t="n">
        <v>0</v>
      </c>
      <c r="C463" s="6" t="n">
        <v>-1.241254722473026</v>
      </c>
      <c r="D463" s="6" t="n">
        <v>-1.017381625725905</v>
      </c>
      <c r="E463" s="6" t="n">
        <v>-0.7427495967609852</v>
      </c>
      <c r="F463" s="6" t="n">
        <v>0.9185437189662378</v>
      </c>
      <c r="G463" s="5" t="n">
        <v>1</v>
      </c>
      <c r="H463" s="5" t="n">
        <v>0</v>
      </c>
      <c r="I463" s="5" t="n">
        <v>0</v>
      </c>
      <c r="J463" s="5" t="n">
        <v>0</v>
      </c>
      <c r="K463" s="5" t="n">
        <v>0</v>
      </c>
      <c r="L463" s="5" t="n">
        <v>0</v>
      </c>
      <c r="M463" s="5" t="n">
        <v>0</v>
      </c>
      <c r="N463" s="5" t="n">
        <v>0</v>
      </c>
      <c r="O463" s="5" t="n">
        <v>0</v>
      </c>
      <c r="P463" s="5" t="n">
        <v>0</v>
      </c>
      <c r="Q463" s="5" t="n">
        <v>0</v>
      </c>
      <c r="R463" s="5" t="n">
        <v>0</v>
      </c>
      <c r="S463" s="5" t="n">
        <v>0</v>
      </c>
      <c r="T463" s="5" t="n">
        <v>0</v>
      </c>
      <c r="U463" s="5" t="inlineStr">
        <is>
          <t>training</t>
        </is>
      </c>
      <c r="V463" s="5" t="n">
        <v>0</v>
      </c>
    </row>
    <row r="464">
      <c r="A464" s="5" t="n">
        <v>460</v>
      </c>
      <c r="B464" s="5" t="n">
        <v>0</v>
      </c>
      <c r="C464" s="6" t="n">
        <v>-0.2301473069597001</v>
      </c>
      <c r="D464" s="6" t="n">
        <v>0.4700124195699409</v>
      </c>
      <c r="E464" s="6" t="n">
        <v>-0.307884493270947</v>
      </c>
      <c r="F464" s="6" t="n">
        <v>0.01674764143977723</v>
      </c>
      <c r="G464" s="5" t="n">
        <v>0</v>
      </c>
      <c r="H464" s="5" t="n">
        <v>0</v>
      </c>
      <c r="I464" s="5" t="n">
        <v>0</v>
      </c>
      <c r="J464" s="5" t="n">
        <v>0</v>
      </c>
      <c r="K464" s="5" t="n">
        <v>0</v>
      </c>
      <c r="L464" s="5" t="n">
        <v>0</v>
      </c>
      <c r="M464" s="5" t="n">
        <v>0</v>
      </c>
      <c r="N464" s="5" t="n">
        <v>0</v>
      </c>
      <c r="O464" s="5" t="n">
        <v>0</v>
      </c>
      <c r="P464" s="5" t="n">
        <v>0</v>
      </c>
      <c r="Q464" s="5" t="n">
        <v>0</v>
      </c>
      <c r="R464" s="5" t="n">
        <v>0</v>
      </c>
      <c r="S464" s="5" t="n">
        <v>1</v>
      </c>
      <c r="T464" s="5" t="n">
        <v>0</v>
      </c>
      <c r="U464" s="5" t="inlineStr">
        <is>
          <t>testing</t>
        </is>
      </c>
      <c r="V464" s="5" t="n">
        <v>0</v>
      </c>
    </row>
    <row r="465">
      <c r="A465" s="5" t="n">
        <v>461</v>
      </c>
      <c r="B465" s="5" t="n">
        <v>0</v>
      </c>
      <c r="C465" s="6" t="n">
        <v>1.286513816310289</v>
      </c>
      <c r="D465" s="6" t="n">
        <v>0.1292168890787261</v>
      </c>
      <c r="E465" s="6" t="n">
        <v>0.1269806102190912</v>
      </c>
      <c r="F465" s="6" t="n">
        <v>-1.786844513613144</v>
      </c>
      <c r="G465" s="5" t="n">
        <v>1</v>
      </c>
      <c r="H465" s="5" t="n">
        <v>0</v>
      </c>
      <c r="I465" s="5" t="n">
        <v>0</v>
      </c>
      <c r="J465" s="5" t="n">
        <v>0</v>
      </c>
      <c r="K465" s="5" t="n">
        <v>0</v>
      </c>
      <c r="L465" s="5" t="n">
        <v>0</v>
      </c>
      <c r="M465" s="5" t="n">
        <v>0</v>
      </c>
      <c r="N465" s="5" t="n">
        <v>0</v>
      </c>
      <c r="O465" s="5" t="n">
        <v>0</v>
      </c>
      <c r="P465" s="5" t="n">
        <v>0</v>
      </c>
      <c r="Q465" s="5" t="n">
        <v>0</v>
      </c>
      <c r="R465" s="5" t="n">
        <v>0</v>
      </c>
      <c r="S465" s="5" t="n">
        <v>0</v>
      </c>
      <c r="T465" s="5" t="n">
        <v>1</v>
      </c>
      <c r="U465" s="5" t="inlineStr">
        <is>
          <t>training</t>
        </is>
      </c>
      <c r="V465" s="5" t="n">
        <v>0</v>
      </c>
    </row>
    <row r="466">
      <c r="A466" s="5" t="n">
        <v>462</v>
      </c>
      <c r="B466" s="5" t="n">
        <v>0</v>
      </c>
      <c r="C466" s="6" t="n">
        <v>-0.4829241608380317</v>
      </c>
      <c r="D466" s="6" t="n">
        <v>-0.5352294275566095</v>
      </c>
      <c r="E466" s="6" t="n">
        <v>0.04000758952108359</v>
      </c>
      <c r="F466" s="6" t="n">
        <v>-0.8850484360866833</v>
      </c>
      <c r="G466" s="5" t="n">
        <v>1</v>
      </c>
      <c r="H466" s="5" t="n">
        <v>0</v>
      </c>
      <c r="I466" s="5" t="n">
        <v>0</v>
      </c>
      <c r="J466" s="5" t="n">
        <v>0</v>
      </c>
      <c r="K466" s="5" t="n">
        <v>0</v>
      </c>
      <c r="L466" s="5" t="n">
        <v>0</v>
      </c>
      <c r="M466" s="5" t="n">
        <v>0</v>
      </c>
      <c r="N466" s="5" t="n">
        <v>0</v>
      </c>
      <c r="O466" s="5" t="n">
        <v>0</v>
      </c>
      <c r="P466" s="5" t="n">
        <v>0</v>
      </c>
      <c r="Q466" s="5" t="n">
        <v>0</v>
      </c>
      <c r="R466" s="5" t="n">
        <v>1</v>
      </c>
      <c r="S466" s="5" t="n">
        <v>0</v>
      </c>
      <c r="T466" s="5" t="n">
        <v>0</v>
      </c>
      <c r="U466" s="5" t="inlineStr">
        <is>
          <t>training</t>
        </is>
      </c>
      <c r="V466" s="5" t="n">
        <v>1</v>
      </c>
    </row>
    <row r="467">
      <c r="A467" s="5" t="n">
        <v>463</v>
      </c>
      <c r="B467" s="5" t="n">
        <v>0</v>
      </c>
      <c r="C467" s="6" t="n">
        <v>-0.7357010147163632</v>
      </c>
      <c r="D467" s="6" t="n">
        <v>-0.08176843421306293</v>
      </c>
      <c r="E467" s="6" t="n">
        <v>-0.1339384518749317</v>
      </c>
      <c r="F467" s="6" t="n">
        <v>0.01674764143977723</v>
      </c>
      <c r="G467" s="5" t="n">
        <v>0</v>
      </c>
      <c r="H467" s="5" t="n">
        <v>1</v>
      </c>
      <c r="I467" s="5" t="n">
        <v>0</v>
      </c>
      <c r="J467" s="5" t="n">
        <v>0</v>
      </c>
      <c r="K467" s="5" t="n">
        <v>0</v>
      </c>
      <c r="L467" s="5" t="n">
        <v>0</v>
      </c>
      <c r="M467" s="5" t="n">
        <v>0</v>
      </c>
      <c r="N467" s="5" t="n">
        <v>0</v>
      </c>
      <c r="O467" s="5" t="n">
        <v>0</v>
      </c>
      <c r="P467" s="5" t="n">
        <v>1</v>
      </c>
      <c r="Q467" s="5" t="n">
        <v>0</v>
      </c>
      <c r="R467" s="5" t="n">
        <v>0</v>
      </c>
      <c r="S467" s="5" t="n">
        <v>0</v>
      </c>
      <c r="T467" s="5" t="n">
        <v>1</v>
      </c>
      <c r="U467" s="5" t="inlineStr">
        <is>
          <t>testing</t>
        </is>
      </c>
      <c r="V467" s="5" t="n">
        <v>0</v>
      </c>
    </row>
    <row r="468">
      <c r="A468" s="5" t="n">
        <v>464</v>
      </c>
      <c r="B468" s="5" t="n">
        <v>0</v>
      </c>
      <c r="C468" s="6" t="n">
        <v>-0.7357010147163632</v>
      </c>
      <c r="D468" s="6" t="n">
        <v>-0.8735757088553824</v>
      </c>
      <c r="E468" s="6" t="n">
        <v>0.2139536309170988</v>
      </c>
      <c r="F468" s="6" t="n">
        <v>0.9185437189662378</v>
      </c>
      <c r="G468" s="5" t="n">
        <v>0</v>
      </c>
      <c r="H468" s="5" t="n">
        <v>1</v>
      </c>
      <c r="I468" s="5" t="n">
        <v>0</v>
      </c>
      <c r="J468" s="5" t="n">
        <v>0</v>
      </c>
      <c r="K468" s="5" t="n">
        <v>0</v>
      </c>
      <c r="L468" s="5" t="n">
        <v>0</v>
      </c>
      <c r="M468" s="5" t="n">
        <v>0</v>
      </c>
      <c r="N468" s="5" t="n">
        <v>0</v>
      </c>
      <c r="O468" s="5" t="n">
        <v>1</v>
      </c>
      <c r="P468" s="5" t="n">
        <v>0</v>
      </c>
      <c r="Q468" s="5" t="n">
        <v>0</v>
      </c>
      <c r="R468" s="5" t="n">
        <v>0</v>
      </c>
      <c r="S468" s="5" t="n">
        <v>0</v>
      </c>
      <c r="T468" s="5" t="n">
        <v>0</v>
      </c>
      <c r="U468" s="5" t="inlineStr">
        <is>
          <t>testing</t>
        </is>
      </c>
      <c r="V468" s="5" t="n">
        <v>0</v>
      </c>
    </row>
    <row r="469">
      <c r="A469" s="5" t="n">
        <v>465</v>
      </c>
      <c r="B469" s="5" t="n">
        <v>0</v>
      </c>
      <c r="C469" s="6" t="n">
        <v>-0.2301473069597001</v>
      </c>
      <c r="D469" s="6" t="n">
        <v>-0.4551039896895785</v>
      </c>
      <c r="E469" s="6" t="n">
        <v>-0.1339384518749317</v>
      </c>
      <c r="F469" s="6" t="n">
        <v>0.9185437189662378</v>
      </c>
      <c r="G469" s="5" t="n">
        <v>0</v>
      </c>
      <c r="H469" s="5" t="n">
        <v>0</v>
      </c>
      <c r="I469" s="5" t="n">
        <v>0</v>
      </c>
      <c r="J469" s="5" t="n">
        <v>0</v>
      </c>
      <c r="K469" s="5" t="n">
        <v>0</v>
      </c>
      <c r="L469" s="5" t="n">
        <v>0</v>
      </c>
      <c r="M469" s="5" t="n">
        <v>0</v>
      </c>
      <c r="N469" s="5" t="n">
        <v>0</v>
      </c>
      <c r="O469" s="5" t="n">
        <v>0</v>
      </c>
      <c r="P469" s="5" t="n">
        <v>0</v>
      </c>
      <c r="Q469" s="5" t="n">
        <v>0</v>
      </c>
      <c r="R469" s="5" t="n">
        <v>0</v>
      </c>
      <c r="S469" s="5" t="n">
        <v>0</v>
      </c>
      <c r="T469" s="5" t="n">
        <v>0</v>
      </c>
      <c r="U469" s="5" t="inlineStr">
        <is>
          <t>training</t>
        </is>
      </c>
      <c r="V469" s="5" t="n">
        <v>0</v>
      </c>
    </row>
    <row r="470">
      <c r="A470" s="5" t="n">
        <v>466</v>
      </c>
      <c r="B470" s="5" t="n">
        <v>0</v>
      </c>
      <c r="C470" s="6" t="n">
        <v>0.275406400796963</v>
      </c>
      <c r="D470" s="6" t="n">
        <v>-0.1143084591983637</v>
      </c>
      <c r="E470" s="6" t="n">
        <v>2.38827914836729</v>
      </c>
      <c r="F470" s="6" t="n">
        <v>0.01674764143977723</v>
      </c>
      <c r="G470" s="5" t="n">
        <v>1</v>
      </c>
      <c r="H470" s="5" t="n">
        <v>0</v>
      </c>
      <c r="I470" s="5" t="n">
        <v>0</v>
      </c>
      <c r="J470" s="5" t="n">
        <v>0</v>
      </c>
      <c r="K470" s="5" t="n">
        <v>0</v>
      </c>
      <c r="L470" s="5" t="n">
        <v>0</v>
      </c>
      <c r="M470" s="5" t="n">
        <v>0</v>
      </c>
      <c r="N470" s="5" t="n">
        <v>0</v>
      </c>
      <c r="O470" s="5" t="n">
        <v>0</v>
      </c>
      <c r="P470" s="5" t="n">
        <v>0</v>
      </c>
      <c r="Q470" s="5" t="n">
        <v>0</v>
      </c>
      <c r="R470" s="5" t="n">
        <v>1</v>
      </c>
      <c r="S470" s="5" t="n">
        <v>0</v>
      </c>
      <c r="T470" s="5" t="n">
        <v>0</v>
      </c>
      <c r="U470" s="5" t="inlineStr">
        <is>
          <t>training</t>
        </is>
      </c>
      <c r="V470" s="5" t="n">
        <v>1</v>
      </c>
    </row>
    <row r="471">
      <c r="A471" s="5" t="n">
        <v>467</v>
      </c>
      <c r="B471" s="5" t="n">
        <v>1</v>
      </c>
      <c r="C471" s="6" t="n">
        <v>0.275406400796963</v>
      </c>
      <c r="D471" s="6" t="n">
        <v>-0.5569227775468101</v>
      </c>
      <c r="E471" s="6" t="n">
        <v>-0.5688035553649698</v>
      </c>
      <c r="F471" s="6" t="n">
        <v>0.9185437189662378</v>
      </c>
      <c r="G471" s="5" t="n">
        <v>1</v>
      </c>
      <c r="H471" s="5" t="n">
        <v>0</v>
      </c>
      <c r="I471" s="5" t="n">
        <v>0</v>
      </c>
      <c r="J471" s="5" t="n">
        <v>0</v>
      </c>
      <c r="K471" s="5" t="n">
        <v>1</v>
      </c>
      <c r="L471" s="5" t="n">
        <v>0</v>
      </c>
      <c r="M471" s="5" t="n">
        <v>0</v>
      </c>
      <c r="N471" s="5" t="n">
        <v>0</v>
      </c>
      <c r="O471" s="5" t="n">
        <v>0</v>
      </c>
      <c r="P471" s="5" t="n">
        <v>1</v>
      </c>
      <c r="Q471" s="5" t="n">
        <v>0</v>
      </c>
      <c r="R471" s="5" t="n">
        <v>0</v>
      </c>
      <c r="S471" s="5" t="n">
        <v>1</v>
      </c>
      <c r="T471" s="5" t="n">
        <v>0</v>
      </c>
      <c r="U471" s="5" t="inlineStr">
        <is>
          <t>testing</t>
        </is>
      </c>
      <c r="V471" s="5" t="n">
        <v>0</v>
      </c>
    </row>
    <row r="472">
      <c r="A472" s="5" t="n">
        <v>468</v>
      </c>
      <c r="B472" s="5" t="n">
        <v>0</v>
      </c>
      <c r="C472" s="6" t="n">
        <v>2.297621231823615</v>
      </c>
      <c r="D472" s="6" t="n">
        <v>1.39512882882946</v>
      </c>
      <c r="E472" s="6" t="n">
        <v>-0.307884493270947</v>
      </c>
      <c r="F472" s="6" t="n">
        <v>0.01674764143977723</v>
      </c>
      <c r="G472" s="5" t="n">
        <v>0</v>
      </c>
      <c r="H472" s="5" t="n">
        <v>0</v>
      </c>
      <c r="I472" s="5" t="n">
        <v>0</v>
      </c>
      <c r="J472" s="5" t="n">
        <v>0</v>
      </c>
      <c r="K472" s="5" t="n">
        <v>1</v>
      </c>
      <c r="L472" s="5" t="n">
        <v>0</v>
      </c>
      <c r="M472" s="5" t="n">
        <v>0</v>
      </c>
      <c r="N472" s="5" t="n">
        <v>0</v>
      </c>
      <c r="O472" s="5" t="n">
        <v>1</v>
      </c>
      <c r="P472" s="5" t="n">
        <v>0</v>
      </c>
      <c r="Q472" s="5" t="n">
        <v>0</v>
      </c>
      <c r="R472" s="5" t="n">
        <v>0</v>
      </c>
      <c r="S472" s="5" t="n">
        <v>1</v>
      </c>
      <c r="T472" s="5" t="n">
        <v>0</v>
      </c>
      <c r="U472" s="5" t="inlineStr">
        <is>
          <t>testing</t>
        </is>
      </c>
      <c r="V472" s="5" t="n">
        <v>0</v>
      </c>
    </row>
    <row r="473">
      <c r="A473" s="5" t="n">
        <v>469</v>
      </c>
      <c r="B473" s="5" t="n">
        <v>0</v>
      </c>
      <c r="C473" s="6" t="n">
        <v>1.033736962431958</v>
      </c>
      <c r="D473" s="6" t="n">
        <v>-0.1702912978827522</v>
      </c>
      <c r="E473" s="6" t="n">
        <v>-0.8297226174589928</v>
      </c>
      <c r="F473" s="6" t="n">
        <v>-0.8850484360866833</v>
      </c>
      <c r="G473" s="5" t="n">
        <v>0</v>
      </c>
      <c r="H473" s="5" t="n">
        <v>0</v>
      </c>
      <c r="I473" s="5" t="n">
        <v>0</v>
      </c>
      <c r="J473" s="5" t="n">
        <v>0</v>
      </c>
      <c r="K473" s="5" t="n">
        <v>1</v>
      </c>
      <c r="L473" s="5" t="n">
        <v>0</v>
      </c>
      <c r="M473" s="5" t="n">
        <v>0</v>
      </c>
      <c r="N473" s="5" t="n">
        <v>0</v>
      </c>
      <c r="O473" s="5" t="n">
        <v>0</v>
      </c>
      <c r="P473" s="5" t="n">
        <v>0</v>
      </c>
      <c r="Q473" s="5" t="n">
        <v>0</v>
      </c>
      <c r="R473" s="5" t="n">
        <v>0</v>
      </c>
      <c r="S473" s="5" t="n">
        <v>0</v>
      </c>
      <c r="T473" s="5" t="n">
        <v>0</v>
      </c>
      <c r="U473" s="5" t="inlineStr">
        <is>
          <t>training</t>
        </is>
      </c>
      <c r="V473" s="5" t="n">
        <v>0</v>
      </c>
    </row>
    <row r="474">
      <c r="A474" s="5" t="n">
        <v>470</v>
      </c>
      <c r="B474" s="5" t="n">
        <v>0</v>
      </c>
      <c r="C474" s="6" t="n">
        <v>0.275406400796963</v>
      </c>
      <c r="D474" s="6" t="n">
        <v>0.4997533026210223</v>
      </c>
      <c r="E474" s="6" t="n">
        <v>-0.04696543117692405</v>
      </c>
      <c r="F474" s="6" t="n">
        <v>0.01674764143977723</v>
      </c>
      <c r="G474" s="5" t="n">
        <v>0</v>
      </c>
      <c r="H474" s="5" t="n">
        <v>0</v>
      </c>
      <c r="I474" s="5" t="n">
        <v>0</v>
      </c>
      <c r="J474" s="5" t="n">
        <v>0</v>
      </c>
      <c r="K474" s="5" t="n">
        <v>1</v>
      </c>
      <c r="L474" s="5" t="n">
        <v>0</v>
      </c>
      <c r="M474" s="5" t="n">
        <v>0</v>
      </c>
      <c r="N474" s="5" t="n">
        <v>0</v>
      </c>
      <c r="O474" s="5" t="n">
        <v>0</v>
      </c>
      <c r="P474" s="5" t="n">
        <v>0</v>
      </c>
      <c r="Q474" s="5" t="n">
        <v>0</v>
      </c>
      <c r="R474" s="5" t="n">
        <v>1</v>
      </c>
      <c r="S474" s="5" t="n">
        <v>0</v>
      </c>
      <c r="T474" s="5" t="n">
        <v>0</v>
      </c>
      <c r="U474" s="5" t="inlineStr">
        <is>
          <t>training</t>
        </is>
      </c>
      <c r="V474" s="5" t="n">
        <v>1</v>
      </c>
    </row>
    <row r="475">
      <c r="A475" s="5" t="n">
        <v>471</v>
      </c>
      <c r="B475" s="5" t="n">
        <v>1</v>
      </c>
      <c r="C475" s="6" t="n">
        <v>0.275406400796963</v>
      </c>
      <c r="D475" s="6" t="n">
        <v>-0.05552647857975584</v>
      </c>
      <c r="E475" s="6" t="n">
        <v>-1.177614700251023</v>
      </c>
      <c r="F475" s="6" t="n">
        <v>0.01674764143977723</v>
      </c>
      <c r="G475" s="5" t="n">
        <v>0</v>
      </c>
      <c r="H475" s="5" t="n">
        <v>1</v>
      </c>
      <c r="I475" s="5" t="n">
        <v>0</v>
      </c>
      <c r="J475" s="5" t="n">
        <v>0</v>
      </c>
      <c r="K475" s="5" t="n">
        <v>0</v>
      </c>
      <c r="L475" s="5" t="n">
        <v>0</v>
      </c>
      <c r="M475" s="5" t="n">
        <v>1</v>
      </c>
      <c r="N475" s="5" t="n">
        <v>0</v>
      </c>
      <c r="O475" s="5" t="n">
        <v>0</v>
      </c>
      <c r="P475" s="5" t="n">
        <v>1</v>
      </c>
      <c r="Q475" s="5" t="n">
        <v>0</v>
      </c>
      <c r="R475" s="5" t="n">
        <v>0</v>
      </c>
      <c r="S475" s="5" t="n">
        <v>1</v>
      </c>
      <c r="T475" s="5" t="n">
        <v>0</v>
      </c>
      <c r="U475" s="5" t="inlineStr">
        <is>
          <t>testing</t>
        </is>
      </c>
      <c r="V475" s="5" t="n">
        <v>0</v>
      </c>
    </row>
    <row r="476">
      <c r="A476" s="5" t="n">
        <v>472</v>
      </c>
      <c r="B476" s="5" t="n">
        <v>1</v>
      </c>
      <c r="C476" s="6" t="n">
        <v>-1.241254722473026</v>
      </c>
      <c r="D476" s="6" t="n">
        <v>-0.9806428878392753</v>
      </c>
      <c r="E476" s="6" t="n">
        <v>-1.090641679553016</v>
      </c>
      <c r="F476" s="6" t="n">
        <v>0.9185437189662378</v>
      </c>
      <c r="G476" s="5" t="n">
        <v>1</v>
      </c>
      <c r="H476" s="5" t="n">
        <v>0</v>
      </c>
      <c r="I476" s="5" t="n">
        <v>0</v>
      </c>
      <c r="J476" s="5" t="n">
        <v>0</v>
      </c>
      <c r="K476" s="5" t="n">
        <v>0</v>
      </c>
      <c r="L476" s="5" t="n">
        <v>0</v>
      </c>
      <c r="M476" s="5" t="n">
        <v>0</v>
      </c>
      <c r="N476" s="5" t="n">
        <v>0</v>
      </c>
      <c r="O476" s="5" t="n">
        <v>0</v>
      </c>
      <c r="P476" s="5" t="n">
        <v>0</v>
      </c>
      <c r="Q476" s="5" t="n">
        <v>0</v>
      </c>
      <c r="R476" s="5" t="n">
        <v>0</v>
      </c>
      <c r="S476" s="5" t="n">
        <v>0</v>
      </c>
      <c r="T476" s="5" t="n">
        <v>0</v>
      </c>
      <c r="U476" s="5" t="inlineStr">
        <is>
          <t>training</t>
        </is>
      </c>
      <c r="V476" s="5" t="n">
        <v>1</v>
      </c>
    </row>
    <row r="477">
      <c r="A477" s="5" t="n">
        <v>473</v>
      </c>
      <c r="B477" s="5" t="n">
        <v>1</v>
      </c>
      <c r="C477" s="6" t="n">
        <v>-0.9884778685946948</v>
      </c>
      <c r="D477" s="6" t="n">
        <v>-0.9085649830331252</v>
      </c>
      <c r="E477" s="6" t="n">
        <v>-0.6557765760629775</v>
      </c>
      <c r="F477" s="6" t="n">
        <v>0.9185437189662378</v>
      </c>
      <c r="G477" s="5" t="n">
        <v>1</v>
      </c>
      <c r="H477" s="5" t="n">
        <v>0</v>
      </c>
      <c r="I477" s="5" t="n">
        <v>0</v>
      </c>
      <c r="J477" s="5" t="n">
        <v>0</v>
      </c>
      <c r="K477" s="5" t="n">
        <v>0</v>
      </c>
      <c r="L477" s="5" t="n">
        <v>0</v>
      </c>
      <c r="M477" s="5" t="n">
        <v>0</v>
      </c>
      <c r="N477" s="5" t="n">
        <v>0</v>
      </c>
      <c r="O477" s="5" t="n">
        <v>0</v>
      </c>
      <c r="P477" s="5" t="n">
        <v>0</v>
      </c>
      <c r="Q477" s="5" t="n">
        <v>0</v>
      </c>
      <c r="R477" s="5" t="n">
        <v>1</v>
      </c>
      <c r="S477" s="5" t="n">
        <v>0</v>
      </c>
      <c r="T477" s="5" t="n">
        <v>0</v>
      </c>
      <c r="U477" s="5" t="inlineStr">
        <is>
          <t>testing</t>
        </is>
      </c>
      <c r="V477" s="5" t="n">
        <v>0</v>
      </c>
    </row>
    <row r="478">
      <c r="A478" s="5" t="n">
        <v>474</v>
      </c>
      <c r="B478" s="5" t="n">
        <v>0</v>
      </c>
      <c r="C478" s="6" t="n">
        <v>-1.241254722473026</v>
      </c>
      <c r="D478" s="6" t="n">
        <v>-0.7042276218351072</v>
      </c>
      <c r="E478" s="6" t="n">
        <v>0.04000758952108359</v>
      </c>
      <c r="F478" s="6" t="n">
        <v>0.9185437189662378</v>
      </c>
      <c r="G478" s="5" t="n">
        <v>0</v>
      </c>
      <c r="H478" s="5" t="n">
        <v>0</v>
      </c>
      <c r="I478" s="5" t="n">
        <v>0</v>
      </c>
      <c r="J478" s="5" t="n">
        <v>0</v>
      </c>
      <c r="K478" s="5" t="n">
        <v>0</v>
      </c>
      <c r="L478" s="5" t="n">
        <v>0</v>
      </c>
      <c r="M478" s="5" t="n">
        <v>0</v>
      </c>
      <c r="N478" s="5" t="n">
        <v>0</v>
      </c>
      <c r="O478" s="5" t="n">
        <v>1</v>
      </c>
      <c r="P478" s="5" t="n">
        <v>0</v>
      </c>
      <c r="Q478" s="5" t="n">
        <v>0</v>
      </c>
      <c r="R478" s="5" t="n">
        <v>0</v>
      </c>
      <c r="S478" s="5" t="n">
        <v>0</v>
      </c>
      <c r="T478" s="5" t="n">
        <v>0</v>
      </c>
      <c r="U478" s="5" t="inlineStr">
        <is>
          <t>testing</t>
        </is>
      </c>
      <c r="V478" s="5" t="n">
        <v>0</v>
      </c>
    </row>
    <row r="479">
      <c r="A479" s="5" t="n">
        <v>475</v>
      </c>
      <c r="B479" s="5" t="n">
        <v>1</v>
      </c>
      <c r="C479" s="6" t="n">
        <v>-0.2301473069597001</v>
      </c>
      <c r="D479" s="6" t="n">
        <v>-0.7017783726426653</v>
      </c>
      <c r="E479" s="6" t="n">
        <v>-0.2209114725729393</v>
      </c>
      <c r="F479" s="6" t="n">
        <v>0.9185437189662378</v>
      </c>
      <c r="G479" s="5" t="n">
        <v>0</v>
      </c>
      <c r="H479" s="5" t="n">
        <v>1</v>
      </c>
      <c r="I479" s="5" t="n">
        <v>0</v>
      </c>
      <c r="J479" s="5" t="n">
        <v>1</v>
      </c>
      <c r="K479" s="5" t="n">
        <v>0</v>
      </c>
      <c r="L479" s="5" t="n">
        <v>0</v>
      </c>
      <c r="M479" s="5" t="n">
        <v>0</v>
      </c>
      <c r="N479" s="5" t="n">
        <v>0</v>
      </c>
      <c r="O479" s="5" t="n">
        <v>0</v>
      </c>
      <c r="P479" s="5" t="n">
        <v>0</v>
      </c>
      <c r="Q479" s="5" t="n">
        <v>0</v>
      </c>
      <c r="R479" s="5" t="n">
        <v>0</v>
      </c>
      <c r="S479" s="5" t="n">
        <v>1</v>
      </c>
      <c r="T479" s="5" t="n">
        <v>0</v>
      </c>
      <c r="U479" s="5" t="inlineStr">
        <is>
          <t>training</t>
        </is>
      </c>
      <c r="V479" s="5" t="n">
        <v>1</v>
      </c>
    </row>
    <row r="480">
      <c r="A480" s="5" t="n">
        <v>476</v>
      </c>
      <c r="B480" s="5" t="n">
        <v>1</v>
      </c>
      <c r="C480" s="6" t="n">
        <v>-0.2301473069597001</v>
      </c>
      <c r="D480" s="6" t="n">
        <v>-0.04782883826065242</v>
      </c>
      <c r="E480" s="6" t="n">
        <v>-0.8297226174589928</v>
      </c>
      <c r="F480" s="6" t="n">
        <v>-1.786844513613144</v>
      </c>
      <c r="G480" s="5" t="n">
        <v>1</v>
      </c>
      <c r="H480" s="5" t="n">
        <v>0</v>
      </c>
      <c r="I480" s="5" t="n">
        <v>0</v>
      </c>
      <c r="J480" s="5" t="n">
        <v>0</v>
      </c>
      <c r="K480" s="5" t="n">
        <v>0</v>
      </c>
      <c r="L480" s="5" t="n">
        <v>1</v>
      </c>
      <c r="M480" s="5" t="n">
        <v>0</v>
      </c>
      <c r="N480" s="5" t="n">
        <v>0</v>
      </c>
      <c r="O480" s="5" t="n">
        <v>0</v>
      </c>
      <c r="P480" s="5" t="n">
        <v>1</v>
      </c>
      <c r="Q480" s="5" t="n">
        <v>0</v>
      </c>
      <c r="R480" s="5" t="n">
        <v>0</v>
      </c>
      <c r="S480" s="5" t="n">
        <v>0</v>
      </c>
      <c r="T480" s="5" t="n">
        <v>1</v>
      </c>
      <c r="U480" s="5" t="inlineStr">
        <is>
          <t>training</t>
        </is>
      </c>
      <c r="V480" s="5" t="n">
        <v>1</v>
      </c>
    </row>
    <row r="481">
      <c r="A481" s="5" t="n">
        <v>477</v>
      </c>
      <c r="B481" s="5" t="n">
        <v>0</v>
      </c>
      <c r="C481" s="6" t="n">
        <v>1.539290670188621</v>
      </c>
      <c r="D481" s="6" t="n">
        <v>-0.2385203825293506</v>
      </c>
      <c r="E481" s="6" t="n">
        <v>-1.003668658855008</v>
      </c>
      <c r="F481" s="6" t="n">
        <v>0.9185437189662378</v>
      </c>
      <c r="G481" s="5" t="n">
        <v>0</v>
      </c>
      <c r="H481" s="5" t="n">
        <v>0</v>
      </c>
      <c r="I481" s="5" t="n">
        <v>0</v>
      </c>
      <c r="J481" s="5" t="n">
        <v>0</v>
      </c>
      <c r="K481" s="5" t="n">
        <v>0</v>
      </c>
      <c r="L481" s="5" t="n">
        <v>0</v>
      </c>
      <c r="M481" s="5" t="n">
        <v>1</v>
      </c>
      <c r="N481" s="5" t="n">
        <v>0</v>
      </c>
      <c r="O481" s="5" t="n">
        <v>0</v>
      </c>
      <c r="P481" s="5" t="n">
        <v>0</v>
      </c>
      <c r="Q481" s="5" t="n">
        <v>0</v>
      </c>
      <c r="R481" s="5" t="n">
        <v>1</v>
      </c>
      <c r="S481" s="5" t="n">
        <v>0</v>
      </c>
      <c r="T481" s="5" t="n">
        <v>0</v>
      </c>
      <c r="U481" s="5" t="inlineStr">
        <is>
          <t>testing</t>
        </is>
      </c>
      <c r="V481" s="5" t="n">
        <v>0</v>
      </c>
    </row>
    <row r="482">
      <c r="A482" s="5" t="n">
        <v>478</v>
      </c>
      <c r="B482" s="5" t="n">
        <v>0</v>
      </c>
      <c r="C482" s="6" t="n">
        <v>0.275406400796963</v>
      </c>
      <c r="D482" s="6" t="n">
        <v>0.6652525694817457</v>
      </c>
      <c r="E482" s="6" t="n">
        <v>-0.9166956381570004</v>
      </c>
      <c r="F482" s="6" t="n">
        <v>0.9185437189662378</v>
      </c>
      <c r="G482" s="5" t="n">
        <v>0</v>
      </c>
      <c r="H482" s="5" t="n">
        <v>0</v>
      </c>
      <c r="I482" s="5" t="n">
        <v>1</v>
      </c>
      <c r="J482" s="5" t="n">
        <v>0</v>
      </c>
      <c r="K482" s="5" t="n">
        <v>0</v>
      </c>
      <c r="L482" s="5" t="n">
        <v>0</v>
      </c>
      <c r="M482" s="5" t="n">
        <v>0</v>
      </c>
      <c r="N482" s="5" t="n">
        <v>0</v>
      </c>
      <c r="O482" s="5" t="n">
        <v>0</v>
      </c>
      <c r="P482" s="5" t="n">
        <v>0</v>
      </c>
      <c r="Q482" s="5" t="n">
        <v>0</v>
      </c>
      <c r="R482" s="5" t="n">
        <v>0</v>
      </c>
      <c r="S482" s="5" t="n">
        <v>1</v>
      </c>
      <c r="T482" s="5" t="n">
        <v>0</v>
      </c>
      <c r="U482" s="5" t="inlineStr">
        <is>
          <t>training</t>
        </is>
      </c>
      <c r="V482" s="5" t="n">
        <v>1</v>
      </c>
    </row>
    <row r="483">
      <c r="A483" s="5" t="n">
        <v>479</v>
      </c>
      <c r="B483" s="5" t="n">
        <v>0</v>
      </c>
      <c r="C483" s="6" t="n">
        <v>-0.7357010147163632</v>
      </c>
      <c r="D483" s="6" t="n">
        <v>-0.7745560629323702</v>
      </c>
      <c r="E483" s="6" t="n">
        <v>0.3009266516151065</v>
      </c>
      <c r="F483" s="6" t="n">
        <v>0.01674764143977723</v>
      </c>
      <c r="G483" s="5" t="n">
        <v>0</v>
      </c>
      <c r="H483" s="5" t="n">
        <v>1</v>
      </c>
      <c r="I483" s="5" t="n">
        <v>0</v>
      </c>
      <c r="J483" s="5" t="n">
        <v>0</v>
      </c>
      <c r="K483" s="5" t="n">
        <v>0</v>
      </c>
      <c r="L483" s="5" t="n">
        <v>0</v>
      </c>
      <c r="M483" s="5" t="n">
        <v>1</v>
      </c>
      <c r="N483" s="5" t="n">
        <v>0</v>
      </c>
      <c r="O483" s="5" t="n">
        <v>0</v>
      </c>
      <c r="P483" s="5" t="n">
        <v>0</v>
      </c>
      <c r="Q483" s="5" t="n">
        <v>0</v>
      </c>
      <c r="R483" s="5" t="n">
        <v>0</v>
      </c>
      <c r="S483" s="5" t="n">
        <v>0</v>
      </c>
      <c r="T483" s="5" t="n">
        <v>0</v>
      </c>
      <c r="U483" s="5" t="inlineStr">
        <is>
          <t>training</t>
        </is>
      </c>
      <c r="V483" s="5" t="n">
        <v>0</v>
      </c>
    </row>
    <row r="484">
      <c r="A484" s="5" t="n">
        <v>480</v>
      </c>
      <c r="B484" s="5" t="n">
        <v>0</v>
      </c>
      <c r="C484" s="6" t="n">
        <v>-0.4829241608380317</v>
      </c>
      <c r="D484" s="6" t="n">
        <v>-0.6202533638085246</v>
      </c>
      <c r="E484" s="6" t="n">
        <v>0.7357917551051447</v>
      </c>
      <c r="F484" s="6" t="n">
        <v>0.9185437189662378</v>
      </c>
      <c r="G484" s="5" t="n">
        <v>1</v>
      </c>
      <c r="H484" s="5" t="n">
        <v>0</v>
      </c>
      <c r="I484" s="5" t="n">
        <v>0</v>
      </c>
      <c r="J484" s="5" t="n">
        <v>1</v>
      </c>
      <c r="K484" s="5" t="n">
        <v>0</v>
      </c>
      <c r="L484" s="5" t="n">
        <v>0</v>
      </c>
      <c r="M484" s="5" t="n">
        <v>0</v>
      </c>
      <c r="N484" s="5" t="n">
        <v>0</v>
      </c>
      <c r="O484" s="5" t="n">
        <v>0</v>
      </c>
      <c r="P484" s="5" t="n">
        <v>0</v>
      </c>
      <c r="Q484" s="5" t="n">
        <v>0</v>
      </c>
      <c r="R484" s="5" t="n">
        <v>0</v>
      </c>
      <c r="S484" s="5" t="n">
        <v>0</v>
      </c>
      <c r="T484" s="5" t="n">
        <v>1</v>
      </c>
      <c r="U484" s="5" t="inlineStr">
        <is>
          <t>training</t>
        </is>
      </c>
      <c r="V484" s="5" t="n">
        <v>1</v>
      </c>
    </row>
    <row r="485">
      <c r="A485" s="5" t="n">
        <v>481</v>
      </c>
      <c r="B485" s="5" t="n">
        <v>0</v>
      </c>
      <c r="C485" s="6" t="n">
        <v>-0.7357010147163632</v>
      </c>
      <c r="D485" s="6" t="n">
        <v>0.112771930215187</v>
      </c>
      <c r="E485" s="6" t="n">
        <v>-1.090641679553016</v>
      </c>
      <c r="F485" s="6" t="n">
        <v>-1.786844513613144</v>
      </c>
      <c r="G485" s="5" t="n">
        <v>0</v>
      </c>
      <c r="H485" s="5" t="n">
        <v>1</v>
      </c>
      <c r="I485" s="5" t="n">
        <v>0</v>
      </c>
      <c r="J485" s="5" t="n">
        <v>1</v>
      </c>
      <c r="K485" s="5" t="n">
        <v>0</v>
      </c>
      <c r="L485" s="5" t="n">
        <v>0</v>
      </c>
      <c r="M485" s="5" t="n">
        <v>0</v>
      </c>
      <c r="N485" s="5" t="n">
        <v>0</v>
      </c>
      <c r="O485" s="5" t="n">
        <v>0</v>
      </c>
      <c r="P485" s="5" t="n">
        <v>0</v>
      </c>
      <c r="Q485" s="5" t="n">
        <v>0</v>
      </c>
      <c r="R485" s="5" t="n">
        <v>0</v>
      </c>
      <c r="S485" s="5" t="n">
        <v>1</v>
      </c>
      <c r="T485" s="5" t="n">
        <v>0</v>
      </c>
      <c r="U485" s="5" t="inlineStr">
        <is>
          <t>testing</t>
        </is>
      </c>
      <c r="V485" s="5" t="n">
        <v>0</v>
      </c>
    </row>
    <row r="486">
      <c r="A486" s="5" t="n">
        <v>482</v>
      </c>
      <c r="B486" s="5" t="n">
        <v>0</v>
      </c>
      <c r="C486" s="6" t="n">
        <v>0.275406400796963</v>
      </c>
      <c r="D486" s="6" t="n">
        <v>-0.7171736532808721</v>
      </c>
      <c r="E486" s="6" t="n">
        <v>-0.8297226174589928</v>
      </c>
      <c r="F486" s="6" t="n">
        <v>0.9185437189662378</v>
      </c>
      <c r="G486" s="5" t="n">
        <v>0</v>
      </c>
      <c r="H486" s="5" t="n">
        <v>1</v>
      </c>
      <c r="I486" s="5" t="n">
        <v>0</v>
      </c>
      <c r="J486" s="5" t="n">
        <v>0</v>
      </c>
      <c r="K486" s="5" t="n">
        <v>0</v>
      </c>
      <c r="L486" s="5" t="n">
        <v>0</v>
      </c>
      <c r="M486" s="5" t="n">
        <v>0</v>
      </c>
      <c r="N486" s="5" t="n">
        <v>0</v>
      </c>
      <c r="O486" s="5" t="n">
        <v>0</v>
      </c>
      <c r="P486" s="5" t="n">
        <v>0</v>
      </c>
      <c r="Q486" s="5" t="n">
        <v>0</v>
      </c>
      <c r="R486" s="5" t="n">
        <v>1</v>
      </c>
      <c r="S486" s="5" t="n">
        <v>0</v>
      </c>
      <c r="T486" s="5" t="n">
        <v>0</v>
      </c>
      <c r="U486" s="5" t="inlineStr">
        <is>
          <t>training</t>
        </is>
      </c>
      <c r="V486" s="5" t="n">
        <v>0</v>
      </c>
    </row>
    <row r="487">
      <c r="A487" s="5" t="n">
        <v>483</v>
      </c>
      <c r="B487" s="5" t="n">
        <v>0</v>
      </c>
      <c r="C487" s="6" t="n">
        <v>0.7809601085536261</v>
      </c>
      <c r="D487" s="6" t="n">
        <v>0.129916674562281</v>
      </c>
      <c r="E487" s="6" t="n">
        <v>1.866441024179244</v>
      </c>
      <c r="F487" s="6" t="n">
        <v>0.9185437189662378</v>
      </c>
      <c r="G487" s="5" t="n">
        <v>1</v>
      </c>
      <c r="H487" s="5" t="n">
        <v>0</v>
      </c>
      <c r="I487" s="5" t="n">
        <v>0</v>
      </c>
      <c r="J487" s="5" t="n">
        <v>0</v>
      </c>
      <c r="K487" s="5" t="n">
        <v>0</v>
      </c>
      <c r="L487" s="5" t="n">
        <v>0</v>
      </c>
      <c r="M487" s="5" t="n">
        <v>0</v>
      </c>
      <c r="N487" s="5" t="n">
        <v>1</v>
      </c>
      <c r="O487" s="5" t="n">
        <v>0</v>
      </c>
      <c r="P487" s="5" t="n">
        <v>1</v>
      </c>
      <c r="Q487" s="5" t="n">
        <v>0</v>
      </c>
      <c r="R487" s="5" t="n">
        <v>0</v>
      </c>
      <c r="S487" s="5" t="n">
        <v>0</v>
      </c>
      <c r="T487" s="5" t="n">
        <v>1</v>
      </c>
      <c r="U487" s="5" t="inlineStr">
        <is>
          <t>training</t>
        </is>
      </c>
      <c r="V487" s="5" t="n">
        <v>0</v>
      </c>
    </row>
    <row r="488">
      <c r="A488" s="5" t="n">
        <v>484</v>
      </c>
      <c r="B488" s="5" t="n">
        <v>0</v>
      </c>
      <c r="C488" s="6" t="n">
        <v>-0.4829241608380317</v>
      </c>
      <c r="D488" s="6" t="n">
        <v>-0.8014978040492322</v>
      </c>
      <c r="E488" s="6" t="n">
        <v>-0.4818305346669622</v>
      </c>
      <c r="F488" s="6" t="n">
        <v>0.01674764143977723</v>
      </c>
      <c r="G488" s="5" t="n">
        <v>0</v>
      </c>
      <c r="H488" s="5" t="n">
        <v>0</v>
      </c>
      <c r="I488" s="5" t="n">
        <v>0</v>
      </c>
      <c r="J488" s="5" t="n">
        <v>0</v>
      </c>
      <c r="K488" s="5" t="n">
        <v>1</v>
      </c>
      <c r="L488" s="5" t="n">
        <v>0</v>
      </c>
      <c r="M488" s="5" t="n">
        <v>0</v>
      </c>
      <c r="N488" s="5" t="n">
        <v>1</v>
      </c>
      <c r="O488" s="5" t="n">
        <v>0</v>
      </c>
      <c r="P488" s="5" t="n">
        <v>0</v>
      </c>
      <c r="Q488" s="5" t="n">
        <v>0</v>
      </c>
      <c r="R488" s="5" t="n">
        <v>0</v>
      </c>
      <c r="S488" s="5" t="n">
        <v>0</v>
      </c>
      <c r="T488" s="5" t="n">
        <v>1</v>
      </c>
      <c r="U488" s="5" t="inlineStr">
        <is>
          <t>training</t>
        </is>
      </c>
      <c r="V488" s="5" t="n">
        <v>1</v>
      </c>
    </row>
    <row r="489">
      <c r="A489" s="5" t="n">
        <v>485</v>
      </c>
      <c r="B489" s="5" t="n">
        <v>0</v>
      </c>
      <c r="C489" s="6" t="n">
        <v>-0.7357010147163632</v>
      </c>
      <c r="D489" s="6" t="n">
        <v>-0.7304695774684143</v>
      </c>
      <c r="E489" s="6" t="n">
        <v>0.7357917551051447</v>
      </c>
      <c r="F489" s="6" t="n">
        <v>0.9185437189662378</v>
      </c>
      <c r="G489" s="5" t="n">
        <v>0</v>
      </c>
      <c r="H489" s="5" t="n">
        <v>0</v>
      </c>
      <c r="I489" s="5" t="n">
        <v>0</v>
      </c>
      <c r="J489" s="5" t="n">
        <v>1</v>
      </c>
      <c r="K489" s="5" t="n">
        <v>0</v>
      </c>
      <c r="L489" s="5" t="n">
        <v>0</v>
      </c>
      <c r="M489" s="5" t="n">
        <v>1</v>
      </c>
      <c r="N489" s="5" t="n">
        <v>0</v>
      </c>
      <c r="O489" s="5" t="n">
        <v>0</v>
      </c>
      <c r="P489" s="5" t="n">
        <v>0</v>
      </c>
      <c r="Q489" s="5" t="n">
        <v>0</v>
      </c>
      <c r="R489" s="5" t="n">
        <v>1</v>
      </c>
      <c r="S489" s="5" t="n">
        <v>0</v>
      </c>
      <c r="T489" s="5" t="n">
        <v>0</v>
      </c>
      <c r="U489" s="5" t="inlineStr">
        <is>
          <t>testing</t>
        </is>
      </c>
      <c r="V489" s="5" t="n">
        <v>0</v>
      </c>
    </row>
    <row r="490">
      <c r="A490" s="5" t="n">
        <v>486</v>
      </c>
      <c r="B490" s="5" t="n">
        <v>1</v>
      </c>
      <c r="C490" s="6" t="n">
        <v>-1.241254722473026</v>
      </c>
      <c r="D490" s="6" t="n">
        <v>-0.7143745113466526</v>
      </c>
      <c r="E490" s="6" t="n">
        <v>0.9967108171991675</v>
      </c>
      <c r="F490" s="6" t="n">
        <v>0.9185437189662378</v>
      </c>
      <c r="G490" s="5" t="n">
        <v>0</v>
      </c>
      <c r="H490" s="5" t="n">
        <v>1</v>
      </c>
      <c r="I490" s="5" t="n">
        <v>0</v>
      </c>
      <c r="J490" s="5" t="n">
        <v>0</v>
      </c>
      <c r="K490" s="5" t="n">
        <v>1</v>
      </c>
      <c r="L490" s="5" t="n">
        <v>0</v>
      </c>
      <c r="M490" s="5" t="n">
        <v>0</v>
      </c>
      <c r="N490" s="5" t="n">
        <v>0</v>
      </c>
      <c r="O490" s="5" t="n">
        <v>0</v>
      </c>
      <c r="P490" s="5" t="n">
        <v>0</v>
      </c>
      <c r="Q490" s="5" t="n">
        <v>0</v>
      </c>
      <c r="R490" s="5" t="n">
        <v>1</v>
      </c>
      <c r="S490" s="5" t="n">
        <v>0</v>
      </c>
      <c r="T490" s="5" t="n">
        <v>0</v>
      </c>
      <c r="U490" s="5" t="inlineStr">
        <is>
          <t>training</t>
        </is>
      </c>
      <c r="V490" s="5" t="n">
        <v>1</v>
      </c>
    </row>
    <row r="491">
      <c r="A491" s="5" t="n">
        <v>487</v>
      </c>
      <c r="B491" s="5" t="n">
        <v>0</v>
      </c>
      <c r="C491" s="6" t="n">
        <v>-0.7357010147163632</v>
      </c>
      <c r="D491" s="6" t="n">
        <v>-0.06077486970641726</v>
      </c>
      <c r="E491" s="6" t="n">
        <v>1.431575920689206</v>
      </c>
      <c r="F491" s="6" t="n">
        <v>-0.8850484360866833</v>
      </c>
      <c r="G491" s="5" t="n">
        <v>0</v>
      </c>
      <c r="H491" s="5" t="n">
        <v>0</v>
      </c>
      <c r="I491" s="5" t="n">
        <v>0</v>
      </c>
      <c r="J491" s="5" t="n">
        <v>0</v>
      </c>
      <c r="K491" s="5" t="n">
        <v>0</v>
      </c>
      <c r="L491" s="5" t="n">
        <v>0</v>
      </c>
      <c r="M491" s="5" t="n">
        <v>0</v>
      </c>
      <c r="N491" s="5" t="n">
        <v>0</v>
      </c>
      <c r="O491" s="5" t="n">
        <v>0</v>
      </c>
      <c r="P491" s="5" t="n">
        <v>0</v>
      </c>
      <c r="Q491" s="5" t="n">
        <v>0</v>
      </c>
      <c r="R491" s="5" t="n">
        <v>0</v>
      </c>
      <c r="S491" s="5" t="n">
        <v>1</v>
      </c>
      <c r="T491" s="5" t="n">
        <v>0</v>
      </c>
      <c r="U491" s="5" t="inlineStr">
        <is>
          <t>training</t>
        </is>
      </c>
      <c r="V491" s="5" t="n">
        <v>0</v>
      </c>
    </row>
    <row r="492">
      <c r="A492" s="5" t="n">
        <v>488</v>
      </c>
      <c r="B492" s="5" t="n">
        <v>0</v>
      </c>
      <c r="C492" s="6" t="n">
        <v>0.275406400796963</v>
      </c>
      <c r="D492" s="6" t="n">
        <v>0.1771521947022338</v>
      </c>
      <c r="E492" s="6" t="n">
        <v>2.301306127669282</v>
      </c>
      <c r="F492" s="6" t="n">
        <v>0.9185437189662378</v>
      </c>
      <c r="G492" s="5" t="n">
        <v>0</v>
      </c>
      <c r="H492" s="5" t="n">
        <v>0</v>
      </c>
      <c r="I492" s="5" t="n">
        <v>0</v>
      </c>
      <c r="J492" s="5" t="n">
        <v>0</v>
      </c>
      <c r="K492" s="5" t="n">
        <v>0</v>
      </c>
      <c r="L492" s="5" t="n">
        <v>0</v>
      </c>
      <c r="M492" s="5" t="n">
        <v>0</v>
      </c>
      <c r="N492" s="5" t="n">
        <v>0</v>
      </c>
      <c r="O492" s="5" t="n">
        <v>0</v>
      </c>
      <c r="P492" s="5" t="n">
        <v>0</v>
      </c>
      <c r="Q492" s="5" t="n">
        <v>1</v>
      </c>
      <c r="R492" s="5" t="n">
        <v>1</v>
      </c>
      <c r="S492" s="5" t="n">
        <v>0</v>
      </c>
      <c r="T492" s="5" t="n">
        <v>0</v>
      </c>
      <c r="U492" s="5" t="inlineStr">
        <is>
          <t>training</t>
        </is>
      </c>
      <c r="V492" s="5" t="n">
        <v>1</v>
      </c>
    </row>
    <row r="493">
      <c r="A493" s="5" t="n">
        <v>489</v>
      </c>
      <c r="B493" s="5" t="n">
        <v>0</v>
      </c>
      <c r="C493" s="6" t="n">
        <v>-0.9042189173019176</v>
      </c>
      <c r="D493" s="6" t="n">
        <v>-0.6412469283151703</v>
      </c>
      <c r="E493" s="6" t="n">
        <v>-0.04696543117692405</v>
      </c>
      <c r="F493" s="6" t="n">
        <v>0.01674764143977723</v>
      </c>
      <c r="G493" s="5" t="n">
        <v>0</v>
      </c>
      <c r="H493" s="5" t="n">
        <v>0</v>
      </c>
      <c r="I493" s="5" t="n">
        <v>0</v>
      </c>
      <c r="J493" s="5" t="n">
        <v>0</v>
      </c>
      <c r="K493" s="5" t="n">
        <v>0</v>
      </c>
      <c r="L493" s="5" t="n">
        <v>0</v>
      </c>
      <c r="M493" s="5" t="n">
        <v>1</v>
      </c>
      <c r="N493" s="5" t="n">
        <v>0</v>
      </c>
      <c r="O493" s="5" t="n">
        <v>0</v>
      </c>
      <c r="P493" s="5" t="n">
        <v>1</v>
      </c>
      <c r="Q493" s="5" t="n">
        <v>0</v>
      </c>
      <c r="R493" s="5" t="n">
        <v>1</v>
      </c>
      <c r="S493" s="5" t="n">
        <v>0</v>
      </c>
      <c r="T493" s="5" t="n">
        <v>0</v>
      </c>
      <c r="U493" s="5" t="inlineStr">
        <is>
          <t>training</t>
        </is>
      </c>
      <c r="V493" s="5" t="n">
        <v>0</v>
      </c>
    </row>
    <row r="494">
      <c r="A494" s="5" t="n">
        <v>490</v>
      </c>
      <c r="B494" s="5" t="n">
        <v>0</v>
      </c>
      <c r="C494" s="6" t="n">
        <v>-1.241254722473026</v>
      </c>
      <c r="D494" s="6" t="n">
        <v>0.09352782941742847</v>
      </c>
      <c r="E494" s="6" t="n">
        <v>-0.8297226174589928</v>
      </c>
      <c r="F494" s="6" t="n">
        <v>-0.8850484360866833</v>
      </c>
      <c r="G494" s="5" t="n">
        <v>0</v>
      </c>
      <c r="H494" s="5" t="n">
        <v>0</v>
      </c>
      <c r="I494" s="5" t="n">
        <v>0</v>
      </c>
      <c r="J494" s="5" t="n">
        <v>0</v>
      </c>
      <c r="K494" s="5" t="n">
        <v>0</v>
      </c>
      <c r="L494" s="5" t="n">
        <v>0</v>
      </c>
      <c r="M494" s="5" t="n">
        <v>0</v>
      </c>
      <c r="N494" s="5" t="n">
        <v>0</v>
      </c>
      <c r="O494" s="5" t="n">
        <v>0</v>
      </c>
      <c r="P494" s="5" t="n">
        <v>1</v>
      </c>
      <c r="Q494" s="5" t="n">
        <v>0</v>
      </c>
      <c r="R494" s="5" t="n">
        <v>1</v>
      </c>
      <c r="S494" s="5" t="n">
        <v>0</v>
      </c>
      <c r="T494" s="5" t="n">
        <v>0</v>
      </c>
      <c r="U494" s="5" t="inlineStr">
        <is>
          <t>training</t>
        </is>
      </c>
      <c r="V494" s="5" t="n">
        <v>0</v>
      </c>
    </row>
    <row r="495">
      <c r="A495" s="5" t="n">
        <v>491</v>
      </c>
      <c r="B495" s="5" t="n">
        <v>0</v>
      </c>
      <c r="C495" s="6" t="n">
        <v>-0.7357010147163632</v>
      </c>
      <c r="D495" s="6" t="n">
        <v>-0.4607022735580174</v>
      </c>
      <c r="E495" s="6" t="n">
        <v>-0.8297226174589928</v>
      </c>
      <c r="F495" s="6" t="n">
        <v>-0.8850484360866833</v>
      </c>
      <c r="G495" s="5" t="n">
        <v>0</v>
      </c>
      <c r="H495" s="5" t="n">
        <v>0</v>
      </c>
      <c r="I495" s="5" t="n">
        <v>0</v>
      </c>
      <c r="J495" s="5" t="n">
        <v>1</v>
      </c>
      <c r="K495" s="5" t="n">
        <v>0</v>
      </c>
      <c r="L495" s="5" t="n">
        <v>0</v>
      </c>
      <c r="M495" s="5" t="n">
        <v>0</v>
      </c>
      <c r="N495" s="5" t="n">
        <v>0</v>
      </c>
      <c r="O495" s="5" t="n">
        <v>0</v>
      </c>
      <c r="P495" s="5" t="n">
        <v>0</v>
      </c>
      <c r="Q495" s="5" t="n">
        <v>0</v>
      </c>
      <c r="R495" s="5" t="n">
        <v>0</v>
      </c>
      <c r="S495" s="5" t="n">
        <v>1</v>
      </c>
      <c r="T495" s="5" t="n">
        <v>0</v>
      </c>
      <c r="U495" s="5" t="inlineStr">
        <is>
          <t>testing</t>
        </is>
      </c>
      <c r="V495" s="5" t="n">
        <v>0</v>
      </c>
    </row>
    <row r="496">
      <c r="A496" s="5" t="n">
        <v>492</v>
      </c>
      <c r="B496" s="5" t="n">
        <v>1</v>
      </c>
      <c r="C496" s="6" t="n">
        <v>0.5281832546752946</v>
      </c>
      <c r="D496" s="6" t="n">
        <v>1.773012989949083</v>
      </c>
      <c r="E496" s="6" t="n">
        <v>0.5618457137091294</v>
      </c>
      <c r="F496" s="6" t="n">
        <v>-0.8850484360866833</v>
      </c>
      <c r="G496" s="5" t="n">
        <v>0</v>
      </c>
      <c r="H496" s="5" t="n">
        <v>1</v>
      </c>
      <c r="I496" s="5" t="n">
        <v>0</v>
      </c>
      <c r="J496" s="5" t="n">
        <v>0</v>
      </c>
      <c r="K496" s="5" t="n">
        <v>0</v>
      </c>
      <c r="L496" s="5" t="n">
        <v>1</v>
      </c>
      <c r="M496" s="5" t="n">
        <v>0</v>
      </c>
      <c r="N496" s="5" t="n">
        <v>0</v>
      </c>
      <c r="O496" s="5" t="n">
        <v>0</v>
      </c>
      <c r="P496" s="5" t="n">
        <v>0</v>
      </c>
      <c r="Q496" s="5" t="n">
        <v>1</v>
      </c>
      <c r="R496" s="5" t="n">
        <v>0</v>
      </c>
      <c r="S496" s="5" t="n">
        <v>0</v>
      </c>
      <c r="T496" s="5" t="n">
        <v>0</v>
      </c>
      <c r="U496" s="5" t="inlineStr">
        <is>
          <t>testing</t>
        </is>
      </c>
      <c r="V496" s="5" t="n">
        <v>0</v>
      </c>
    </row>
    <row r="497">
      <c r="A497" s="5" t="n">
        <v>493</v>
      </c>
      <c r="B497" s="5" t="n">
        <v>0</v>
      </c>
      <c r="C497" s="6" t="n">
        <v>-1.241254722473026</v>
      </c>
      <c r="D497" s="6" t="n">
        <v>-0.7045775145768847</v>
      </c>
      <c r="E497" s="6" t="n">
        <v>-0.7427495967609852</v>
      </c>
      <c r="F497" s="6" t="n">
        <v>-1.786844513613144</v>
      </c>
      <c r="G497" s="5" t="n">
        <v>0</v>
      </c>
      <c r="H497" s="5" t="n">
        <v>0</v>
      </c>
      <c r="I497" s="5" t="n">
        <v>0</v>
      </c>
      <c r="J497" s="5" t="n">
        <v>1</v>
      </c>
      <c r="K497" s="5" t="n">
        <v>0</v>
      </c>
      <c r="L497" s="5" t="n">
        <v>0</v>
      </c>
      <c r="M497" s="5" t="n">
        <v>1</v>
      </c>
      <c r="N497" s="5" t="n">
        <v>0</v>
      </c>
      <c r="O497" s="5" t="n">
        <v>0</v>
      </c>
      <c r="P497" s="5" t="n">
        <v>0</v>
      </c>
      <c r="Q497" s="5" t="n">
        <v>0</v>
      </c>
      <c r="R497" s="5" t="n">
        <v>0</v>
      </c>
      <c r="S497" s="5" t="n">
        <v>1</v>
      </c>
      <c r="T497" s="5" t="n">
        <v>0</v>
      </c>
      <c r="U497" s="5" t="inlineStr">
        <is>
          <t>training</t>
        </is>
      </c>
      <c r="V497" s="5" t="n">
        <v>1</v>
      </c>
    </row>
    <row r="498">
      <c r="A498" s="5" t="n">
        <v>494</v>
      </c>
      <c r="B498" s="5" t="n">
        <v>0</v>
      </c>
      <c r="C498" s="6" t="n">
        <v>-1.241254722473026</v>
      </c>
      <c r="D498" s="6" t="n">
        <v>-1.00863430718147</v>
      </c>
      <c r="E498" s="6" t="n">
        <v>0.2139536309170988</v>
      </c>
      <c r="F498" s="6" t="n">
        <v>0.9185437189662378</v>
      </c>
      <c r="G498" s="5" t="n">
        <v>0</v>
      </c>
      <c r="H498" s="5" t="n">
        <v>1</v>
      </c>
      <c r="I498" s="5" t="n">
        <v>0</v>
      </c>
      <c r="J498" s="5" t="n">
        <v>0</v>
      </c>
      <c r="K498" s="5" t="n">
        <v>0</v>
      </c>
      <c r="L498" s="5" t="n">
        <v>0</v>
      </c>
      <c r="M498" s="5" t="n">
        <v>0</v>
      </c>
      <c r="N498" s="5" t="n">
        <v>0</v>
      </c>
      <c r="O498" s="5" t="n">
        <v>1</v>
      </c>
      <c r="P498" s="5" t="n">
        <v>0</v>
      </c>
      <c r="Q498" s="5" t="n">
        <v>0</v>
      </c>
      <c r="R498" s="5" t="n">
        <v>0</v>
      </c>
      <c r="S498" s="5" t="n">
        <v>1</v>
      </c>
      <c r="T498" s="5" t="n">
        <v>0</v>
      </c>
      <c r="U498" s="5" t="inlineStr">
        <is>
          <t>training</t>
        </is>
      </c>
      <c r="V498" s="5" t="n">
        <v>0</v>
      </c>
    </row>
    <row r="499">
      <c r="A499" s="5" t="n">
        <v>495</v>
      </c>
      <c r="B499" s="5" t="n">
        <v>0</v>
      </c>
      <c r="C499" s="6" t="n">
        <v>-0.7357010147163632</v>
      </c>
      <c r="D499" s="6" t="n">
        <v>-0.394922438103861</v>
      </c>
      <c r="E499" s="6" t="n">
        <v>0.3009266516151065</v>
      </c>
      <c r="F499" s="6" t="n">
        <v>0.01674764143977723</v>
      </c>
      <c r="G499" s="5" t="n">
        <v>1</v>
      </c>
      <c r="H499" s="5" t="n">
        <v>0</v>
      </c>
      <c r="I499" s="5" t="n">
        <v>0</v>
      </c>
      <c r="J499" s="5" t="n">
        <v>1</v>
      </c>
      <c r="K499" s="5" t="n">
        <v>0</v>
      </c>
      <c r="L499" s="5" t="n">
        <v>0</v>
      </c>
      <c r="M499" s="5" t="n">
        <v>0</v>
      </c>
      <c r="N499" s="5" t="n">
        <v>0</v>
      </c>
      <c r="O499" s="5" t="n">
        <v>0</v>
      </c>
      <c r="P499" s="5" t="n">
        <v>1</v>
      </c>
      <c r="Q499" s="5" t="n">
        <v>0</v>
      </c>
      <c r="R499" s="5" t="n">
        <v>1</v>
      </c>
      <c r="S499" s="5" t="n">
        <v>0</v>
      </c>
      <c r="T499" s="5" t="n">
        <v>0</v>
      </c>
      <c r="U499" s="5" t="inlineStr">
        <is>
          <t>testing</t>
        </is>
      </c>
      <c r="V499" s="5" t="n">
        <v>0</v>
      </c>
    </row>
    <row r="500">
      <c r="A500" s="5" t="n">
        <v>496</v>
      </c>
      <c r="B500" s="5" t="n">
        <v>1</v>
      </c>
      <c r="C500" s="6" t="n">
        <v>0.275406400796963</v>
      </c>
      <c r="D500" s="6" t="n">
        <v>-0.08911618179038892</v>
      </c>
      <c r="E500" s="6" t="n">
        <v>-1.351560741647039</v>
      </c>
      <c r="F500" s="6" t="n">
        <v>-0.8850484360866833</v>
      </c>
      <c r="G500" s="5" t="n">
        <v>1</v>
      </c>
      <c r="H500" s="5" t="n">
        <v>0</v>
      </c>
      <c r="I500" s="5" t="n">
        <v>0</v>
      </c>
      <c r="J500" s="5" t="n">
        <v>0</v>
      </c>
      <c r="K500" s="5" t="n">
        <v>0</v>
      </c>
      <c r="L500" s="5" t="n">
        <v>0</v>
      </c>
      <c r="M500" s="5" t="n">
        <v>0</v>
      </c>
      <c r="N500" s="5" t="n">
        <v>0</v>
      </c>
      <c r="O500" s="5" t="n">
        <v>1</v>
      </c>
      <c r="P500" s="5" t="n">
        <v>0</v>
      </c>
      <c r="Q500" s="5" t="n">
        <v>0</v>
      </c>
      <c r="R500" s="5" t="n">
        <v>0</v>
      </c>
      <c r="S500" s="5" t="n">
        <v>0</v>
      </c>
      <c r="T500" s="5" t="n">
        <v>1</v>
      </c>
      <c r="U500" s="5" t="inlineStr">
        <is>
          <t>testing</t>
        </is>
      </c>
      <c r="V500" s="5" t="n">
        <v>0</v>
      </c>
    </row>
    <row r="501">
      <c r="A501" s="5" t="n">
        <v>497</v>
      </c>
      <c r="B501" s="5" t="n">
        <v>1</v>
      </c>
      <c r="C501" s="6" t="n">
        <v>1.286513816310289</v>
      </c>
      <c r="D501" s="6" t="n">
        <v>2.023536193061721</v>
      </c>
      <c r="E501" s="6" t="n">
        <v>-0.5688035553649698</v>
      </c>
      <c r="F501" s="6" t="n">
        <v>0.9185437189662378</v>
      </c>
      <c r="G501" s="5" t="n">
        <v>0</v>
      </c>
      <c r="H501" s="5" t="n">
        <v>1</v>
      </c>
      <c r="I501" s="5" t="n">
        <v>0</v>
      </c>
      <c r="J501" s="5" t="n">
        <v>0</v>
      </c>
      <c r="K501" s="5" t="n">
        <v>0</v>
      </c>
      <c r="L501" s="5" t="n">
        <v>0</v>
      </c>
      <c r="M501" s="5" t="n">
        <v>1</v>
      </c>
      <c r="N501" s="5" t="n">
        <v>0</v>
      </c>
      <c r="O501" s="5" t="n">
        <v>0</v>
      </c>
      <c r="P501" s="5" t="n">
        <v>1</v>
      </c>
      <c r="Q501" s="5" t="n">
        <v>0</v>
      </c>
      <c r="R501" s="5" t="n">
        <v>0</v>
      </c>
      <c r="S501" s="5" t="n">
        <v>0</v>
      </c>
      <c r="T501" s="5" t="n">
        <v>1</v>
      </c>
      <c r="U501" s="5" t="inlineStr">
        <is>
          <t>testing</t>
        </is>
      </c>
      <c r="V501" s="5" t="n">
        <v>0</v>
      </c>
    </row>
    <row r="502">
      <c r="A502" s="5" t="n">
        <v>498</v>
      </c>
      <c r="B502" s="5" t="n">
        <v>0</v>
      </c>
      <c r="C502" s="6" t="n">
        <v>0.275406400796963</v>
      </c>
      <c r="D502" s="6" t="n">
        <v>-0.5828148404383398</v>
      </c>
      <c r="E502" s="6" t="n">
        <v>0.3878996723131141</v>
      </c>
      <c r="F502" s="6" t="n">
        <v>0.9185437189662378</v>
      </c>
      <c r="G502" s="5" t="n">
        <v>0</v>
      </c>
      <c r="H502" s="5" t="n">
        <v>0</v>
      </c>
      <c r="I502" s="5" t="n">
        <v>0</v>
      </c>
      <c r="J502" s="5" t="n">
        <v>1</v>
      </c>
      <c r="K502" s="5" t="n">
        <v>0</v>
      </c>
      <c r="L502" s="5" t="n">
        <v>0</v>
      </c>
      <c r="M502" s="5" t="n">
        <v>0</v>
      </c>
      <c r="N502" s="5" t="n">
        <v>0</v>
      </c>
      <c r="O502" s="5" t="n">
        <v>0</v>
      </c>
      <c r="P502" s="5" t="n">
        <v>0</v>
      </c>
      <c r="Q502" s="5" t="n">
        <v>0</v>
      </c>
      <c r="R502" s="5" t="n">
        <v>0</v>
      </c>
      <c r="S502" s="5" t="n">
        <v>0</v>
      </c>
      <c r="T502" s="5" t="n">
        <v>1</v>
      </c>
      <c r="U502" s="5" t="inlineStr">
        <is>
          <t>testing</t>
        </is>
      </c>
      <c r="V502" s="5" t="n">
        <v>0</v>
      </c>
    </row>
    <row r="503">
      <c r="A503" s="5" t="n">
        <v>499</v>
      </c>
      <c r="B503" s="5" t="n">
        <v>0</v>
      </c>
      <c r="C503" s="6" t="n">
        <v>-0.2301473069597001</v>
      </c>
      <c r="D503" s="6" t="n">
        <v>-0.6821843791031292</v>
      </c>
      <c r="E503" s="6" t="n">
        <v>-0.307884493270947</v>
      </c>
      <c r="F503" s="6" t="n">
        <v>0.9185437189662378</v>
      </c>
      <c r="G503" s="5" t="n">
        <v>0</v>
      </c>
      <c r="H503" s="5" t="n">
        <v>1</v>
      </c>
      <c r="I503" s="5" t="n">
        <v>0</v>
      </c>
      <c r="J503" s="5" t="n">
        <v>0</v>
      </c>
      <c r="K503" s="5" t="n">
        <v>0</v>
      </c>
      <c r="L503" s="5" t="n">
        <v>0</v>
      </c>
      <c r="M503" s="5" t="n">
        <v>0</v>
      </c>
      <c r="N503" s="5" t="n">
        <v>0</v>
      </c>
      <c r="O503" s="5" t="n">
        <v>0</v>
      </c>
      <c r="P503" s="5" t="n">
        <v>0</v>
      </c>
      <c r="Q503" s="5" t="n">
        <v>0</v>
      </c>
      <c r="R503" s="5" t="n">
        <v>0</v>
      </c>
      <c r="S503" s="5" t="n">
        <v>1</v>
      </c>
      <c r="T503" s="5" t="n">
        <v>0</v>
      </c>
      <c r="U503" s="5" t="inlineStr">
        <is>
          <t>training</t>
        </is>
      </c>
      <c r="V503" s="5" t="n">
        <v>1</v>
      </c>
    </row>
    <row r="504">
      <c r="A504" s="5" t="n">
        <v>500</v>
      </c>
      <c r="B504" s="5" t="n">
        <v>0</v>
      </c>
      <c r="C504" s="6" t="n">
        <v>-1.241254722473026</v>
      </c>
      <c r="D504" s="6" t="n">
        <v>-0.6744867387840259</v>
      </c>
      <c r="E504" s="6" t="n">
        <v>-0.6557765760629775</v>
      </c>
      <c r="F504" s="6" t="n">
        <v>-0.8850484360866833</v>
      </c>
      <c r="G504" s="5" t="n">
        <v>0</v>
      </c>
      <c r="H504" s="5" t="n">
        <v>0</v>
      </c>
      <c r="I504" s="5" t="n">
        <v>1</v>
      </c>
      <c r="J504" s="5" t="n">
        <v>1</v>
      </c>
      <c r="K504" s="5" t="n">
        <v>0</v>
      </c>
      <c r="L504" s="5" t="n">
        <v>0</v>
      </c>
      <c r="M504" s="5" t="n">
        <v>1</v>
      </c>
      <c r="N504" s="5" t="n">
        <v>0</v>
      </c>
      <c r="O504" s="5" t="n">
        <v>0</v>
      </c>
      <c r="P504" s="5" t="n">
        <v>0</v>
      </c>
      <c r="Q504" s="5" t="n">
        <v>0</v>
      </c>
      <c r="R504" s="5" t="n">
        <v>1</v>
      </c>
      <c r="S504" s="5" t="n">
        <v>0</v>
      </c>
      <c r="T504" s="5" t="n">
        <v>0</v>
      </c>
      <c r="U504" s="5" t="inlineStr">
        <is>
          <t>training</t>
        </is>
      </c>
      <c r="V504" s="5" t="n">
        <v>0</v>
      </c>
    </row>
    <row r="505">
      <c r="A505" s="5" t="n">
        <v>501</v>
      </c>
      <c r="B505" s="5" t="n">
        <v>1</v>
      </c>
      <c r="C505" s="6" t="n">
        <v>0.275406400796963</v>
      </c>
      <c r="D505" s="6" t="n">
        <v>-0.04467980358465557</v>
      </c>
      <c r="E505" s="6" t="n">
        <v>-0.7427495967609852</v>
      </c>
      <c r="F505" s="6" t="n">
        <v>0.9185437189662378</v>
      </c>
      <c r="G505" s="5" t="n">
        <v>1</v>
      </c>
      <c r="H505" s="5" t="n">
        <v>0</v>
      </c>
      <c r="I505" s="5" t="n">
        <v>0</v>
      </c>
      <c r="J505" s="5" t="n">
        <v>0</v>
      </c>
      <c r="K505" s="5" t="n">
        <v>0</v>
      </c>
      <c r="L505" s="5" t="n">
        <v>0</v>
      </c>
      <c r="M505" s="5" t="n">
        <v>0</v>
      </c>
      <c r="N505" s="5" t="n">
        <v>0</v>
      </c>
      <c r="O505" s="5" t="n">
        <v>0</v>
      </c>
      <c r="P505" s="5" t="n">
        <v>0</v>
      </c>
      <c r="Q505" s="5" t="n">
        <v>0</v>
      </c>
      <c r="R505" s="5" t="n">
        <v>1</v>
      </c>
      <c r="S505" s="5" t="n">
        <v>0</v>
      </c>
      <c r="T505" s="5" t="n">
        <v>0</v>
      </c>
      <c r="U505" s="5" t="inlineStr">
        <is>
          <t>training</t>
        </is>
      </c>
      <c r="V505" s="5" t="n">
        <v>1</v>
      </c>
    </row>
    <row r="506">
      <c r="A506" s="5" t="n">
        <v>502</v>
      </c>
      <c r="B506" s="5" t="n">
        <v>0</v>
      </c>
      <c r="C506" s="6" t="n">
        <v>1.286513816310289</v>
      </c>
      <c r="D506" s="6" t="n">
        <v>0.7845659944278487</v>
      </c>
      <c r="E506" s="6" t="n">
        <v>0.5618457137091294</v>
      </c>
      <c r="F506" s="6" t="n">
        <v>-0.8850484360866833</v>
      </c>
      <c r="G506" s="5" t="n">
        <v>1</v>
      </c>
      <c r="H506" s="5" t="n">
        <v>0</v>
      </c>
      <c r="I506" s="5" t="n">
        <v>0</v>
      </c>
      <c r="J506" s="5" t="n">
        <v>0</v>
      </c>
      <c r="K506" s="5" t="n">
        <v>0</v>
      </c>
      <c r="L506" s="5" t="n">
        <v>0</v>
      </c>
      <c r="M506" s="5" t="n">
        <v>0</v>
      </c>
      <c r="N506" s="5" t="n">
        <v>0</v>
      </c>
      <c r="O506" s="5" t="n">
        <v>0</v>
      </c>
      <c r="P506" s="5" t="n">
        <v>0</v>
      </c>
      <c r="Q506" s="5" t="n">
        <v>1</v>
      </c>
      <c r="R506" s="5" t="n">
        <v>1</v>
      </c>
      <c r="S506" s="5" t="n">
        <v>0</v>
      </c>
      <c r="T506" s="5" t="n">
        <v>0</v>
      </c>
      <c r="U506" s="5" t="inlineStr">
        <is>
          <t>training</t>
        </is>
      </c>
      <c r="V506" s="5" t="n">
        <v>0</v>
      </c>
    </row>
    <row r="507">
      <c r="A507" s="5" t="n">
        <v>503</v>
      </c>
      <c r="B507" s="5" t="n">
        <v>0</v>
      </c>
      <c r="C507" s="6" t="n">
        <v>-0.9884778685946948</v>
      </c>
      <c r="D507" s="6" t="n">
        <v>-0.7434156089141791</v>
      </c>
      <c r="E507" s="6" t="n">
        <v>1.170656858595183</v>
      </c>
      <c r="F507" s="6" t="n">
        <v>-0.8850484360866833</v>
      </c>
      <c r="G507" s="5" t="n">
        <v>0</v>
      </c>
      <c r="H507" s="5" t="n">
        <v>0</v>
      </c>
      <c r="I507" s="5" t="n">
        <v>1</v>
      </c>
      <c r="J507" s="5" t="n">
        <v>0</v>
      </c>
      <c r="K507" s="5" t="n">
        <v>0</v>
      </c>
      <c r="L507" s="5" t="n">
        <v>0</v>
      </c>
      <c r="M507" s="5" t="n">
        <v>1</v>
      </c>
      <c r="N507" s="5" t="n">
        <v>0</v>
      </c>
      <c r="O507" s="5" t="n">
        <v>0</v>
      </c>
      <c r="P507" s="5" t="n">
        <v>0</v>
      </c>
      <c r="Q507" s="5" t="n">
        <v>0</v>
      </c>
      <c r="R507" s="5" t="n">
        <v>0</v>
      </c>
      <c r="S507" s="5" t="n">
        <v>1</v>
      </c>
      <c r="T507" s="5" t="n">
        <v>0</v>
      </c>
      <c r="U507" s="5" t="inlineStr">
        <is>
          <t>training</t>
        </is>
      </c>
      <c r="V507" s="5" t="n">
        <v>1</v>
      </c>
    </row>
    <row r="508">
      <c r="A508" s="5" t="n">
        <v>504</v>
      </c>
      <c r="B508" s="5" t="n">
        <v>1</v>
      </c>
      <c r="C508" s="6" t="n">
        <v>0.275406400796963</v>
      </c>
      <c r="D508" s="6" t="n">
        <v>-0.7119252621542107</v>
      </c>
      <c r="E508" s="6" t="n">
        <v>0.2139536309170988</v>
      </c>
      <c r="F508" s="6" t="n">
        <v>0.9185437189662378</v>
      </c>
      <c r="G508" s="5" t="n">
        <v>0</v>
      </c>
      <c r="H508" s="5" t="n">
        <v>1</v>
      </c>
      <c r="I508" s="5" t="n">
        <v>0</v>
      </c>
      <c r="J508" s="5" t="n">
        <v>1</v>
      </c>
      <c r="K508" s="5" t="n">
        <v>0</v>
      </c>
      <c r="L508" s="5" t="n">
        <v>0</v>
      </c>
      <c r="M508" s="5" t="n">
        <v>1</v>
      </c>
      <c r="N508" s="5" t="n">
        <v>0</v>
      </c>
      <c r="O508" s="5" t="n">
        <v>0</v>
      </c>
      <c r="P508" s="5" t="n">
        <v>0</v>
      </c>
      <c r="Q508" s="5" t="n">
        <v>0</v>
      </c>
      <c r="R508" s="5" t="n">
        <v>0</v>
      </c>
      <c r="S508" s="5" t="n">
        <v>1</v>
      </c>
      <c r="T508" s="5" t="n">
        <v>0</v>
      </c>
      <c r="U508" s="5" t="inlineStr">
        <is>
          <t>training</t>
        </is>
      </c>
      <c r="V508" s="5" t="n">
        <v>1</v>
      </c>
    </row>
    <row r="509">
      <c r="A509" s="5" t="n">
        <v>505</v>
      </c>
      <c r="B509" s="5" t="n">
        <v>1</v>
      </c>
      <c r="C509" s="6" t="n">
        <v>0.275406400796963</v>
      </c>
      <c r="D509" s="6" t="n">
        <v>-0.7150742968302075</v>
      </c>
      <c r="E509" s="6" t="n">
        <v>-1.003668658855008</v>
      </c>
      <c r="F509" s="6" t="n">
        <v>0.9185437189662378</v>
      </c>
      <c r="G509" s="5" t="n">
        <v>1</v>
      </c>
      <c r="H509" s="5" t="n">
        <v>0</v>
      </c>
      <c r="I509" s="5" t="n">
        <v>0</v>
      </c>
      <c r="J509" s="5" t="n">
        <v>0</v>
      </c>
      <c r="K509" s="5" t="n">
        <v>0</v>
      </c>
      <c r="L509" s="5" t="n">
        <v>0</v>
      </c>
      <c r="M509" s="5" t="n">
        <v>0</v>
      </c>
      <c r="N509" s="5" t="n">
        <v>0</v>
      </c>
      <c r="O509" s="5" t="n">
        <v>0</v>
      </c>
      <c r="P509" s="5" t="n">
        <v>1</v>
      </c>
      <c r="Q509" s="5" t="n">
        <v>0</v>
      </c>
      <c r="R509" s="5" t="n">
        <v>1</v>
      </c>
      <c r="S509" s="5" t="n">
        <v>0</v>
      </c>
      <c r="T509" s="5" t="n">
        <v>0</v>
      </c>
      <c r="U509" s="5" t="inlineStr">
        <is>
          <t>testing</t>
        </is>
      </c>
      <c r="V509" s="5" t="n">
        <v>0</v>
      </c>
    </row>
    <row r="510">
      <c r="A510" s="5" t="n">
        <v>506</v>
      </c>
      <c r="B510" s="5" t="n">
        <v>1</v>
      </c>
      <c r="C510" s="6" t="n">
        <v>-0.9042189173019176</v>
      </c>
      <c r="D510" s="6" t="n">
        <v>-0.6793852371689099</v>
      </c>
      <c r="E510" s="6" t="n">
        <v>-0.7427495967609852</v>
      </c>
      <c r="F510" s="6" t="n">
        <v>0.9185437189662378</v>
      </c>
      <c r="G510" s="5" t="n">
        <v>0</v>
      </c>
      <c r="H510" s="5" t="n">
        <v>0</v>
      </c>
      <c r="I510" s="5" t="n">
        <v>0</v>
      </c>
      <c r="J510" s="5" t="n">
        <v>0</v>
      </c>
      <c r="K510" s="5" t="n">
        <v>0</v>
      </c>
      <c r="L510" s="5" t="n">
        <v>0</v>
      </c>
      <c r="M510" s="5" t="n">
        <v>0</v>
      </c>
      <c r="N510" s="5" t="n">
        <v>0</v>
      </c>
      <c r="O510" s="5" t="n">
        <v>1</v>
      </c>
      <c r="P510" s="5" t="n">
        <v>0</v>
      </c>
      <c r="Q510" s="5" t="n">
        <v>0</v>
      </c>
      <c r="R510" s="5" t="n">
        <v>1</v>
      </c>
      <c r="S510" s="5" t="n">
        <v>0</v>
      </c>
      <c r="T510" s="5" t="n">
        <v>0</v>
      </c>
      <c r="U510" s="5" t="inlineStr">
        <is>
          <t>training</t>
        </is>
      </c>
      <c r="V510" s="5" t="n">
        <v>1</v>
      </c>
    </row>
    <row r="511">
      <c r="A511" s="5" t="n">
        <v>507</v>
      </c>
      <c r="B511" s="5" t="n">
        <v>0</v>
      </c>
      <c r="C511" s="6" t="n">
        <v>-0.4829241608380317</v>
      </c>
      <c r="D511" s="6" t="n">
        <v>-0.3116479655608331</v>
      </c>
      <c r="E511" s="6" t="n">
        <v>0.04000758952108359</v>
      </c>
      <c r="F511" s="6" t="n">
        <v>-0.8850484360866833</v>
      </c>
      <c r="G511" s="5" t="n">
        <v>0</v>
      </c>
      <c r="H511" s="5" t="n">
        <v>0</v>
      </c>
      <c r="I511" s="5" t="n">
        <v>1</v>
      </c>
      <c r="J511" s="5" t="n">
        <v>1</v>
      </c>
      <c r="K511" s="5" t="n">
        <v>0</v>
      </c>
      <c r="L511" s="5" t="n">
        <v>0</v>
      </c>
      <c r="M511" s="5" t="n">
        <v>1</v>
      </c>
      <c r="N511" s="5" t="n">
        <v>0</v>
      </c>
      <c r="O511" s="5" t="n">
        <v>0</v>
      </c>
      <c r="P511" s="5" t="n">
        <v>0</v>
      </c>
      <c r="Q511" s="5" t="n">
        <v>0</v>
      </c>
      <c r="R511" s="5" t="n">
        <v>1</v>
      </c>
      <c r="S511" s="5" t="n">
        <v>0</v>
      </c>
      <c r="T511" s="5" t="n">
        <v>0</v>
      </c>
      <c r="U511" s="5" t="inlineStr">
        <is>
          <t>training</t>
        </is>
      </c>
      <c r="V511" s="5" t="n">
        <v>0</v>
      </c>
    </row>
    <row r="512">
      <c r="A512" s="5" t="n">
        <v>508</v>
      </c>
      <c r="B512" s="5" t="n">
        <v>1</v>
      </c>
      <c r="C512" s="6" t="n">
        <v>-0.4829241608380317</v>
      </c>
      <c r="D512" s="6" t="n">
        <v>1.259370445019818</v>
      </c>
      <c r="E512" s="6" t="n">
        <v>-0.1339384518749317</v>
      </c>
      <c r="F512" s="6" t="n">
        <v>-1.786844513613144</v>
      </c>
      <c r="G512" s="5" t="n">
        <v>0</v>
      </c>
      <c r="H512" s="5" t="n">
        <v>1</v>
      </c>
      <c r="I512" s="5" t="n">
        <v>0</v>
      </c>
      <c r="J512" s="5" t="n">
        <v>0</v>
      </c>
      <c r="K512" s="5" t="n">
        <v>0</v>
      </c>
      <c r="L512" s="5" t="n">
        <v>1</v>
      </c>
      <c r="M512" s="5" t="n">
        <v>1</v>
      </c>
      <c r="N512" s="5" t="n">
        <v>0</v>
      </c>
      <c r="O512" s="5" t="n">
        <v>0</v>
      </c>
      <c r="P512" s="5" t="n">
        <v>0</v>
      </c>
      <c r="Q512" s="5" t="n">
        <v>0</v>
      </c>
      <c r="R512" s="5" t="n">
        <v>1</v>
      </c>
      <c r="S512" s="5" t="n">
        <v>0</v>
      </c>
      <c r="T512" s="5" t="n">
        <v>0</v>
      </c>
      <c r="U512" s="5" t="inlineStr">
        <is>
          <t>testing</t>
        </is>
      </c>
      <c r="V512" s="5" t="n">
        <v>0</v>
      </c>
    </row>
    <row r="513">
      <c r="A513" s="5" t="n">
        <v>509</v>
      </c>
      <c r="B513" s="5" t="n">
        <v>0</v>
      </c>
      <c r="C513" s="6" t="n">
        <v>0.275406400796963</v>
      </c>
      <c r="D513" s="6" t="n">
        <v>-0.6429963920240573</v>
      </c>
      <c r="E513" s="6" t="n">
        <v>-0.6557765760629775</v>
      </c>
      <c r="F513" s="6" t="n">
        <v>0.9185437189662378</v>
      </c>
      <c r="G513" s="5" t="n">
        <v>0</v>
      </c>
      <c r="H513" s="5" t="n">
        <v>0</v>
      </c>
      <c r="I513" s="5" t="n">
        <v>0</v>
      </c>
      <c r="J513" s="5" t="n">
        <v>0</v>
      </c>
      <c r="K513" s="5" t="n">
        <v>0</v>
      </c>
      <c r="L513" s="5" t="n">
        <v>0</v>
      </c>
      <c r="M513" s="5" t="n">
        <v>0</v>
      </c>
      <c r="N513" s="5" t="n">
        <v>0</v>
      </c>
      <c r="O513" s="5" t="n">
        <v>0</v>
      </c>
      <c r="P513" s="5" t="n">
        <v>0</v>
      </c>
      <c r="Q513" s="5" t="n">
        <v>0</v>
      </c>
      <c r="R513" s="5" t="n">
        <v>0</v>
      </c>
      <c r="S513" s="5" t="n">
        <v>1</v>
      </c>
      <c r="T513" s="5" t="n">
        <v>0</v>
      </c>
      <c r="U513" s="5" t="inlineStr">
        <is>
          <t>training</t>
        </is>
      </c>
      <c r="V513" s="5" t="n">
        <v>0</v>
      </c>
    </row>
    <row r="514">
      <c r="A514" s="5" t="n">
        <v>510</v>
      </c>
      <c r="B514" s="5" t="n">
        <v>0</v>
      </c>
      <c r="C514" s="6" t="n">
        <v>1.539290670188621</v>
      </c>
      <c r="D514" s="6" t="n">
        <v>1.867484030228988</v>
      </c>
      <c r="E514" s="6" t="n">
        <v>0.8227647758031523</v>
      </c>
      <c r="F514" s="6" t="n">
        <v>0.9185437189662378</v>
      </c>
      <c r="G514" s="5" t="n">
        <v>0</v>
      </c>
      <c r="H514" s="5" t="n">
        <v>0</v>
      </c>
      <c r="I514" s="5" t="n">
        <v>0</v>
      </c>
      <c r="J514" s="5" t="n">
        <v>0</v>
      </c>
      <c r="K514" s="5" t="n">
        <v>0</v>
      </c>
      <c r="L514" s="5" t="n">
        <v>0</v>
      </c>
      <c r="M514" s="5" t="n">
        <v>1</v>
      </c>
      <c r="N514" s="5" t="n">
        <v>0</v>
      </c>
      <c r="O514" s="5" t="n">
        <v>0</v>
      </c>
      <c r="P514" s="5" t="n">
        <v>0</v>
      </c>
      <c r="Q514" s="5" t="n">
        <v>0</v>
      </c>
      <c r="R514" s="5" t="n">
        <v>1</v>
      </c>
      <c r="S514" s="5" t="n">
        <v>0</v>
      </c>
      <c r="T514" s="5" t="n">
        <v>0</v>
      </c>
      <c r="U514" s="5" t="inlineStr">
        <is>
          <t>training</t>
        </is>
      </c>
      <c r="V514" s="5" t="n">
        <v>0</v>
      </c>
    </row>
    <row r="515">
      <c r="A515" s="5" t="n">
        <v>511</v>
      </c>
      <c r="B515" s="5" t="n">
        <v>1</v>
      </c>
      <c r="C515" s="6" t="n">
        <v>-0.7357010147163632</v>
      </c>
      <c r="D515" s="6" t="n">
        <v>-0.8718262451464952</v>
      </c>
      <c r="E515" s="6" t="n">
        <v>-0.8297226174589928</v>
      </c>
      <c r="F515" s="6" t="n">
        <v>0.9185437189662378</v>
      </c>
      <c r="G515" s="5" t="n">
        <v>1</v>
      </c>
      <c r="H515" s="5" t="n">
        <v>0</v>
      </c>
      <c r="I515" s="5" t="n">
        <v>0</v>
      </c>
      <c r="J515" s="5" t="n">
        <v>0</v>
      </c>
      <c r="K515" s="5" t="n">
        <v>0</v>
      </c>
      <c r="L515" s="5" t="n">
        <v>0</v>
      </c>
      <c r="M515" s="5" t="n">
        <v>0</v>
      </c>
      <c r="N515" s="5" t="n">
        <v>0</v>
      </c>
      <c r="O515" s="5" t="n">
        <v>0</v>
      </c>
      <c r="P515" s="5" t="n">
        <v>0</v>
      </c>
      <c r="Q515" s="5" t="n">
        <v>0</v>
      </c>
      <c r="R515" s="5" t="n">
        <v>1</v>
      </c>
      <c r="S515" s="5" t="n">
        <v>0</v>
      </c>
      <c r="T515" s="5" t="n">
        <v>0</v>
      </c>
      <c r="U515" s="5" t="inlineStr">
        <is>
          <t>training</t>
        </is>
      </c>
      <c r="V515" s="5" t="n">
        <v>1</v>
      </c>
    </row>
    <row r="516">
      <c r="A516" s="5" t="n">
        <v>512</v>
      </c>
      <c r="B516" s="5" t="n">
        <v>0</v>
      </c>
      <c r="C516" s="6" t="n">
        <v>1.286513816310289</v>
      </c>
      <c r="D516" s="6" t="n">
        <v>0.5022025518134643</v>
      </c>
      <c r="E516" s="6" t="n">
        <v>-0.307884493270947</v>
      </c>
      <c r="F516" s="6" t="n">
        <v>-0.8850484360866833</v>
      </c>
      <c r="G516" s="5" t="n">
        <v>0</v>
      </c>
      <c r="H516" s="5" t="n">
        <v>0</v>
      </c>
      <c r="I516" s="5" t="n">
        <v>0</v>
      </c>
      <c r="J516" s="5" t="n">
        <v>0</v>
      </c>
      <c r="K516" s="5" t="n">
        <v>0</v>
      </c>
      <c r="L516" s="5" t="n">
        <v>0</v>
      </c>
      <c r="M516" s="5" t="n">
        <v>0</v>
      </c>
      <c r="N516" s="5" t="n">
        <v>0</v>
      </c>
      <c r="O516" s="5" t="n">
        <v>0</v>
      </c>
      <c r="P516" s="5" t="n">
        <v>0</v>
      </c>
      <c r="Q516" s="5" t="n">
        <v>1</v>
      </c>
      <c r="R516" s="5" t="n">
        <v>1</v>
      </c>
      <c r="S516" s="5" t="n">
        <v>0</v>
      </c>
      <c r="T516" s="5" t="n">
        <v>0</v>
      </c>
      <c r="U516" s="5" t="inlineStr">
        <is>
          <t>training</t>
        </is>
      </c>
      <c r="V516" s="5" t="n">
        <v>0</v>
      </c>
    </row>
    <row r="517">
      <c r="A517" s="5" t="n">
        <v>513</v>
      </c>
      <c r="B517" s="5" t="n">
        <v>0</v>
      </c>
      <c r="C517" s="6" t="n">
        <v>-0.4829241608380317</v>
      </c>
      <c r="D517" s="6" t="n">
        <v>-0.1972330389996142</v>
      </c>
      <c r="E517" s="6" t="n">
        <v>-0.8297226174589928</v>
      </c>
      <c r="F517" s="6" t="n">
        <v>-0.8850484360866833</v>
      </c>
      <c r="G517" s="5" t="n">
        <v>0</v>
      </c>
      <c r="H517" s="5" t="n">
        <v>0</v>
      </c>
      <c r="I517" s="5" t="n">
        <v>1</v>
      </c>
      <c r="J517" s="5" t="n">
        <v>0</v>
      </c>
      <c r="K517" s="5" t="n">
        <v>0</v>
      </c>
      <c r="L517" s="5" t="n">
        <v>0</v>
      </c>
      <c r="M517" s="5" t="n">
        <v>0</v>
      </c>
      <c r="N517" s="5" t="n">
        <v>0</v>
      </c>
      <c r="O517" s="5" t="n">
        <v>0</v>
      </c>
      <c r="P517" s="5" t="n">
        <v>1</v>
      </c>
      <c r="Q517" s="5" t="n">
        <v>0</v>
      </c>
      <c r="R517" s="5" t="n">
        <v>0</v>
      </c>
      <c r="S517" s="5" t="n">
        <v>0</v>
      </c>
      <c r="T517" s="5" t="n">
        <v>0</v>
      </c>
      <c r="U517" s="5" t="inlineStr">
        <is>
          <t>training</t>
        </is>
      </c>
      <c r="V517" s="5" t="n">
        <v>0</v>
      </c>
    </row>
    <row r="518">
      <c r="A518" s="5" t="n">
        <v>514</v>
      </c>
      <c r="B518" s="5" t="n">
        <v>0</v>
      </c>
      <c r="C518" s="6" t="n">
        <v>-0.7357010147163632</v>
      </c>
      <c r="D518" s="6" t="n">
        <v>-0.9327075822157677</v>
      </c>
      <c r="E518" s="6" t="n">
        <v>-1.351560741647039</v>
      </c>
      <c r="F518" s="6" t="n">
        <v>0.9185437189662378</v>
      </c>
      <c r="G518" s="5" t="n">
        <v>0</v>
      </c>
      <c r="H518" s="5" t="n">
        <v>1</v>
      </c>
      <c r="I518" s="5" t="n">
        <v>0</v>
      </c>
      <c r="J518" s="5" t="n">
        <v>0</v>
      </c>
      <c r="K518" s="5" t="n">
        <v>1</v>
      </c>
      <c r="L518" s="5" t="n">
        <v>0</v>
      </c>
      <c r="M518" s="5" t="n">
        <v>0</v>
      </c>
      <c r="N518" s="5" t="n">
        <v>0</v>
      </c>
      <c r="O518" s="5" t="n">
        <v>0</v>
      </c>
      <c r="P518" s="5" t="n">
        <v>1</v>
      </c>
      <c r="Q518" s="5" t="n">
        <v>0</v>
      </c>
      <c r="R518" s="5" t="n">
        <v>0</v>
      </c>
      <c r="S518" s="5" t="n">
        <v>1</v>
      </c>
      <c r="T518" s="5" t="n">
        <v>0</v>
      </c>
      <c r="U518" s="5" t="inlineStr">
        <is>
          <t>training</t>
        </is>
      </c>
      <c r="V518" s="5" t="n">
        <v>0</v>
      </c>
    </row>
    <row r="519">
      <c r="A519" s="5" t="n">
        <v>515</v>
      </c>
      <c r="B519" s="5" t="n">
        <v>0</v>
      </c>
      <c r="C519" s="6" t="n">
        <v>0.275406400796963</v>
      </c>
      <c r="D519" s="6" t="n">
        <v>-0.348386703447463</v>
      </c>
      <c r="E519" s="6" t="n">
        <v>1.605521962085221</v>
      </c>
      <c r="F519" s="6" t="n">
        <v>0.9185437189662378</v>
      </c>
      <c r="G519" s="5" t="n">
        <v>0</v>
      </c>
      <c r="H519" s="5" t="n">
        <v>0</v>
      </c>
      <c r="I519" s="5" t="n">
        <v>0</v>
      </c>
      <c r="J519" s="5" t="n">
        <v>0</v>
      </c>
      <c r="K519" s="5" t="n">
        <v>0</v>
      </c>
      <c r="L519" s="5" t="n">
        <v>0</v>
      </c>
      <c r="M519" s="5" t="n">
        <v>0</v>
      </c>
      <c r="N519" s="5" t="n">
        <v>0</v>
      </c>
      <c r="O519" s="5" t="n">
        <v>1</v>
      </c>
      <c r="P519" s="5" t="n">
        <v>0</v>
      </c>
      <c r="Q519" s="5" t="n">
        <v>0</v>
      </c>
      <c r="R519" s="5" t="n">
        <v>1</v>
      </c>
      <c r="S519" s="5" t="n">
        <v>0</v>
      </c>
      <c r="T519" s="5" t="n">
        <v>0</v>
      </c>
      <c r="U519" s="5" t="inlineStr">
        <is>
          <t>training</t>
        </is>
      </c>
      <c r="V519" s="5" t="n">
        <v>1</v>
      </c>
    </row>
    <row r="520">
      <c r="A520" s="5" t="n">
        <v>516</v>
      </c>
      <c r="B520" s="5" t="n">
        <v>0</v>
      </c>
      <c r="C520" s="6" t="n">
        <v>-1.241254722473026</v>
      </c>
      <c r="D520" s="6" t="n">
        <v>-0.9243101564131094</v>
      </c>
      <c r="E520" s="6" t="n">
        <v>0.1269806102190912</v>
      </c>
      <c r="F520" s="6" t="n">
        <v>0.9185437189662378</v>
      </c>
      <c r="G520" s="5" t="n">
        <v>1</v>
      </c>
      <c r="H520" s="5" t="n">
        <v>0</v>
      </c>
      <c r="I520" s="5" t="n">
        <v>0</v>
      </c>
      <c r="J520" s="5" t="n">
        <v>1</v>
      </c>
      <c r="K520" s="5" t="n">
        <v>0</v>
      </c>
      <c r="L520" s="5" t="n">
        <v>0</v>
      </c>
      <c r="M520" s="5" t="n">
        <v>0</v>
      </c>
      <c r="N520" s="5" t="n">
        <v>0</v>
      </c>
      <c r="O520" s="5" t="n">
        <v>0</v>
      </c>
      <c r="P520" s="5" t="n">
        <v>0</v>
      </c>
      <c r="Q520" s="5" t="n">
        <v>0</v>
      </c>
      <c r="R520" s="5" t="n">
        <v>1</v>
      </c>
      <c r="S520" s="5" t="n">
        <v>0</v>
      </c>
      <c r="T520" s="5" t="n">
        <v>0</v>
      </c>
      <c r="U520" s="5" t="inlineStr">
        <is>
          <t>testing</t>
        </is>
      </c>
      <c r="V520" s="5" t="n">
        <v>0</v>
      </c>
    </row>
    <row r="521">
      <c r="A521" s="5" t="n">
        <v>517</v>
      </c>
      <c r="B521" s="5" t="n">
        <v>0</v>
      </c>
      <c r="C521" s="6" t="n">
        <v>-1.241254722473026</v>
      </c>
      <c r="D521" s="6" t="n">
        <v>-0.6611908145964837</v>
      </c>
      <c r="E521" s="6" t="n">
        <v>0.3878996723131141</v>
      </c>
      <c r="F521" s="6" t="n">
        <v>-0.8850484360866833</v>
      </c>
      <c r="G521" s="5" t="n">
        <v>1</v>
      </c>
      <c r="H521" s="5" t="n">
        <v>0</v>
      </c>
      <c r="I521" s="5" t="n">
        <v>0</v>
      </c>
      <c r="J521" s="5" t="n">
        <v>1</v>
      </c>
      <c r="K521" s="5" t="n">
        <v>0</v>
      </c>
      <c r="L521" s="5" t="n">
        <v>0</v>
      </c>
      <c r="M521" s="5" t="n">
        <v>0</v>
      </c>
      <c r="N521" s="5" t="n">
        <v>0</v>
      </c>
      <c r="O521" s="5" t="n">
        <v>0</v>
      </c>
      <c r="P521" s="5" t="n">
        <v>0</v>
      </c>
      <c r="Q521" s="5" t="n">
        <v>0</v>
      </c>
      <c r="R521" s="5" t="n">
        <v>1</v>
      </c>
      <c r="S521" s="5" t="n">
        <v>0</v>
      </c>
      <c r="T521" s="5" t="n">
        <v>0</v>
      </c>
      <c r="U521" s="5" t="inlineStr">
        <is>
          <t>training</t>
        </is>
      </c>
      <c r="V521" s="5" t="n">
        <v>0</v>
      </c>
    </row>
    <row r="522">
      <c r="A522" s="5" t="n">
        <v>518</v>
      </c>
      <c r="B522" s="5" t="n">
        <v>1</v>
      </c>
      <c r="C522" s="6" t="n">
        <v>1.286513816310289</v>
      </c>
      <c r="D522" s="6" t="n">
        <v>1.356290734492166</v>
      </c>
      <c r="E522" s="6" t="n">
        <v>-1.090641679553016</v>
      </c>
      <c r="F522" s="6" t="n">
        <v>-0.8850484360866833</v>
      </c>
      <c r="G522" s="5" t="n">
        <v>0</v>
      </c>
      <c r="H522" s="5" t="n">
        <v>0</v>
      </c>
      <c r="I522" s="5" t="n">
        <v>0</v>
      </c>
      <c r="J522" s="5" t="n">
        <v>1</v>
      </c>
      <c r="K522" s="5" t="n">
        <v>0</v>
      </c>
      <c r="L522" s="5" t="n">
        <v>0</v>
      </c>
      <c r="M522" s="5" t="n">
        <v>0</v>
      </c>
      <c r="N522" s="5" t="n">
        <v>0</v>
      </c>
      <c r="O522" s="5" t="n">
        <v>0</v>
      </c>
      <c r="P522" s="5" t="n">
        <v>1</v>
      </c>
      <c r="Q522" s="5" t="n">
        <v>0</v>
      </c>
      <c r="R522" s="5" t="n">
        <v>0</v>
      </c>
      <c r="S522" s="5" t="n">
        <v>0</v>
      </c>
      <c r="T522" s="5" t="n">
        <v>1</v>
      </c>
      <c r="U522" s="5" t="inlineStr">
        <is>
          <t>training</t>
        </is>
      </c>
      <c r="V522" s="5" t="n">
        <v>1</v>
      </c>
    </row>
    <row r="523">
      <c r="A523" s="5" t="n">
        <v>519</v>
      </c>
      <c r="B523" s="5" t="n">
        <v>0</v>
      </c>
      <c r="C523" s="6" t="n">
        <v>-1.241254722473026</v>
      </c>
      <c r="D523" s="6" t="n">
        <v>-0.7164738677973173</v>
      </c>
      <c r="E523" s="6" t="n">
        <v>0.648818734407137</v>
      </c>
      <c r="F523" s="6" t="n">
        <v>0.01674764143977723</v>
      </c>
      <c r="G523" s="5" t="n">
        <v>1</v>
      </c>
      <c r="H523" s="5" t="n">
        <v>0</v>
      </c>
      <c r="I523" s="5" t="n">
        <v>0</v>
      </c>
      <c r="J523" s="5" t="n">
        <v>0</v>
      </c>
      <c r="K523" s="5" t="n">
        <v>0</v>
      </c>
      <c r="L523" s="5" t="n">
        <v>0</v>
      </c>
      <c r="M523" s="5" t="n">
        <v>1</v>
      </c>
      <c r="N523" s="5" t="n">
        <v>0</v>
      </c>
      <c r="O523" s="5" t="n">
        <v>0</v>
      </c>
      <c r="P523" s="5" t="n">
        <v>0</v>
      </c>
      <c r="Q523" s="5" t="n">
        <v>0</v>
      </c>
      <c r="R523" s="5" t="n">
        <v>1</v>
      </c>
      <c r="S523" s="5" t="n">
        <v>0</v>
      </c>
      <c r="T523" s="5" t="n">
        <v>0</v>
      </c>
      <c r="U523" s="5" t="inlineStr">
        <is>
          <t>training</t>
        </is>
      </c>
      <c r="V523" s="5" t="n">
        <v>0</v>
      </c>
    </row>
    <row r="524">
      <c r="A524" s="5" t="n">
        <v>520</v>
      </c>
      <c r="B524" s="5" t="n">
        <v>0</v>
      </c>
      <c r="C524" s="6" t="n">
        <v>-1.241254722473026</v>
      </c>
      <c r="D524" s="6" t="n">
        <v>-0.8924699169113635</v>
      </c>
      <c r="E524" s="6" t="n">
        <v>0.04000758952108359</v>
      </c>
      <c r="F524" s="6" t="n">
        <v>0.9185437189662378</v>
      </c>
      <c r="G524" s="5" t="n">
        <v>0</v>
      </c>
      <c r="H524" s="5" t="n">
        <v>0</v>
      </c>
      <c r="I524" s="5" t="n">
        <v>0</v>
      </c>
      <c r="J524" s="5" t="n">
        <v>1</v>
      </c>
      <c r="K524" s="5" t="n">
        <v>0</v>
      </c>
      <c r="L524" s="5" t="n">
        <v>0</v>
      </c>
      <c r="M524" s="5" t="n">
        <v>0</v>
      </c>
      <c r="N524" s="5" t="n">
        <v>0</v>
      </c>
      <c r="O524" s="5" t="n">
        <v>1</v>
      </c>
      <c r="P524" s="5" t="n">
        <v>0</v>
      </c>
      <c r="Q524" s="5" t="n">
        <v>1</v>
      </c>
      <c r="R524" s="5" t="n">
        <v>0</v>
      </c>
      <c r="S524" s="5" t="n">
        <v>1</v>
      </c>
      <c r="T524" s="5" t="n">
        <v>0</v>
      </c>
      <c r="U524" s="5" t="inlineStr">
        <is>
          <t>testing</t>
        </is>
      </c>
      <c r="V524" s="5" t="n">
        <v>0</v>
      </c>
    </row>
    <row r="525">
      <c r="A525" s="5" t="n">
        <v>521</v>
      </c>
      <c r="B525" s="5" t="n">
        <v>0</v>
      </c>
      <c r="C525" s="6" t="n">
        <v>0.275406400796963</v>
      </c>
      <c r="D525" s="6" t="n">
        <v>0.7894644928127327</v>
      </c>
      <c r="E525" s="6" t="n">
        <v>0.7357917551051447</v>
      </c>
      <c r="F525" s="6" t="n">
        <v>0.01674764143977723</v>
      </c>
      <c r="G525" s="5" t="n">
        <v>0</v>
      </c>
      <c r="H525" s="5" t="n">
        <v>0</v>
      </c>
      <c r="I525" s="5" t="n">
        <v>0</v>
      </c>
      <c r="J525" s="5" t="n">
        <v>1</v>
      </c>
      <c r="K525" s="5" t="n">
        <v>0</v>
      </c>
      <c r="L525" s="5" t="n">
        <v>0</v>
      </c>
      <c r="M525" s="5" t="n">
        <v>0</v>
      </c>
      <c r="N525" s="5" t="n">
        <v>0</v>
      </c>
      <c r="O525" s="5" t="n">
        <v>0</v>
      </c>
      <c r="P525" s="5" t="n">
        <v>0</v>
      </c>
      <c r="Q525" s="5" t="n">
        <v>1</v>
      </c>
      <c r="R525" s="5" t="n">
        <v>0</v>
      </c>
      <c r="S525" s="5" t="n">
        <v>0</v>
      </c>
      <c r="T525" s="5" t="n">
        <v>0</v>
      </c>
      <c r="U525" s="5" t="inlineStr">
        <is>
          <t>training</t>
        </is>
      </c>
      <c r="V525" s="5" t="n">
        <v>0</v>
      </c>
    </row>
    <row r="526">
      <c r="A526" s="5" t="n">
        <v>522</v>
      </c>
      <c r="B526" s="5" t="n">
        <v>1</v>
      </c>
      <c r="C526" s="6" t="n">
        <v>-0.2301473069597001</v>
      </c>
      <c r="D526" s="6" t="n">
        <v>-0.0212369898855679</v>
      </c>
      <c r="E526" s="6" t="n">
        <v>-1.003668658855008</v>
      </c>
      <c r="F526" s="6" t="n">
        <v>-0.8850484360866833</v>
      </c>
      <c r="G526" s="5" t="n">
        <v>1</v>
      </c>
      <c r="H526" s="5" t="n">
        <v>0</v>
      </c>
      <c r="I526" s="5" t="n">
        <v>0</v>
      </c>
      <c r="J526" s="5" t="n">
        <v>0</v>
      </c>
      <c r="K526" s="5" t="n">
        <v>0</v>
      </c>
      <c r="L526" s="5" t="n">
        <v>0</v>
      </c>
      <c r="M526" s="5" t="n">
        <v>0</v>
      </c>
      <c r="N526" s="5" t="n">
        <v>0</v>
      </c>
      <c r="O526" s="5" t="n">
        <v>0</v>
      </c>
      <c r="P526" s="5" t="n">
        <v>0</v>
      </c>
      <c r="Q526" s="5" t="n">
        <v>0</v>
      </c>
      <c r="R526" s="5" t="n">
        <v>0</v>
      </c>
      <c r="S526" s="5" t="n">
        <v>1</v>
      </c>
      <c r="T526" s="5" t="n">
        <v>0</v>
      </c>
      <c r="U526" s="5" t="inlineStr">
        <is>
          <t>training</t>
        </is>
      </c>
      <c r="V526" s="5" t="n">
        <v>1</v>
      </c>
    </row>
    <row r="527">
      <c r="A527" s="5" t="n">
        <v>523</v>
      </c>
      <c r="B527" s="5" t="n">
        <v>1</v>
      </c>
      <c r="C527" s="6" t="n">
        <v>2.297621231823615</v>
      </c>
      <c r="D527" s="6" t="n">
        <v>1.353491592557946</v>
      </c>
      <c r="E527" s="6" t="n">
        <v>1.518548941387213</v>
      </c>
      <c r="F527" s="6" t="n">
        <v>0.01674764143977723</v>
      </c>
      <c r="G527" s="5" t="n">
        <v>1</v>
      </c>
      <c r="H527" s="5" t="n">
        <v>0</v>
      </c>
      <c r="I527" s="5" t="n">
        <v>0</v>
      </c>
      <c r="J527" s="5" t="n">
        <v>0</v>
      </c>
      <c r="K527" s="5" t="n">
        <v>0</v>
      </c>
      <c r="L527" s="5" t="n">
        <v>1</v>
      </c>
      <c r="M527" s="5" t="n">
        <v>0</v>
      </c>
      <c r="N527" s="5" t="n">
        <v>0</v>
      </c>
      <c r="O527" s="5" t="n">
        <v>0</v>
      </c>
      <c r="P527" s="5" t="n">
        <v>0</v>
      </c>
      <c r="Q527" s="5" t="n">
        <v>1</v>
      </c>
      <c r="R527" s="5" t="n">
        <v>0</v>
      </c>
      <c r="S527" s="5" t="n">
        <v>0</v>
      </c>
      <c r="T527" s="5" t="n">
        <v>1</v>
      </c>
      <c r="U527" s="5" t="inlineStr">
        <is>
          <t>training</t>
        </is>
      </c>
      <c r="V527" s="5" t="n">
        <v>1</v>
      </c>
    </row>
    <row r="528">
      <c r="A528" s="5" t="n">
        <v>524</v>
      </c>
      <c r="B528" s="5" t="n">
        <v>0</v>
      </c>
      <c r="C528" s="6" t="n">
        <v>0.275406400796963</v>
      </c>
      <c r="D528" s="6" t="n">
        <v>0.08303104716410563</v>
      </c>
      <c r="E528" s="6" t="n">
        <v>-1.090641679553016</v>
      </c>
      <c r="F528" s="6" t="n">
        <v>0.01674764143977723</v>
      </c>
      <c r="G528" s="5" t="n">
        <v>0</v>
      </c>
      <c r="H528" s="5" t="n">
        <v>0</v>
      </c>
      <c r="I528" s="5" t="n">
        <v>0</v>
      </c>
      <c r="J528" s="5" t="n">
        <v>0</v>
      </c>
      <c r="K528" s="5" t="n">
        <v>0</v>
      </c>
      <c r="L528" s="5" t="n">
        <v>0</v>
      </c>
      <c r="M528" s="5" t="n">
        <v>1</v>
      </c>
      <c r="N528" s="5" t="n">
        <v>0</v>
      </c>
      <c r="O528" s="5" t="n">
        <v>0</v>
      </c>
      <c r="P528" s="5" t="n">
        <v>0</v>
      </c>
      <c r="Q528" s="5" t="n">
        <v>0</v>
      </c>
      <c r="R528" s="5" t="n">
        <v>1</v>
      </c>
      <c r="S528" s="5" t="n">
        <v>0</v>
      </c>
      <c r="T528" s="5" t="n">
        <v>0</v>
      </c>
      <c r="U528" s="5" t="inlineStr">
        <is>
          <t>training</t>
        </is>
      </c>
      <c r="V528" s="5" t="n">
        <v>1</v>
      </c>
    </row>
    <row r="529">
      <c r="A529" s="5" t="n">
        <v>525</v>
      </c>
      <c r="B529" s="5" t="n">
        <v>0</v>
      </c>
      <c r="C529" s="6" t="n">
        <v>-0.2301473069597001</v>
      </c>
      <c r="D529" s="6" t="n">
        <v>-0.7479642145572858</v>
      </c>
      <c r="E529" s="6" t="n">
        <v>-0.8297226174589928</v>
      </c>
      <c r="F529" s="6" t="n">
        <v>0.9185437189662378</v>
      </c>
      <c r="G529" s="5" t="n">
        <v>0</v>
      </c>
      <c r="H529" s="5" t="n">
        <v>1</v>
      </c>
      <c r="I529" s="5" t="n">
        <v>0</v>
      </c>
      <c r="J529" s="5" t="n">
        <v>0</v>
      </c>
      <c r="K529" s="5" t="n">
        <v>0</v>
      </c>
      <c r="L529" s="5" t="n">
        <v>0</v>
      </c>
      <c r="M529" s="5" t="n">
        <v>0</v>
      </c>
      <c r="N529" s="5" t="n">
        <v>0</v>
      </c>
      <c r="O529" s="5" t="n">
        <v>0</v>
      </c>
      <c r="P529" s="5" t="n">
        <v>0</v>
      </c>
      <c r="Q529" s="5" t="n">
        <v>0</v>
      </c>
      <c r="R529" s="5" t="n">
        <v>0</v>
      </c>
      <c r="S529" s="5" t="n">
        <v>1</v>
      </c>
      <c r="T529" s="5" t="n">
        <v>0</v>
      </c>
      <c r="U529" s="5" t="inlineStr">
        <is>
          <t>training</t>
        </is>
      </c>
      <c r="V529" s="5" t="n">
        <v>0</v>
      </c>
    </row>
    <row r="530">
      <c r="A530" s="5" t="n">
        <v>526</v>
      </c>
      <c r="B530" s="5" t="n">
        <v>0</v>
      </c>
      <c r="C530" s="6" t="n">
        <v>0.4439243033825174</v>
      </c>
      <c r="D530" s="6" t="n">
        <v>1.649850744843428</v>
      </c>
      <c r="E530" s="6" t="n">
        <v>-0.4818305346669622</v>
      </c>
      <c r="F530" s="6" t="n">
        <v>-0.8850484360866833</v>
      </c>
      <c r="G530" s="5" t="n">
        <v>0</v>
      </c>
      <c r="H530" s="5" t="n">
        <v>1</v>
      </c>
      <c r="I530" s="5" t="n">
        <v>0</v>
      </c>
      <c r="J530" s="5" t="n">
        <v>0</v>
      </c>
      <c r="K530" s="5" t="n">
        <v>0</v>
      </c>
      <c r="L530" s="5" t="n">
        <v>0</v>
      </c>
      <c r="M530" s="5" t="n">
        <v>0</v>
      </c>
      <c r="N530" s="5" t="n">
        <v>0</v>
      </c>
      <c r="O530" s="5" t="n">
        <v>0</v>
      </c>
      <c r="P530" s="5" t="n">
        <v>0</v>
      </c>
      <c r="Q530" s="5" t="n">
        <v>0</v>
      </c>
      <c r="R530" s="5" t="n">
        <v>1</v>
      </c>
      <c r="S530" s="5" t="n">
        <v>0</v>
      </c>
      <c r="T530" s="5" t="n">
        <v>0</v>
      </c>
      <c r="U530" s="5" t="inlineStr">
        <is>
          <t>training</t>
        </is>
      </c>
      <c r="V530" s="5" t="n">
        <v>1</v>
      </c>
    </row>
    <row r="531">
      <c r="A531" s="5" t="n">
        <v>527</v>
      </c>
      <c r="B531" s="5" t="n">
        <v>0</v>
      </c>
      <c r="C531" s="6" t="n">
        <v>-0.4829241608380317</v>
      </c>
      <c r="D531" s="6" t="n">
        <v>-0.6013591557525434</v>
      </c>
      <c r="E531" s="6" t="n">
        <v>-0.3948575139689546</v>
      </c>
      <c r="F531" s="6" t="n">
        <v>0.9185437189662378</v>
      </c>
      <c r="G531" s="5" t="n">
        <v>0</v>
      </c>
      <c r="H531" s="5" t="n">
        <v>0</v>
      </c>
      <c r="I531" s="5" t="n">
        <v>0</v>
      </c>
      <c r="J531" s="5" t="n">
        <v>1</v>
      </c>
      <c r="K531" s="5" t="n">
        <v>0</v>
      </c>
      <c r="L531" s="5" t="n">
        <v>0</v>
      </c>
      <c r="M531" s="5" t="n">
        <v>1</v>
      </c>
      <c r="N531" s="5" t="n">
        <v>0</v>
      </c>
      <c r="O531" s="5" t="n">
        <v>0</v>
      </c>
      <c r="P531" s="5" t="n">
        <v>0</v>
      </c>
      <c r="Q531" s="5" t="n">
        <v>0</v>
      </c>
      <c r="R531" s="5" t="n">
        <v>0</v>
      </c>
      <c r="S531" s="5" t="n">
        <v>0</v>
      </c>
      <c r="T531" s="5" t="n">
        <v>0</v>
      </c>
      <c r="U531" s="5" t="inlineStr">
        <is>
          <t>training</t>
        </is>
      </c>
      <c r="V531" s="5" t="n">
        <v>0</v>
      </c>
    </row>
    <row r="532">
      <c r="A532" s="5" t="n">
        <v>528</v>
      </c>
      <c r="B532" s="5" t="n">
        <v>0</v>
      </c>
      <c r="C532" s="6" t="n">
        <v>-1.409772625058581</v>
      </c>
      <c r="D532" s="6" t="n">
        <v>-0.6115060452640888</v>
      </c>
      <c r="E532" s="6" t="n">
        <v>0.5618457137091294</v>
      </c>
      <c r="F532" s="6" t="n">
        <v>-0.8850484360866833</v>
      </c>
      <c r="G532" s="5" t="n">
        <v>0</v>
      </c>
      <c r="H532" s="5" t="n">
        <v>0</v>
      </c>
      <c r="I532" s="5" t="n">
        <v>0</v>
      </c>
      <c r="J532" s="5" t="n">
        <v>1</v>
      </c>
      <c r="K532" s="5" t="n">
        <v>0</v>
      </c>
      <c r="L532" s="5" t="n">
        <v>0</v>
      </c>
      <c r="M532" s="5" t="n">
        <v>0</v>
      </c>
      <c r="N532" s="5" t="n">
        <v>0</v>
      </c>
      <c r="O532" s="5" t="n">
        <v>0</v>
      </c>
      <c r="P532" s="5" t="n">
        <v>0</v>
      </c>
      <c r="Q532" s="5" t="n">
        <v>0</v>
      </c>
      <c r="R532" s="5" t="n">
        <v>0</v>
      </c>
      <c r="S532" s="5" t="n">
        <v>1</v>
      </c>
      <c r="T532" s="5" t="n">
        <v>0</v>
      </c>
      <c r="U532" s="5" t="inlineStr">
        <is>
          <t>testing</t>
        </is>
      </c>
      <c r="V532" s="5" t="n">
        <v>0</v>
      </c>
    </row>
    <row r="533">
      <c r="A533" s="5" t="n">
        <v>529</v>
      </c>
      <c r="B533" s="5" t="n">
        <v>1</v>
      </c>
      <c r="C533" s="6" t="n">
        <v>1.286513816310289</v>
      </c>
      <c r="D533" s="6" t="n">
        <v>-0.3319417445839239</v>
      </c>
      <c r="E533" s="6" t="n">
        <v>-0.3948575139689546</v>
      </c>
      <c r="F533" s="6" t="n">
        <v>0.9185437189662378</v>
      </c>
      <c r="G533" s="5" t="n">
        <v>1</v>
      </c>
      <c r="H533" s="5" t="n">
        <v>0</v>
      </c>
      <c r="I533" s="5" t="n">
        <v>0</v>
      </c>
      <c r="J533" s="5" t="n">
        <v>0</v>
      </c>
      <c r="K533" s="5" t="n">
        <v>0</v>
      </c>
      <c r="L533" s="5" t="n">
        <v>0</v>
      </c>
      <c r="M533" s="5" t="n">
        <v>0</v>
      </c>
      <c r="N533" s="5" t="n">
        <v>0</v>
      </c>
      <c r="O533" s="5" t="n">
        <v>0</v>
      </c>
      <c r="P533" s="5" t="n">
        <v>1</v>
      </c>
      <c r="Q533" s="5" t="n">
        <v>0</v>
      </c>
      <c r="R533" s="5" t="n">
        <v>0</v>
      </c>
      <c r="S533" s="5" t="n">
        <v>1</v>
      </c>
      <c r="T533" s="5" t="n">
        <v>0</v>
      </c>
      <c r="U533" s="5" t="inlineStr">
        <is>
          <t>testing</t>
        </is>
      </c>
      <c r="V533" s="5" t="n">
        <v>0</v>
      </c>
    </row>
    <row r="534">
      <c r="A534" s="5" t="n">
        <v>530</v>
      </c>
      <c r="B534" s="5" t="n">
        <v>0</v>
      </c>
      <c r="C534" s="6" t="n">
        <v>-1.241254722473026</v>
      </c>
      <c r="D534" s="6" t="n">
        <v>-0.9057658410989058</v>
      </c>
      <c r="E534" s="6" t="n">
        <v>0.4748726930111218</v>
      </c>
      <c r="F534" s="6" t="n">
        <v>0.01674764143977723</v>
      </c>
      <c r="G534" s="5" t="n">
        <v>1</v>
      </c>
      <c r="H534" s="5" t="n">
        <v>0</v>
      </c>
      <c r="I534" s="5" t="n">
        <v>0</v>
      </c>
      <c r="J534" s="5" t="n">
        <v>0</v>
      </c>
      <c r="K534" s="5" t="n">
        <v>0</v>
      </c>
      <c r="L534" s="5" t="n">
        <v>0</v>
      </c>
      <c r="M534" s="5" t="n">
        <v>0</v>
      </c>
      <c r="N534" s="5" t="n">
        <v>0</v>
      </c>
      <c r="O534" s="5" t="n">
        <v>0</v>
      </c>
      <c r="P534" s="5" t="n">
        <v>0</v>
      </c>
      <c r="Q534" s="5" t="n">
        <v>0</v>
      </c>
      <c r="R534" s="5" t="n">
        <v>1</v>
      </c>
      <c r="S534" s="5" t="n">
        <v>0</v>
      </c>
      <c r="T534" s="5" t="n">
        <v>0</v>
      </c>
      <c r="U534" s="5" t="inlineStr">
        <is>
          <t>testing</t>
        </is>
      </c>
      <c r="V534" s="5" t="n">
        <v>0</v>
      </c>
    </row>
    <row r="535">
      <c r="A535" s="5" t="n">
        <v>531</v>
      </c>
      <c r="B535" s="5" t="n">
        <v>0</v>
      </c>
      <c r="C535" s="6" t="n">
        <v>1.286513816310289</v>
      </c>
      <c r="D535" s="6" t="n">
        <v>-0.3420886340954693</v>
      </c>
      <c r="E535" s="6" t="n">
        <v>-0.307884493270947</v>
      </c>
      <c r="F535" s="6" t="n">
        <v>0.01674764143977723</v>
      </c>
      <c r="G535" s="5" t="n">
        <v>0</v>
      </c>
      <c r="H535" s="5" t="n">
        <v>1</v>
      </c>
      <c r="I535" s="5" t="n">
        <v>0</v>
      </c>
      <c r="J535" s="5" t="n">
        <v>0</v>
      </c>
      <c r="K535" s="5" t="n">
        <v>0</v>
      </c>
      <c r="L535" s="5" t="n">
        <v>0</v>
      </c>
      <c r="M535" s="5" t="n">
        <v>0</v>
      </c>
      <c r="N535" s="5" t="n">
        <v>0</v>
      </c>
      <c r="O535" s="5" t="n">
        <v>0</v>
      </c>
      <c r="P535" s="5" t="n">
        <v>0</v>
      </c>
      <c r="Q535" s="5" t="n">
        <v>0</v>
      </c>
      <c r="R535" s="5" t="n">
        <v>0</v>
      </c>
      <c r="S535" s="5" t="n">
        <v>0</v>
      </c>
      <c r="T535" s="5" t="n">
        <v>0</v>
      </c>
      <c r="U535" s="5" t="inlineStr">
        <is>
          <t>testing</t>
        </is>
      </c>
      <c r="V535" s="5" t="n">
        <v>0</v>
      </c>
    </row>
    <row r="536">
      <c r="A536" s="5" t="n">
        <v>532</v>
      </c>
      <c r="B536" s="5" t="n">
        <v>1</v>
      </c>
      <c r="C536" s="6" t="n">
        <v>-0.4829241608380317</v>
      </c>
      <c r="D536" s="6" t="n">
        <v>-0.2168270325391501</v>
      </c>
      <c r="E536" s="6" t="n">
        <v>-0.6557765760629775</v>
      </c>
      <c r="F536" s="6" t="n">
        <v>-0.8850484360866833</v>
      </c>
      <c r="G536" s="5" t="n">
        <v>0</v>
      </c>
      <c r="H536" s="5" t="n">
        <v>1</v>
      </c>
      <c r="I536" s="5" t="n">
        <v>0</v>
      </c>
      <c r="J536" s="5" t="n">
        <v>0</v>
      </c>
      <c r="K536" s="5" t="n">
        <v>0</v>
      </c>
      <c r="L536" s="5" t="n">
        <v>0</v>
      </c>
      <c r="M536" s="5" t="n">
        <v>1</v>
      </c>
      <c r="N536" s="5" t="n">
        <v>0</v>
      </c>
      <c r="O536" s="5" t="n">
        <v>0</v>
      </c>
      <c r="P536" s="5" t="n">
        <v>1</v>
      </c>
      <c r="Q536" s="5" t="n">
        <v>0</v>
      </c>
      <c r="R536" s="5" t="n">
        <v>1</v>
      </c>
      <c r="S536" s="5" t="n">
        <v>0</v>
      </c>
      <c r="T536" s="5" t="n">
        <v>0</v>
      </c>
      <c r="U536" s="5" t="inlineStr">
        <is>
          <t>training</t>
        </is>
      </c>
      <c r="V536" s="5" t="n">
        <v>1</v>
      </c>
    </row>
    <row r="537">
      <c r="A537" s="5" t="n">
        <v>533</v>
      </c>
      <c r="B537" s="5" t="n">
        <v>0</v>
      </c>
      <c r="C537" s="6" t="n">
        <v>-0.7357010147163632</v>
      </c>
      <c r="D537" s="6" t="n">
        <v>-0.6115060452640888</v>
      </c>
      <c r="E537" s="6" t="n">
        <v>0.4748726930111218</v>
      </c>
      <c r="F537" s="6" t="n">
        <v>0.9185437189662378</v>
      </c>
      <c r="G537" s="5" t="n">
        <v>0</v>
      </c>
      <c r="H537" s="5" t="n">
        <v>0</v>
      </c>
      <c r="I537" s="5" t="n">
        <v>0</v>
      </c>
      <c r="J537" s="5" t="n">
        <v>0</v>
      </c>
      <c r="K537" s="5" t="n">
        <v>1</v>
      </c>
      <c r="L537" s="5" t="n">
        <v>0</v>
      </c>
      <c r="M537" s="5" t="n">
        <v>0</v>
      </c>
      <c r="N537" s="5" t="n">
        <v>0</v>
      </c>
      <c r="O537" s="5" t="n">
        <v>0</v>
      </c>
      <c r="P537" s="5" t="n">
        <v>1</v>
      </c>
      <c r="Q537" s="5" t="n">
        <v>0</v>
      </c>
      <c r="R537" s="5" t="n">
        <v>1</v>
      </c>
      <c r="S537" s="5" t="n">
        <v>0</v>
      </c>
      <c r="T537" s="5" t="n">
        <v>0</v>
      </c>
      <c r="U537" s="5" t="inlineStr">
        <is>
          <t>training</t>
        </is>
      </c>
      <c r="V537" s="5" t="n">
        <v>1</v>
      </c>
    </row>
    <row r="538">
      <c r="A538" s="5" t="n">
        <v>534</v>
      </c>
      <c r="B538" s="5" t="n">
        <v>0</v>
      </c>
      <c r="C538" s="6" t="n">
        <v>0.275406400796963</v>
      </c>
      <c r="D538" s="6" t="n">
        <v>-0.678685451685355</v>
      </c>
      <c r="E538" s="6" t="n">
        <v>-0.8297226174589928</v>
      </c>
      <c r="F538" s="6" t="n">
        <v>0.9185437189662378</v>
      </c>
      <c r="G538" s="5" t="n">
        <v>0</v>
      </c>
      <c r="H538" s="5" t="n">
        <v>0</v>
      </c>
      <c r="I538" s="5" t="n">
        <v>0</v>
      </c>
      <c r="J538" s="5" t="n">
        <v>0</v>
      </c>
      <c r="K538" s="5" t="n">
        <v>0</v>
      </c>
      <c r="L538" s="5" t="n">
        <v>0</v>
      </c>
      <c r="M538" s="5" t="n">
        <v>1</v>
      </c>
      <c r="N538" s="5" t="n">
        <v>0</v>
      </c>
      <c r="O538" s="5" t="n">
        <v>0</v>
      </c>
      <c r="P538" s="5" t="n">
        <v>0</v>
      </c>
      <c r="Q538" s="5" t="n">
        <v>0</v>
      </c>
      <c r="R538" s="5" t="n">
        <v>0</v>
      </c>
      <c r="S538" s="5" t="n">
        <v>1</v>
      </c>
      <c r="T538" s="5" t="n">
        <v>0</v>
      </c>
      <c r="U538" s="5" t="inlineStr">
        <is>
          <t>training</t>
        </is>
      </c>
      <c r="V538" s="5" t="n">
        <v>1</v>
      </c>
    </row>
    <row r="539">
      <c r="A539" s="5" t="n">
        <v>535</v>
      </c>
      <c r="B539" s="5" t="n">
        <v>0</v>
      </c>
      <c r="C539" s="6" t="n">
        <v>0.275406400796963</v>
      </c>
      <c r="D539" s="6" t="n">
        <v>-0.05097787293664927</v>
      </c>
      <c r="E539" s="6" t="n">
        <v>-0.9166956381570004</v>
      </c>
      <c r="F539" s="6" t="n">
        <v>0.9185437189662378</v>
      </c>
      <c r="G539" s="5" t="n">
        <v>0</v>
      </c>
      <c r="H539" s="5" t="n">
        <v>0</v>
      </c>
      <c r="I539" s="5" t="n">
        <v>0</v>
      </c>
      <c r="J539" s="5" t="n">
        <v>0</v>
      </c>
      <c r="K539" s="5" t="n">
        <v>0</v>
      </c>
      <c r="L539" s="5" t="n">
        <v>0</v>
      </c>
      <c r="M539" s="5" t="n">
        <v>0</v>
      </c>
      <c r="N539" s="5" t="n">
        <v>0</v>
      </c>
      <c r="O539" s="5" t="n">
        <v>1</v>
      </c>
      <c r="P539" s="5" t="n">
        <v>0</v>
      </c>
      <c r="Q539" s="5" t="n">
        <v>0</v>
      </c>
      <c r="R539" s="5" t="n">
        <v>0</v>
      </c>
      <c r="S539" s="5" t="n">
        <v>1</v>
      </c>
      <c r="T539" s="5" t="n">
        <v>0</v>
      </c>
      <c r="U539" s="5" t="inlineStr">
        <is>
          <t>training</t>
        </is>
      </c>
      <c r="V539" s="5" t="n">
        <v>1</v>
      </c>
    </row>
    <row r="540">
      <c r="A540" s="5" t="n">
        <v>536</v>
      </c>
      <c r="B540" s="5" t="n">
        <v>1</v>
      </c>
      <c r="C540" s="6" t="n">
        <v>0.02262954691863145</v>
      </c>
      <c r="D540" s="6" t="n">
        <v>-0.3259935679737077</v>
      </c>
      <c r="E540" s="6" t="n">
        <v>-0.2209114725729393</v>
      </c>
      <c r="F540" s="6" t="n">
        <v>-0.8850484360866833</v>
      </c>
      <c r="G540" s="5" t="n">
        <v>0</v>
      </c>
      <c r="H540" s="5" t="n">
        <v>0</v>
      </c>
      <c r="I540" s="5" t="n">
        <v>1</v>
      </c>
      <c r="J540" s="5" t="n">
        <v>1</v>
      </c>
      <c r="K540" s="5" t="n">
        <v>0</v>
      </c>
      <c r="L540" s="5" t="n">
        <v>0</v>
      </c>
      <c r="M540" s="5" t="n">
        <v>0</v>
      </c>
      <c r="N540" s="5" t="n">
        <v>0</v>
      </c>
      <c r="O540" s="5" t="n">
        <v>0</v>
      </c>
      <c r="P540" s="5" t="n">
        <v>1</v>
      </c>
      <c r="Q540" s="5" t="n">
        <v>0</v>
      </c>
      <c r="R540" s="5" t="n">
        <v>0</v>
      </c>
      <c r="S540" s="5" t="n">
        <v>0</v>
      </c>
      <c r="T540" s="5" t="n">
        <v>0</v>
      </c>
      <c r="U540" s="5" t="inlineStr">
        <is>
          <t>testing</t>
        </is>
      </c>
      <c r="V540" s="5" t="n">
        <v>0</v>
      </c>
    </row>
    <row r="541">
      <c r="A541" s="5" t="n">
        <v>537</v>
      </c>
      <c r="B541" s="5" t="n">
        <v>0</v>
      </c>
      <c r="C541" s="6" t="n">
        <v>-1.241254722473026</v>
      </c>
      <c r="D541" s="6" t="n">
        <v>-0.6566422089533771</v>
      </c>
      <c r="E541" s="6" t="n">
        <v>3.431955396743382</v>
      </c>
      <c r="F541" s="6" t="n">
        <v>0.9185437189662378</v>
      </c>
      <c r="G541" s="5" t="n">
        <v>1</v>
      </c>
      <c r="H541" s="5" t="n">
        <v>0</v>
      </c>
      <c r="I541" s="5" t="n">
        <v>0</v>
      </c>
      <c r="J541" s="5" t="n">
        <v>0</v>
      </c>
      <c r="K541" s="5" t="n">
        <v>0</v>
      </c>
      <c r="L541" s="5" t="n">
        <v>0</v>
      </c>
      <c r="M541" s="5" t="n">
        <v>0</v>
      </c>
      <c r="N541" s="5" t="n">
        <v>0</v>
      </c>
      <c r="O541" s="5" t="n">
        <v>1</v>
      </c>
      <c r="P541" s="5" t="n">
        <v>0</v>
      </c>
      <c r="Q541" s="5" t="n">
        <v>0</v>
      </c>
      <c r="R541" s="5" t="n">
        <v>1</v>
      </c>
      <c r="S541" s="5" t="n">
        <v>0</v>
      </c>
      <c r="T541" s="5" t="n">
        <v>0</v>
      </c>
      <c r="U541" s="5" t="inlineStr">
        <is>
          <t>training</t>
        </is>
      </c>
      <c r="V541" s="5" t="n">
        <v>1</v>
      </c>
    </row>
    <row r="542">
      <c r="A542" s="5" t="n">
        <v>538</v>
      </c>
      <c r="B542" s="5" t="n">
        <v>0</v>
      </c>
      <c r="C542" s="6" t="n">
        <v>-0.2301473069597001</v>
      </c>
      <c r="D542" s="6" t="n">
        <v>0.1264177471445067</v>
      </c>
      <c r="E542" s="6" t="n">
        <v>0.1269806102190912</v>
      </c>
      <c r="F542" s="6" t="n">
        <v>0.01674764143977723</v>
      </c>
      <c r="G542" s="5" t="n">
        <v>0</v>
      </c>
      <c r="H542" s="5" t="n">
        <v>1</v>
      </c>
      <c r="I542" s="5" t="n">
        <v>0</v>
      </c>
      <c r="J542" s="5" t="n">
        <v>1</v>
      </c>
      <c r="K542" s="5" t="n">
        <v>0</v>
      </c>
      <c r="L542" s="5" t="n">
        <v>0</v>
      </c>
      <c r="M542" s="5" t="n">
        <v>0</v>
      </c>
      <c r="N542" s="5" t="n">
        <v>0</v>
      </c>
      <c r="O542" s="5" t="n">
        <v>0</v>
      </c>
      <c r="P542" s="5" t="n">
        <v>0</v>
      </c>
      <c r="Q542" s="5" t="n">
        <v>0</v>
      </c>
      <c r="R542" s="5" t="n">
        <v>0</v>
      </c>
      <c r="S542" s="5" t="n">
        <v>0</v>
      </c>
      <c r="T542" s="5" t="n">
        <v>1</v>
      </c>
      <c r="U542" s="5" t="inlineStr">
        <is>
          <t>training</t>
        </is>
      </c>
      <c r="V542" s="5" t="n">
        <v>1</v>
      </c>
    </row>
    <row r="543">
      <c r="A543" s="5" t="n">
        <v>539</v>
      </c>
      <c r="B543" s="5" t="n">
        <v>1</v>
      </c>
      <c r="C543" s="6" t="n">
        <v>2.297621231823615</v>
      </c>
      <c r="D543" s="6" t="n">
        <v>1.57882251826261</v>
      </c>
      <c r="E543" s="6" t="n">
        <v>0.5618457137091294</v>
      </c>
      <c r="F543" s="6" t="n">
        <v>0.9185437189662378</v>
      </c>
      <c r="G543" s="5" t="n">
        <v>1</v>
      </c>
      <c r="H543" s="5" t="n">
        <v>0</v>
      </c>
      <c r="I543" s="5" t="n">
        <v>0</v>
      </c>
      <c r="J543" s="5" t="n">
        <v>0</v>
      </c>
      <c r="K543" s="5" t="n">
        <v>0</v>
      </c>
      <c r="L543" s="5" t="n">
        <v>0</v>
      </c>
      <c r="M543" s="5" t="n">
        <v>0</v>
      </c>
      <c r="N543" s="5" t="n">
        <v>0</v>
      </c>
      <c r="O543" s="5" t="n">
        <v>0</v>
      </c>
      <c r="P543" s="5" t="n">
        <v>0</v>
      </c>
      <c r="Q543" s="5" t="n">
        <v>1</v>
      </c>
      <c r="R543" s="5" t="n">
        <v>1</v>
      </c>
      <c r="S543" s="5" t="n">
        <v>0</v>
      </c>
      <c r="T543" s="5" t="n">
        <v>0</v>
      </c>
      <c r="U543" s="5" t="inlineStr">
        <is>
          <t>training</t>
        </is>
      </c>
      <c r="V543" s="5" t="n">
        <v>1</v>
      </c>
    </row>
    <row r="544">
      <c r="A544" s="5" t="n">
        <v>540</v>
      </c>
      <c r="B544" s="5" t="n">
        <v>0</v>
      </c>
      <c r="C544" s="6" t="n">
        <v>-0.2301473069597001</v>
      </c>
      <c r="D544" s="6" t="n">
        <v>-0.07057186647618524</v>
      </c>
      <c r="E544" s="6" t="n">
        <v>0.8227647758031523</v>
      </c>
      <c r="F544" s="6" t="n">
        <v>-1.786844513613144</v>
      </c>
      <c r="G544" s="5" t="n">
        <v>0</v>
      </c>
      <c r="H544" s="5" t="n">
        <v>0</v>
      </c>
      <c r="I544" s="5" t="n">
        <v>1</v>
      </c>
      <c r="J544" s="5" t="n">
        <v>0</v>
      </c>
      <c r="K544" s="5" t="n">
        <v>0</v>
      </c>
      <c r="L544" s="5" t="n">
        <v>0</v>
      </c>
      <c r="M544" s="5" t="n">
        <v>0</v>
      </c>
      <c r="N544" s="5" t="n">
        <v>0</v>
      </c>
      <c r="O544" s="5" t="n">
        <v>0</v>
      </c>
      <c r="P544" s="5" t="n">
        <v>0</v>
      </c>
      <c r="Q544" s="5" t="n">
        <v>0</v>
      </c>
      <c r="R544" s="5" t="n">
        <v>0</v>
      </c>
      <c r="S544" s="5" t="n">
        <v>0</v>
      </c>
      <c r="T544" s="5" t="n">
        <v>1</v>
      </c>
      <c r="U544" s="5" t="inlineStr">
        <is>
          <t>training</t>
        </is>
      </c>
      <c r="V544" s="5" t="n">
        <v>0</v>
      </c>
    </row>
    <row r="545">
      <c r="A545" s="5" t="n">
        <v>541</v>
      </c>
      <c r="B545" s="5" t="n">
        <v>1</v>
      </c>
      <c r="C545" s="6" t="n">
        <v>-0.7357010147163632</v>
      </c>
      <c r="D545" s="6" t="n">
        <v>-0.6006593702689885</v>
      </c>
      <c r="E545" s="6" t="n">
        <v>-1.090641679553016</v>
      </c>
      <c r="F545" s="6" t="n">
        <v>-1.786844513613144</v>
      </c>
      <c r="G545" s="5" t="n">
        <v>0</v>
      </c>
      <c r="H545" s="5" t="n">
        <v>1</v>
      </c>
      <c r="I545" s="5" t="n">
        <v>0</v>
      </c>
      <c r="J545" s="5" t="n">
        <v>0</v>
      </c>
      <c r="K545" s="5" t="n">
        <v>0</v>
      </c>
      <c r="L545" s="5" t="n">
        <v>0</v>
      </c>
      <c r="M545" s="5" t="n">
        <v>0</v>
      </c>
      <c r="N545" s="5" t="n">
        <v>0</v>
      </c>
      <c r="O545" s="5" t="n">
        <v>0</v>
      </c>
      <c r="P545" s="5" t="n">
        <v>1</v>
      </c>
      <c r="Q545" s="5" t="n">
        <v>0</v>
      </c>
      <c r="R545" s="5" t="n">
        <v>0</v>
      </c>
      <c r="S545" s="5" t="n">
        <v>1</v>
      </c>
      <c r="T545" s="5" t="n">
        <v>0</v>
      </c>
      <c r="U545" s="5" t="inlineStr">
        <is>
          <t>training</t>
        </is>
      </c>
      <c r="V545" s="5" t="n">
        <v>1</v>
      </c>
    </row>
    <row r="546">
      <c r="A546" s="5" t="n">
        <v>542</v>
      </c>
      <c r="B546" s="5" t="n">
        <v>0</v>
      </c>
      <c r="C546" s="6" t="n">
        <v>0.275406400796963</v>
      </c>
      <c r="D546" s="6" t="n">
        <v>-0.4264127848638294</v>
      </c>
      <c r="E546" s="6" t="n">
        <v>2.127360086273267</v>
      </c>
      <c r="F546" s="6" t="n">
        <v>0.9185437189662378</v>
      </c>
      <c r="G546" s="5" t="n">
        <v>0</v>
      </c>
      <c r="H546" s="5" t="n">
        <v>0</v>
      </c>
      <c r="I546" s="5" t="n">
        <v>0</v>
      </c>
      <c r="J546" s="5" t="n">
        <v>0</v>
      </c>
      <c r="K546" s="5" t="n">
        <v>1</v>
      </c>
      <c r="L546" s="5" t="n">
        <v>0</v>
      </c>
      <c r="M546" s="5" t="n">
        <v>0</v>
      </c>
      <c r="N546" s="5" t="n">
        <v>0</v>
      </c>
      <c r="O546" s="5" t="n">
        <v>0</v>
      </c>
      <c r="P546" s="5" t="n">
        <v>0</v>
      </c>
      <c r="Q546" s="5" t="n">
        <v>1</v>
      </c>
      <c r="R546" s="5" t="n">
        <v>1</v>
      </c>
      <c r="S546" s="5" t="n">
        <v>0</v>
      </c>
      <c r="T546" s="5" t="n">
        <v>0</v>
      </c>
      <c r="U546" s="5" t="inlineStr">
        <is>
          <t>training</t>
        </is>
      </c>
      <c r="V546" s="5" t="n">
        <v>1</v>
      </c>
    </row>
    <row r="547">
      <c r="A547" s="5" t="n">
        <v>543</v>
      </c>
      <c r="B547" s="5" t="n">
        <v>1</v>
      </c>
      <c r="C547" s="6" t="n">
        <v>0.7809601085536261</v>
      </c>
      <c r="D547" s="6" t="n">
        <v>1.084424074131104</v>
      </c>
      <c r="E547" s="6" t="n">
        <v>-0.3948575139689546</v>
      </c>
      <c r="F547" s="6" t="n">
        <v>0.9185437189662378</v>
      </c>
      <c r="G547" s="5" t="n">
        <v>1</v>
      </c>
      <c r="H547" s="5" t="n">
        <v>0</v>
      </c>
      <c r="I547" s="5" t="n">
        <v>0</v>
      </c>
      <c r="J547" s="5" t="n">
        <v>0</v>
      </c>
      <c r="K547" s="5" t="n">
        <v>0</v>
      </c>
      <c r="L547" s="5" t="n">
        <v>0</v>
      </c>
      <c r="M547" s="5" t="n">
        <v>0</v>
      </c>
      <c r="N547" s="5" t="n">
        <v>0</v>
      </c>
      <c r="O547" s="5" t="n">
        <v>1</v>
      </c>
      <c r="P547" s="5" t="n">
        <v>0</v>
      </c>
      <c r="Q547" s="5" t="n">
        <v>0</v>
      </c>
      <c r="R547" s="5" t="n">
        <v>0</v>
      </c>
      <c r="S547" s="5" t="n">
        <v>0</v>
      </c>
      <c r="T547" s="5" t="n">
        <v>1</v>
      </c>
      <c r="U547" s="5" t="inlineStr">
        <is>
          <t>testing</t>
        </is>
      </c>
      <c r="V547" s="5" t="n">
        <v>0</v>
      </c>
    </row>
    <row r="548">
      <c r="A548" s="5" t="n">
        <v>544</v>
      </c>
      <c r="B548" s="5" t="n">
        <v>1</v>
      </c>
      <c r="C548" s="6" t="n">
        <v>-0.2301473069597001</v>
      </c>
      <c r="D548" s="6" t="n">
        <v>-0.1353020237050094</v>
      </c>
      <c r="E548" s="6" t="n">
        <v>-0.1339384518749317</v>
      </c>
      <c r="F548" s="6" t="n">
        <v>-0.8850484360866833</v>
      </c>
      <c r="G548" s="5" t="n">
        <v>0</v>
      </c>
      <c r="H548" s="5" t="n">
        <v>0</v>
      </c>
      <c r="I548" s="5" t="n">
        <v>1</v>
      </c>
      <c r="J548" s="5" t="n">
        <v>0</v>
      </c>
      <c r="K548" s="5" t="n">
        <v>0</v>
      </c>
      <c r="L548" s="5" t="n">
        <v>0</v>
      </c>
      <c r="M548" s="5" t="n">
        <v>0</v>
      </c>
      <c r="N548" s="5" t="n">
        <v>0</v>
      </c>
      <c r="O548" s="5" t="n">
        <v>0</v>
      </c>
      <c r="P548" s="5" t="n">
        <v>0</v>
      </c>
      <c r="Q548" s="5" t="n">
        <v>0</v>
      </c>
      <c r="R548" s="5" t="n">
        <v>0</v>
      </c>
      <c r="S548" s="5" t="n">
        <v>0</v>
      </c>
      <c r="T548" s="5" t="n">
        <v>1</v>
      </c>
      <c r="U548" s="5" t="inlineStr">
        <is>
          <t>training</t>
        </is>
      </c>
      <c r="V548" s="5" t="n">
        <v>1</v>
      </c>
    </row>
    <row r="549">
      <c r="A549" s="5" t="n">
        <v>545</v>
      </c>
      <c r="B549" s="5" t="n">
        <v>0</v>
      </c>
      <c r="C549" s="6" t="n">
        <v>-0.7357010147163632</v>
      </c>
      <c r="D549" s="6" t="n">
        <v>-0.6982794452248909</v>
      </c>
      <c r="E549" s="6" t="n">
        <v>2.214333106971274</v>
      </c>
      <c r="F549" s="6" t="n">
        <v>0.9185437189662378</v>
      </c>
      <c r="G549" s="5" t="n">
        <v>0</v>
      </c>
      <c r="H549" s="5" t="n">
        <v>0</v>
      </c>
      <c r="I549" s="5" t="n">
        <v>0</v>
      </c>
      <c r="J549" s="5" t="n">
        <v>1</v>
      </c>
      <c r="K549" s="5" t="n">
        <v>0</v>
      </c>
      <c r="L549" s="5" t="n">
        <v>0</v>
      </c>
      <c r="M549" s="5" t="n">
        <v>0</v>
      </c>
      <c r="N549" s="5" t="n">
        <v>0</v>
      </c>
      <c r="O549" s="5" t="n">
        <v>0</v>
      </c>
      <c r="P549" s="5" t="n">
        <v>0</v>
      </c>
      <c r="Q549" s="5" t="n">
        <v>0</v>
      </c>
      <c r="R549" s="5" t="n">
        <v>1</v>
      </c>
      <c r="S549" s="5" t="n">
        <v>0</v>
      </c>
      <c r="T549" s="5" t="n">
        <v>0</v>
      </c>
      <c r="U549" s="5" t="inlineStr">
        <is>
          <t>testing</t>
        </is>
      </c>
      <c r="V549" s="5" t="n">
        <v>0</v>
      </c>
    </row>
    <row r="550">
      <c r="A550" s="5" t="n">
        <v>546</v>
      </c>
      <c r="B550" s="5" t="n">
        <v>1</v>
      </c>
      <c r="C550" s="6" t="n">
        <v>0.275406400796963</v>
      </c>
      <c r="D550" s="6" t="n">
        <v>-0.6709878113662516</v>
      </c>
      <c r="E550" s="6" t="n">
        <v>0.648818734407137</v>
      </c>
      <c r="F550" s="6" t="n">
        <v>0.9185437189662378</v>
      </c>
      <c r="G550" s="5" t="n">
        <v>1</v>
      </c>
      <c r="H550" s="5" t="n">
        <v>0</v>
      </c>
      <c r="I550" s="5" t="n">
        <v>0</v>
      </c>
      <c r="J550" s="5" t="n">
        <v>0</v>
      </c>
      <c r="K550" s="5" t="n">
        <v>1</v>
      </c>
      <c r="L550" s="5" t="n">
        <v>0</v>
      </c>
      <c r="M550" s="5" t="n">
        <v>0</v>
      </c>
      <c r="N550" s="5" t="n">
        <v>0</v>
      </c>
      <c r="O550" s="5" t="n">
        <v>0</v>
      </c>
      <c r="P550" s="5" t="n">
        <v>0</v>
      </c>
      <c r="Q550" s="5" t="n">
        <v>1</v>
      </c>
      <c r="R550" s="5" t="n">
        <v>1</v>
      </c>
      <c r="S550" s="5" t="n">
        <v>0</v>
      </c>
      <c r="T550" s="5" t="n">
        <v>0</v>
      </c>
      <c r="U550" s="5" t="inlineStr">
        <is>
          <t>testing</t>
        </is>
      </c>
      <c r="V550" s="5" t="n">
        <v>0</v>
      </c>
    </row>
    <row r="551">
      <c r="A551" s="5" t="n">
        <v>547</v>
      </c>
      <c r="B551" s="5" t="n">
        <v>0</v>
      </c>
      <c r="C551" s="6" t="n">
        <v>0.275406400796963</v>
      </c>
      <c r="D551" s="6" t="n">
        <v>-0.4299117122816037</v>
      </c>
      <c r="E551" s="6" t="n">
        <v>0.1269806102190912</v>
      </c>
      <c r="F551" s="6" t="n">
        <v>0.9185437189662378</v>
      </c>
      <c r="G551" s="5" t="n">
        <v>0</v>
      </c>
      <c r="H551" s="5" t="n">
        <v>0</v>
      </c>
      <c r="I551" s="5" t="n">
        <v>0</v>
      </c>
      <c r="J551" s="5" t="n">
        <v>1</v>
      </c>
      <c r="K551" s="5" t="n">
        <v>0</v>
      </c>
      <c r="L551" s="5" t="n">
        <v>0</v>
      </c>
      <c r="M551" s="5" t="n">
        <v>0</v>
      </c>
      <c r="N551" s="5" t="n">
        <v>0</v>
      </c>
      <c r="O551" s="5" t="n">
        <v>0</v>
      </c>
      <c r="P551" s="5" t="n">
        <v>0</v>
      </c>
      <c r="Q551" s="5" t="n">
        <v>0</v>
      </c>
      <c r="R551" s="5" t="n">
        <v>1</v>
      </c>
      <c r="S551" s="5" t="n">
        <v>0</v>
      </c>
      <c r="T551" s="5" t="n">
        <v>0</v>
      </c>
      <c r="U551" s="5" t="inlineStr">
        <is>
          <t>training</t>
        </is>
      </c>
      <c r="V551" s="5" t="n">
        <v>0</v>
      </c>
    </row>
    <row r="552">
      <c r="A552" s="5" t="n">
        <v>548</v>
      </c>
      <c r="B552" s="5" t="n">
        <v>0</v>
      </c>
      <c r="C552" s="6" t="n">
        <v>0.275406400796963</v>
      </c>
      <c r="D552" s="6" t="n">
        <v>-0.5943613009169949</v>
      </c>
      <c r="E552" s="6" t="n">
        <v>-0.307884493270947</v>
      </c>
      <c r="F552" s="6" t="n">
        <v>0.01674764143977723</v>
      </c>
      <c r="G552" s="5" t="n">
        <v>0</v>
      </c>
      <c r="H552" s="5" t="n">
        <v>0</v>
      </c>
      <c r="I552" s="5" t="n">
        <v>0</v>
      </c>
      <c r="J552" s="5" t="n">
        <v>0</v>
      </c>
      <c r="K552" s="5" t="n">
        <v>0</v>
      </c>
      <c r="L552" s="5" t="n">
        <v>0</v>
      </c>
      <c r="M552" s="5" t="n">
        <v>0</v>
      </c>
      <c r="N552" s="5" t="n">
        <v>0</v>
      </c>
      <c r="O552" s="5" t="n">
        <v>0</v>
      </c>
      <c r="P552" s="5" t="n">
        <v>0</v>
      </c>
      <c r="Q552" s="5" t="n">
        <v>0</v>
      </c>
      <c r="R552" s="5" t="n">
        <v>0</v>
      </c>
      <c r="S552" s="5" t="n">
        <v>1</v>
      </c>
      <c r="T552" s="5" t="n">
        <v>0</v>
      </c>
      <c r="U552" s="5" t="inlineStr">
        <is>
          <t>training</t>
        </is>
      </c>
      <c r="V552" s="5" t="n">
        <v>1</v>
      </c>
    </row>
    <row r="553">
      <c r="A553" s="5" t="n">
        <v>549</v>
      </c>
      <c r="B553" s="5" t="n">
        <v>1</v>
      </c>
      <c r="C553" s="6" t="n">
        <v>-0.7357010147163632</v>
      </c>
      <c r="D553" s="6" t="n">
        <v>-0.9183619798028931</v>
      </c>
      <c r="E553" s="6" t="n">
        <v>-1.003668658855008</v>
      </c>
      <c r="F553" s="6" t="n">
        <v>0.9185437189662378</v>
      </c>
      <c r="G553" s="5" t="n">
        <v>1</v>
      </c>
      <c r="H553" s="5" t="n">
        <v>0</v>
      </c>
      <c r="I553" s="5" t="n">
        <v>0</v>
      </c>
      <c r="J553" s="5" t="n">
        <v>0</v>
      </c>
      <c r="K553" s="5" t="n">
        <v>0</v>
      </c>
      <c r="L553" s="5" t="n">
        <v>1</v>
      </c>
      <c r="M553" s="5" t="n">
        <v>0</v>
      </c>
      <c r="N553" s="5" t="n">
        <v>0</v>
      </c>
      <c r="O553" s="5" t="n">
        <v>0</v>
      </c>
      <c r="P553" s="5" t="n">
        <v>0</v>
      </c>
      <c r="Q553" s="5" t="n">
        <v>0</v>
      </c>
      <c r="R553" s="5" t="n">
        <v>0</v>
      </c>
      <c r="S553" s="5" t="n">
        <v>1</v>
      </c>
      <c r="T553" s="5" t="n">
        <v>0</v>
      </c>
      <c r="U553" s="5" t="inlineStr">
        <is>
          <t>testing</t>
        </is>
      </c>
      <c r="V553" s="5" t="n">
        <v>0</v>
      </c>
    </row>
    <row r="554">
      <c r="A554" s="5" t="n">
        <v>550</v>
      </c>
      <c r="B554" s="5" t="n">
        <v>0</v>
      </c>
      <c r="C554" s="6" t="n">
        <v>2.297621231823615</v>
      </c>
      <c r="D554" s="6" t="n">
        <v>1.961955070508894</v>
      </c>
      <c r="E554" s="6" t="n">
        <v>-0.04696543117692405</v>
      </c>
      <c r="F554" s="6" t="n">
        <v>-0.8850484360866833</v>
      </c>
      <c r="G554" s="5" t="n">
        <v>0</v>
      </c>
      <c r="H554" s="5" t="n">
        <v>0</v>
      </c>
      <c r="I554" s="5" t="n">
        <v>0</v>
      </c>
      <c r="J554" s="5" t="n">
        <v>1</v>
      </c>
      <c r="K554" s="5" t="n">
        <v>0</v>
      </c>
      <c r="L554" s="5" t="n">
        <v>0</v>
      </c>
      <c r="M554" s="5" t="n">
        <v>0</v>
      </c>
      <c r="N554" s="5" t="n">
        <v>0</v>
      </c>
      <c r="O554" s="5" t="n">
        <v>1</v>
      </c>
      <c r="P554" s="5" t="n">
        <v>0</v>
      </c>
      <c r="Q554" s="5" t="n">
        <v>1</v>
      </c>
      <c r="R554" s="5" t="n">
        <v>1</v>
      </c>
      <c r="S554" s="5" t="n">
        <v>0</v>
      </c>
      <c r="T554" s="5" t="n">
        <v>0</v>
      </c>
      <c r="U554" s="5" t="inlineStr">
        <is>
          <t>training</t>
        </is>
      </c>
      <c r="V554" s="5" t="n">
        <v>0</v>
      </c>
    </row>
    <row r="555">
      <c r="A555" s="5" t="n">
        <v>551</v>
      </c>
      <c r="B555" s="5" t="n">
        <v>0</v>
      </c>
      <c r="C555" s="6" t="n">
        <v>-0.7357010147163632</v>
      </c>
      <c r="D555" s="6" t="n">
        <v>-0.7889016653452449</v>
      </c>
      <c r="E555" s="6" t="n">
        <v>-1.090641679553016</v>
      </c>
      <c r="F555" s="6" t="n">
        <v>0.9185437189662378</v>
      </c>
      <c r="G555" s="5" t="n">
        <v>0</v>
      </c>
      <c r="H555" s="5" t="n">
        <v>0</v>
      </c>
      <c r="I555" s="5" t="n">
        <v>0</v>
      </c>
      <c r="J555" s="5" t="n">
        <v>1</v>
      </c>
      <c r="K555" s="5" t="n">
        <v>0</v>
      </c>
      <c r="L555" s="5" t="n">
        <v>0</v>
      </c>
      <c r="M555" s="5" t="n">
        <v>0</v>
      </c>
      <c r="N555" s="5" t="n">
        <v>0</v>
      </c>
      <c r="O555" s="5" t="n">
        <v>1</v>
      </c>
      <c r="P555" s="5" t="n">
        <v>0</v>
      </c>
      <c r="Q555" s="5" t="n">
        <v>0</v>
      </c>
      <c r="R555" s="5" t="n">
        <v>0</v>
      </c>
      <c r="S555" s="5" t="n">
        <v>0</v>
      </c>
      <c r="T555" s="5" t="n">
        <v>0</v>
      </c>
      <c r="U555" s="5" t="inlineStr">
        <is>
          <t>training</t>
        </is>
      </c>
      <c r="V555" s="5" t="n">
        <v>0</v>
      </c>
    </row>
    <row r="556">
      <c r="A556" s="5" t="n">
        <v>552</v>
      </c>
      <c r="B556" s="5" t="n">
        <v>0</v>
      </c>
      <c r="C556" s="6" t="n">
        <v>-1.241254722473026</v>
      </c>
      <c r="D556" s="6" t="n">
        <v>-0.5250825380450641</v>
      </c>
      <c r="E556" s="6" t="n">
        <v>0.8227647758031523</v>
      </c>
      <c r="F556" s="6" t="n">
        <v>-0.8850484360866833</v>
      </c>
      <c r="G556" s="5" t="n">
        <v>0</v>
      </c>
      <c r="H556" s="5" t="n">
        <v>0</v>
      </c>
      <c r="I556" s="5" t="n">
        <v>0</v>
      </c>
      <c r="J556" s="5" t="n">
        <v>0</v>
      </c>
      <c r="K556" s="5" t="n">
        <v>0</v>
      </c>
      <c r="L556" s="5" t="n">
        <v>1</v>
      </c>
      <c r="M556" s="5" t="n">
        <v>1</v>
      </c>
      <c r="N556" s="5" t="n">
        <v>0</v>
      </c>
      <c r="O556" s="5" t="n">
        <v>0</v>
      </c>
      <c r="P556" s="5" t="n">
        <v>0</v>
      </c>
      <c r="Q556" s="5" t="n">
        <v>0</v>
      </c>
      <c r="R556" s="5" t="n">
        <v>0</v>
      </c>
      <c r="S556" s="5" t="n">
        <v>1</v>
      </c>
      <c r="T556" s="5" t="n">
        <v>0</v>
      </c>
      <c r="U556" s="5" t="inlineStr">
        <is>
          <t>training</t>
        </is>
      </c>
      <c r="V556" s="5" t="n">
        <v>0</v>
      </c>
    </row>
    <row r="557">
      <c r="A557" s="5" t="n">
        <v>553</v>
      </c>
      <c r="B557" s="5" t="n">
        <v>1</v>
      </c>
      <c r="C557" s="6" t="n">
        <v>2.297621231823615</v>
      </c>
      <c r="D557" s="6" t="n">
        <v>1.311504463544655</v>
      </c>
      <c r="E557" s="6" t="n">
        <v>-0.1339384518749317</v>
      </c>
      <c r="F557" s="6" t="n">
        <v>-1.786844513613144</v>
      </c>
      <c r="G557" s="5" t="n">
        <v>1</v>
      </c>
      <c r="H557" s="5" t="n">
        <v>0</v>
      </c>
      <c r="I557" s="5" t="n">
        <v>0</v>
      </c>
      <c r="J557" s="5" t="n">
        <v>0</v>
      </c>
      <c r="K557" s="5" t="n">
        <v>0</v>
      </c>
      <c r="L557" s="5" t="n">
        <v>0</v>
      </c>
      <c r="M557" s="5" t="n">
        <v>0</v>
      </c>
      <c r="N557" s="5" t="n">
        <v>0</v>
      </c>
      <c r="O557" s="5" t="n">
        <v>0</v>
      </c>
      <c r="P557" s="5" t="n">
        <v>0</v>
      </c>
      <c r="Q557" s="5" t="n">
        <v>0</v>
      </c>
      <c r="R557" s="5" t="n">
        <v>0</v>
      </c>
      <c r="S557" s="5" t="n">
        <v>1</v>
      </c>
      <c r="T557" s="5" t="n">
        <v>0</v>
      </c>
      <c r="U557" s="5" t="inlineStr">
        <is>
          <t>training</t>
        </is>
      </c>
      <c r="V557" s="5" t="n">
        <v>1</v>
      </c>
    </row>
    <row r="558">
      <c r="A558" s="5" t="n">
        <v>554</v>
      </c>
      <c r="B558" s="5" t="n">
        <v>0</v>
      </c>
      <c r="C558" s="6" t="n">
        <v>-0.7357010147163632</v>
      </c>
      <c r="D558" s="6" t="n">
        <v>-0.4393588163095943</v>
      </c>
      <c r="E558" s="6" t="n">
        <v>-0.7427495967609852</v>
      </c>
      <c r="F558" s="6" t="n">
        <v>0.9185437189662378</v>
      </c>
      <c r="G558" s="5" t="n">
        <v>0</v>
      </c>
      <c r="H558" s="5" t="n">
        <v>1</v>
      </c>
      <c r="I558" s="5" t="n">
        <v>0</v>
      </c>
      <c r="J558" s="5" t="n">
        <v>1</v>
      </c>
      <c r="K558" s="5" t="n">
        <v>0</v>
      </c>
      <c r="L558" s="5" t="n">
        <v>0</v>
      </c>
      <c r="M558" s="5" t="n">
        <v>1</v>
      </c>
      <c r="N558" s="5" t="n">
        <v>0</v>
      </c>
      <c r="O558" s="5" t="n">
        <v>0</v>
      </c>
      <c r="P558" s="5" t="n">
        <v>0</v>
      </c>
      <c r="Q558" s="5" t="n">
        <v>0</v>
      </c>
      <c r="R558" s="5" t="n">
        <v>1</v>
      </c>
      <c r="S558" s="5" t="n">
        <v>0</v>
      </c>
      <c r="T558" s="5" t="n">
        <v>0</v>
      </c>
      <c r="U558" s="5" t="inlineStr">
        <is>
          <t>training</t>
        </is>
      </c>
      <c r="V558" s="5" t="n">
        <v>0</v>
      </c>
    </row>
    <row r="559">
      <c r="A559" s="5" t="n">
        <v>555</v>
      </c>
      <c r="B559" s="5" t="n">
        <v>0</v>
      </c>
      <c r="C559" s="6" t="n">
        <v>-0.9884778685946948</v>
      </c>
      <c r="D559" s="6" t="n">
        <v>-0.7178734387644269</v>
      </c>
      <c r="E559" s="6" t="n">
        <v>2.73617123115932</v>
      </c>
      <c r="F559" s="6" t="n">
        <v>0.9185437189662378</v>
      </c>
      <c r="G559" s="5" t="n">
        <v>0</v>
      </c>
      <c r="H559" s="5" t="n">
        <v>1</v>
      </c>
      <c r="I559" s="5" t="n">
        <v>0</v>
      </c>
      <c r="J559" s="5" t="n">
        <v>0</v>
      </c>
      <c r="K559" s="5" t="n">
        <v>0</v>
      </c>
      <c r="L559" s="5" t="n">
        <v>0</v>
      </c>
      <c r="M559" s="5" t="n">
        <v>0</v>
      </c>
      <c r="N559" s="5" t="n">
        <v>0</v>
      </c>
      <c r="O559" s="5" t="n">
        <v>0</v>
      </c>
      <c r="P559" s="5" t="n">
        <v>0</v>
      </c>
      <c r="Q559" s="5" t="n">
        <v>0</v>
      </c>
      <c r="R559" s="5" t="n">
        <v>0</v>
      </c>
      <c r="S559" s="5" t="n">
        <v>0</v>
      </c>
      <c r="T559" s="5" t="n">
        <v>0</v>
      </c>
      <c r="U559" s="5" t="inlineStr">
        <is>
          <t>testing</t>
        </is>
      </c>
      <c r="V559" s="5" t="n">
        <v>0</v>
      </c>
    </row>
    <row r="560">
      <c r="A560" s="5" t="n">
        <v>556</v>
      </c>
      <c r="B560" s="5" t="n">
        <v>1</v>
      </c>
      <c r="C560" s="6" t="n">
        <v>-0.7357010147163632</v>
      </c>
      <c r="D560" s="6" t="n">
        <v>-0.6716875968498065</v>
      </c>
      <c r="E560" s="6" t="n">
        <v>-1.177614700251023</v>
      </c>
      <c r="F560" s="6" t="n">
        <v>-0.8850484360866833</v>
      </c>
      <c r="G560" s="5" t="n">
        <v>0</v>
      </c>
      <c r="H560" s="5" t="n">
        <v>1</v>
      </c>
      <c r="I560" s="5" t="n">
        <v>0</v>
      </c>
      <c r="J560" s="5" t="n">
        <v>0</v>
      </c>
      <c r="K560" s="5" t="n">
        <v>0</v>
      </c>
      <c r="L560" s="5" t="n">
        <v>0</v>
      </c>
      <c r="M560" s="5" t="n">
        <v>0</v>
      </c>
      <c r="N560" s="5" t="n">
        <v>0</v>
      </c>
      <c r="O560" s="5" t="n">
        <v>0</v>
      </c>
      <c r="P560" s="5" t="n">
        <v>0</v>
      </c>
      <c r="Q560" s="5" t="n">
        <v>0</v>
      </c>
      <c r="R560" s="5" t="n">
        <v>0</v>
      </c>
      <c r="S560" s="5" t="n">
        <v>1</v>
      </c>
      <c r="T560" s="5" t="n">
        <v>0</v>
      </c>
      <c r="U560" s="5" t="inlineStr">
        <is>
          <t>testing</t>
        </is>
      </c>
      <c r="V560" s="5" t="n">
        <v>0</v>
      </c>
    </row>
    <row r="561">
      <c r="A561" s="5" t="n">
        <v>557</v>
      </c>
      <c r="B561" s="5" t="n">
        <v>1</v>
      </c>
      <c r="C561" s="6" t="n">
        <v>-0.2301473069597001</v>
      </c>
      <c r="D561" s="6" t="n">
        <v>-0.3403391703865822</v>
      </c>
      <c r="E561" s="6" t="n">
        <v>-0.6557765760629775</v>
      </c>
      <c r="F561" s="6" t="n">
        <v>0.01674764143977723</v>
      </c>
      <c r="G561" s="5" t="n">
        <v>0</v>
      </c>
      <c r="H561" s="5" t="n">
        <v>1</v>
      </c>
      <c r="I561" s="5" t="n">
        <v>0</v>
      </c>
      <c r="J561" s="5" t="n">
        <v>0</v>
      </c>
      <c r="K561" s="5" t="n">
        <v>0</v>
      </c>
      <c r="L561" s="5" t="n">
        <v>1</v>
      </c>
      <c r="M561" s="5" t="n">
        <v>1</v>
      </c>
      <c r="N561" s="5" t="n">
        <v>0</v>
      </c>
      <c r="O561" s="5" t="n">
        <v>0</v>
      </c>
      <c r="P561" s="5" t="n">
        <v>0</v>
      </c>
      <c r="Q561" s="5" t="n">
        <v>0</v>
      </c>
      <c r="R561" s="5" t="n">
        <v>1</v>
      </c>
      <c r="S561" s="5" t="n">
        <v>0</v>
      </c>
      <c r="T561" s="5" t="n">
        <v>0</v>
      </c>
      <c r="U561" s="5" t="inlineStr">
        <is>
          <t>training</t>
        </is>
      </c>
      <c r="V561" s="5" t="n">
        <v>1</v>
      </c>
    </row>
    <row r="562">
      <c r="A562" s="5" t="n">
        <v>558</v>
      </c>
      <c r="B562" s="5" t="n">
        <v>1</v>
      </c>
      <c r="C562" s="6" t="n">
        <v>0.02262954691863145</v>
      </c>
      <c r="D562" s="6" t="n">
        <v>0.6131185509569089</v>
      </c>
      <c r="E562" s="6" t="n">
        <v>-0.5688035553649698</v>
      </c>
      <c r="F562" s="6" t="n">
        <v>-1.786844513613144</v>
      </c>
      <c r="G562" s="5" t="n">
        <v>0</v>
      </c>
      <c r="H562" s="5" t="n">
        <v>0</v>
      </c>
      <c r="I562" s="5" t="n">
        <v>0</v>
      </c>
      <c r="J562" s="5" t="n">
        <v>0</v>
      </c>
      <c r="K562" s="5" t="n">
        <v>0</v>
      </c>
      <c r="L562" s="5" t="n">
        <v>1</v>
      </c>
      <c r="M562" s="5" t="n">
        <v>0</v>
      </c>
      <c r="N562" s="5" t="n">
        <v>0</v>
      </c>
      <c r="O562" s="5" t="n">
        <v>1</v>
      </c>
      <c r="P562" s="5" t="n">
        <v>0</v>
      </c>
      <c r="Q562" s="5" t="n">
        <v>0</v>
      </c>
      <c r="R562" s="5" t="n">
        <v>1</v>
      </c>
      <c r="S562" s="5" t="n">
        <v>0</v>
      </c>
      <c r="T562" s="5" t="n">
        <v>0</v>
      </c>
      <c r="U562" s="5" t="inlineStr">
        <is>
          <t>testing</t>
        </is>
      </c>
      <c r="V562" s="5" t="n">
        <v>0</v>
      </c>
    </row>
    <row r="563">
      <c r="A563" s="5" t="n">
        <v>559</v>
      </c>
      <c r="B563" s="5" t="n">
        <v>1</v>
      </c>
      <c r="C563" s="6" t="n">
        <v>0.275406400796963</v>
      </c>
      <c r="D563" s="6" t="n">
        <v>0.105424182637861</v>
      </c>
      <c r="E563" s="6" t="n">
        <v>-0.7427495967609852</v>
      </c>
      <c r="F563" s="6" t="n">
        <v>0.01674764143977723</v>
      </c>
      <c r="G563" s="5" t="n">
        <v>1</v>
      </c>
      <c r="H563" s="5" t="n">
        <v>0</v>
      </c>
      <c r="I563" s="5" t="n">
        <v>0</v>
      </c>
      <c r="J563" s="5" t="n">
        <v>0</v>
      </c>
      <c r="K563" s="5" t="n">
        <v>0</v>
      </c>
      <c r="L563" s="5" t="n">
        <v>1</v>
      </c>
      <c r="M563" s="5" t="n">
        <v>0</v>
      </c>
      <c r="N563" s="5" t="n">
        <v>0</v>
      </c>
      <c r="O563" s="5" t="n">
        <v>0</v>
      </c>
      <c r="P563" s="5" t="n">
        <v>0</v>
      </c>
      <c r="Q563" s="5" t="n">
        <v>0</v>
      </c>
      <c r="R563" s="5" t="n">
        <v>0</v>
      </c>
      <c r="S563" s="5" t="n">
        <v>0</v>
      </c>
      <c r="T563" s="5" t="n">
        <v>1</v>
      </c>
      <c r="U563" s="5" t="inlineStr">
        <is>
          <t>training</t>
        </is>
      </c>
      <c r="V563" s="5" t="n">
        <v>1</v>
      </c>
    </row>
    <row r="564">
      <c r="A564" s="5" t="n">
        <v>560</v>
      </c>
      <c r="B564" s="5" t="n">
        <v>1</v>
      </c>
      <c r="C564" s="6" t="n">
        <v>-0.2301473069597001</v>
      </c>
      <c r="D564" s="6" t="n">
        <v>-0.462801630008682</v>
      </c>
      <c r="E564" s="6" t="n">
        <v>-0.3948575139689546</v>
      </c>
      <c r="F564" s="6" t="n">
        <v>-0.8850484360866833</v>
      </c>
      <c r="G564" s="5" t="n">
        <v>0</v>
      </c>
      <c r="H564" s="5" t="n">
        <v>1</v>
      </c>
      <c r="I564" s="5" t="n">
        <v>0</v>
      </c>
      <c r="J564" s="5" t="n">
        <v>1</v>
      </c>
      <c r="K564" s="5" t="n">
        <v>0</v>
      </c>
      <c r="L564" s="5" t="n">
        <v>0</v>
      </c>
      <c r="M564" s="5" t="n">
        <v>0</v>
      </c>
      <c r="N564" s="5" t="n">
        <v>0</v>
      </c>
      <c r="O564" s="5" t="n">
        <v>0</v>
      </c>
      <c r="P564" s="5" t="n">
        <v>0</v>
      </c>
      <c r="Q564" s="5" t="n">
        <v>0</v>
      </c>
      <c r="R564" s="5" t="n">
        <v>0</v>
      </c>
      <c r="S564" s="5" t="n">
        <v>0</v>
      </c>
      <c r="T564" s="5" t="n">
        <v>1</v>
      </c>
      <c r="U564" s="5" t="inlineStr">
        <is>
          <t>training</t>
        </is>
      </c>
      <c r="V564" s="5" t="n">
        <v>1</v>
      </c>
    </row>
    <row r="565">
      <c r="A565" s="5" t="n">
        <v>561</v>
      </c>
      <c r="B565" s="5" t="n">
        <v>0</v>
      </c>
      <c r="C565" s="6" t="n">
        <v>0.275406400796963</v>
      </c>
      <c r="D565" s="6" t="n">
        <v>-0.1003127495272666</v>
      </c>
      <c r="E565" s="6" t="n">
        <v>1.170656858595183</v>
      </c>
      <c r="F565" s="6" t="n">
        <v>0.9185437189662378</v>
      </c>
      <c r="G565" s="5" t="n">
        <v>1</v>
      </c>
      <c r="H565" s="5" t="n">
        <v>0</v>
      </c>
      <c r="I565" s="5" t="n">
        <v>0</v>
      </c>
      <c r="J565" s="5" t="n">
        <v>0</v>
      </c>
      <c r="K565" s="5" t="n">
        <v>0</v>
      </c>
      <c r="L565" s="5" t="n">
        <v>0</v>
      </c>
      <c r="M565" s="5" t="n">
        <v>0</v>
      </c>
      <c r="N565" s="5" t="n">
        <v>0</v>
      </c>
      <c r="O565" s="5" t="n">
        <v>1</v>
      </c>
      <c r="P565" s="5" t="n">
        <v>0</v>
      </c>
      <c r="Q565" s="5" t="n">
        <v>1</v>
      </c>
      <c r="R565" s="5" t="n">
        <v>1</v>
      </c>
      <c r="S565" s="5" t="n">
        <v>0</v>
      </c>
      <c r="T565" s="5" t="n">
        <v>0</v>
      </c>
      <c r="U565" s="5" t="inlineStr">
        <is>
          <t>training</t>
        </is>
      </c>
      <c r="V565" s="5" t="n">
        <v>0</v>
      </c>
    </row>
    <row r="566">
      <c r="A566" s="5" t="n">
        <v>562</v>
      </c>
      <c r="B566" s="5" t="n">
        <v>1</v>
      </c>
      <c r="C566" s="6" t="n">
        <v>0.275406400796963</v>
      </c>
      <c r="D566" s="6" t="n">
        <v>-0.5964606573676594</v>
      </c>
      <c r="E566" s="6" t="n">
        <v>-1.003668658855008</v>
      </c>
      <c r="F566" s="6" t="n">
        <v>0.9185437189662378</v>
      </c>
      <c r="G566" s="5" t="n">
        <v>1</v>
      </c>
      <c r="H566" s="5" t="n">
        <v>0</v>
      </c>
      <c r="I566" s="5" t="n">
        <v>0</v>
      </c>
      <c r="J566" s="5" t="n">
        <v>0</v>
      </c>
      <c r="K566" s="5" t="n">
        <v>0</v>
      </c>
      <c r="L566" s="5" t="n">
        <v>1</v>
      </c>
      <c r="M566" s="5" t="n">
        <v>0</v>
      </c>
      <c r="N566" s="5" t="n">
        <v>0</v>
      </c>
      <c r="O566" s="5" t="n">
        <v>0</v>
      </c>
      <c r="P566" s="5" t="n">
        <v>1</v>
      </c>
      <c r="Q566" s="5" t="n">
        <v>0</v>
      </c>
      <c r="R566" s="5" t="n">
        <v>0</v>
      </c>
      <c r="S566" s="5" t="n">
        <v>1</v>
      </c>
      <c r="T566" s="5" t="n">
        <v>0</v>
      </c>
      <c r="U566" s="5" t="inlineStr">
        <is>
          <t>testing</t>
        </is>
      </c>
      <c r="V566" s="5" t="n">
        <v>0</v>
      </c>
    </row>
    <row r="567">
      <c r="A567" s="5" t="n">
        <v>563</v>
      </c>
      <c r="B567" s="5" t="n">
        <v>0</v>
      </c>
      <c r="C567" s="6" t="n">
        <v>-1.241254722473026</v>
      </c>
      <c r="D567" s="6" t="n">
        <v>-0.8984180935215798</v>
      </c>
      <c r="E567" s="6" t="n">
        <v>-0.5688035553649698</v>
      </c>
      <c r="F567" s="6" t="n">
        <v>-0.8850484360866833</v>
      </c>
      <c r="G567" s="5" t="n">
        <v>0</v>
      </c>
      <c r="H567" s="5" t="n">
        <v>0</v>
      </c>
      <c r="I567" s="5" t="n">
        <v>1</v>
      </c>
      <c r="J567" s="5" t="n">
        <v>0</v>
      </c>
      <c r="K567" s="5" t="n">
        <v>1</v>
      </c>
      <c r="L567" s="5" t="n">
        <v>0</v>
      </c>
      <c r="M567" s="5" t="n">
        <v>0</v>
      </c>
      <c r="N567" s="5" t="n">
        <v>0</v>
      </c>
      <c r="O567" s="5" t="n">
        <v>0</v>
      </c>
      <c r="P567" s="5" t="n">
        <v>0</v>
      </c>
      <c r="Q567" s="5" t="n">
        <v>0</v>
      </c>
      <c r="R567" s="5" t="n">
        <v>0</v>
      </c>
      <c r="S567" s="5" t="n">
        <v>1</v>
      </c>
      <c r="T567" s="5" t="n">
        <v>0</v>
      </c>
      <c r="U567" s="5" t="inlineStr">
        <is>
          <t>testing</t>
        </is>
      </c>
      <c r="V567" s="5" t="n">
        <v>0</v>
      </c>
    </row>
    <row r="568">
      <c r="A568" s="5" t="n">
        <v>564</v>
      </c>
      <c r="B568" s="5" t="n">
        <v>1</v>
      </c>
      <c r="C568" s="6" t="n">
        <v>1.286513816310289</v>
      </c>
      <c r="D568" s="6" t="n">
        <v>3.197426341724992</v>
      </c>
      <c r="E568" s="6" t="n">
        <v>0.1269806102190912</v>
      </c>
      <c r="F568" s="6" t="n">
        <v>-1.786844513613144</v>
      </c>
      <c r="G568" s="5" t="n">
        <v>0</v>
      </c>
      <c r="H568" s="5" t="n">
        <v>1</v>
      </c>
      <c r="I568" s="5" t="n">
        <v>0</v>
      </c>
      <c r="J568" s="5" t="n">
        <v>0</v>
      </c>
      <c r="K568" s="5" t="n">
        <v>0</v>
      </c>
      <c r="L568" s="5" t="n">
        <v>0</v>
      </c>
      <c r="M568" s="5" t="n">
        <v>0</v>
      </c>
      <c r="N568" s="5" t="n">
        <v>0</v>
      </c>
      <c r="O568" s="5" t="n">
        <v>1</v>
      </c>
      <c r="P568" s="5" t="n">
        <v>0</v>
      </c>
      <c r="Q568" s="5" t="n">
        <v>1</v>
      </c>
      <c r="R568" s="5" t="n">
        <v>1</v>
      </c>
      <c r="S568" s="5" t="n">
        <v>0</v>
      </c>
      <c r="T568" s="5" t="n">
        <v>0</v>
      </c>
      <c r="U568" s="5" t="inlineStr">
        <is>
          <t>testing</t>
        </is>
      </c>
      <c r="V568" s="5" t="n">
        <v>0</v>
      </c>
    </row>
    <row r="569">
      <c r="A569" s="5" t="n">
        <v>565</v>
      </c>
      <c r="B569" s="5" t="n">
        <v>0</v>
      </c>
      <c r="C569" s="6" t="n">
        <v>0.275406400796963</v>
      </c>
      <c r="D569" s="6" t="n">
        <v>0.5112997630996774</v>
      </c>
      <c r="E569" s="6" t="n">
        <v>0.1269806102190912</v>
      </c>
      <c r="F569" s="6" t="n">
        <v>0.9185437189662378</v>
      </c>
      <c r="G569" s="5" t="n">
        <v>0</v>
      </c>
      <c r="H569" s="5" t="n">
        <v>1</v>
      </c>
      <c r="I569" s="5" t="n">
        <v>0</v>
      </c>
      <c r="J569" s="5" t="n">
        <v>0</v>
      </c>
      <c r="K569" s="5" t="n">
        <v>1</v>
      </c>
      <c r="L569" s="5" t="n">
        <v>0</v>
      </c>
      <c r="M569" s="5" t="n">
        <v>0</v>
      </c>
      <c r="N569" s="5" t="n">
        <v>0</v>
      </c>
      <c r="O569" s="5" t="n">
        <v>1</v>
      </c>
      <c r="P569" s="5" t="n">
        <v>0</v>
      </c>
      <c r="Q569" s="5" t="n">
        <v>0</v>
      </c>
      <c r="R569" s="5" t="n">
        <v>0</v>
      </c>
      <c r="S569" s="5" t="n">
        <v>0</v>
      </c>
      <c r="T569" s="5" t="n">
        <v>0</v>
      </c>
      <c r="U569" s="5" t="inlineStr">
        <is>
          <t>training</t>
        </is>
      </c>
      <c r="V569" s="5" t="n">
        <v>0</v>
      </c>
    </row>
    <row r="570">
      <c r="A570" s="5" t="n">
        <v>566</v>
      </c>
      <c r="B570" s="5" t="n">
        <v>0</v>
      </c>
      <c r="C570" s="6" t="n">
        <v>0.275406400796963</v>
      </c>
      <c r="D570" s="6" t="n">
        <v>-0.5940114081752175</v>
      </c>
      <c r="E570" s="6" t="n">
        <v>-1.090641679553016</v>
      </c>
      <c r="F570" s="6" t="n">
        <v>0.01674764143977723</v>
      </c>
      <c r="G570" s="5" t="n">
        <v>0</v>
      </c>
      <c r="H570" s="5" t="n">
        <v>1</v>
      </c>
      <c r="I570" s="5" t="n">
        <v>0</v>
      </c>
      <c r="J570" s="5" t="n">
        <v>0</v>
      </c>
      <c r="K570" s="5" t="n">
        <v>1</v>
      </c>
      <c r="L570" s="5" t="n">
        <v>0</v>
      </c>
      <c r="M570" s="5" t="n">
        <v>1</v>
      </c>
      <c r="N570" s="5" t="n">
        <v>0</v>
      </c>
      <c r="O570" s="5" t="n">
        <v>0</v>
      </c>
      <c r="P570" s="5" t="n">
        <v>1</v>
      </c>
      <c r="Q570" s="5" t="n">
        <v>0</v>
      </c>
      <c r="R570" s="5" t="n">
        <v>0</v>
      </c>
      <c r="S570" s="5" t="n">
        <v>1</v>
      </c>
      <c r="T570" s="5" t="n">
        <v>0</v>
      </c>
      <c r="U570" s="5" t="inlineStr">
        <is>
          <t>training</t>
        </is>
      </c>
      <c r="V570" s="5" t="n">
        <v>1</v>
      </c>
    </row>
    <row r="571">
      <c r="A571" s="5" t="n">
        <v>567</v>
      </c>
      <c r="B571" s="5" t="n">
        <v>1</v>
      </c>
      <c r="C571" s="6" t="n">
        <v>-0.7357010147163632</v>
      </c>
      <c r="D571" s="6" t="n">
        <v>-0.6573419944369319</v>
      </c>
      <c r="E571" s="6" t="n">
        <v>0.04000758952108359</v>
      </c>
      <c r="F571" s="6" t="n">
        <v>-0.8850484360866833</v>
      </c>
      <c r="G571" s="5" t="n">
        <v>1</v>
      </c>
      <c r="H571" s="5" t="n">
        <v>0</v>
      </c>
      <c r="I571" s="5" t="n">
        <v>0</v>
      </c>
      <c r="J571" s="5" t="n">
        <v>0</v>
      </c>
      <c r="K571" s="5" t="n">
        <v>0</v>
      </c>
      <c r="L571" s="5" t="n">
        <v>0</v>
      </c>
      <c r="M571" s="5" t="n">
        <v>0</v>
      </c>
      <c r="N571" s="5" t="n">
        <v>0</v>
      </c>
      <c r="O571" s="5" t="n">
        <v>0</v>
      </c>
      <c r="P571" s="5" t="n">
        <v>0</v>
      </c>
      <c r="Q571" s="5" t="n">
        <v>0</v>
      </c>
      <c r="R571" s="5" t="n">
        <v>1</v>
      </c>
      <c r="S571" s="5" t="n">
        <v>0</v>
      </c>
      <c r="T571" s="5" t="n">
        <v>0</v>
      </c>
      <c r="U571" s="5" t="inlineStr">
        <is>
          <t>testing</t>
        </is>
      </c>
      <c r="V571" s="5" t="n">
        <v>0</v>
      </c>
    </row>
    <row r="572">
      <c r="A572" s="5" t="n">
        <v>568</v>
      </c>
      <c r="B572" s="5" t="n">
        <v>0</v>
      </c>
      <c r="C572" s="6" t="n">
        <v>0.275406400796963</v>
      </c>
      <c r="D572" s="6" t="n">
        <v>-0.2353713478533538</v>
      </c>
      <c r="E572" s="6" t="n">
        <v>-0.1339384518749317</v>
      </c>
      <c r="F572" s="6" t="n">
        <v>-0.8850484360866833</v>
      </c>
      <c r="G572" s="5" t="n">
        <v>0</v>
      </c>
      <c r="H572" s="5" t="n">
        <v>0</v>
      </c>
      <c r="I572" s="5" t="n">
        <v>0</v>
      </c>
      <c r="J572" s="5" t="n">
        <v>1</v>
      </c>
      <c r="K572" s="5" t="n">
        <v>0</v>
      </c>
      <c r="L572" s="5" t="n">
        <v>0</v>
      </c>
      <c r="M572" s="5" t="n">
        <v>0</v>
      </c>
      <c r="N572" s="5" t="n">
        <v>1</v>
      </c>
      <c r="O572" s="5" t="n">
        <v>0</v>
      </c>
      <c r="P572" s="5" t="n">
        <v>0</v>
      </c>
      <c r="Q572" s="5" t="n">
        <v>0</v>
      </c>
      <c r="R572" s="5" t="n">
        <v>0</v>
      </c>
      <c r="S572" s="5" t="n">
        <v>1</v>
      </c>
      <c r="T572" s="5" t="n">
        <v>0</v>
      </c>
      <c r="U572" s="5" t="inlineStr">
        <is>
          <t>testing</t>
        </is>
      </c>
      <c r="V572" s="5" t="n">
        <v>0</v>
      </c>
    </row>
    <row r="573">
      <c r="A573" s="5" t="n">
        <v>569</v>
      </c>
      <c r="B573" s="5" t="n">
        <v>0</v>
      </c>
      <c r="C573" s="6" t="n">
        <v>2.297621231823615</v>
      </c>
      <c r="D573" s="6" t="n">
        <v>0.2548283833768227</v>
      </c>
      <c r="E573" s="6" t="n">
        <v>0.4748726930111218</v>
      </c>
      <c r="F573" s="6" t="n">
        <v>0.9185437189662378</v>
      </c>
      <c r="G573" s="5" t="n">
        <v>0</v>
      </c>
      <c r="H573" s="5" t="n">
        <v>1</v>
      </c>
      <c r="I573" s="5" t="n">
        <v>0</v>
      </c>
      <c r="J573" s="5" t="n">
        <v>0</v>
      </c>
      <c r="K573" s="5" t="n">
        <v>0</v>
      </c>
      <c r="L573" s="5" t="n">
        <v>0</v>
      </c>
      <c r="M573" s="5" t="n">
        <v>0</v>
      </c>
      <c r="N573" s="5" t="n">
        <v>0</v>
      </c>
      <c r="O573" s="5" t="n">
        <v>1</v>
      </c>
      <c r="P573" s="5" t="n">
        <v>0</v>
      </c>
      <c r="Q573" s="5" t="n">
        <v>0</v>
      </c>
      <c r="R573" s="5" t="n">
        <v>0</v>
      </c>
      <c r="S573" s="5" t="n">
        <v>1</v>
      </c>
      <c r="T573" s="5" t="n">
        <v>0</v>
      </c>
      <c r="U573" s="5" t="inlineStr">
        <is>
          <t>training</t>
        </is>
      </c>
      <c r="V573" s="5" t="n">
        <v>0</v>
      </c>
    </row>
    <row r="574">
      <c r="A574" s="5" t="n">
        <v>570</v>
      </c>
      <c r="B574" s="5" t="n">
        <v>1</v>
      </c>
      <c r="C574" s="6" t="n">
        <v>2.297621231823615</v>
      </c>
      <c r="D574" s="6" t="n">
        <v>1.227180312776295</v>
      </c>
      <c r="E574" s="6" t="n">
        <v>-0.3948575139689546</v>
      </c>
      <c r="F574" s="6" t="n">
        <v>0.01674764143977723</v>
      </c>
      <c r="G574" s="5" t="n">
        <v>1</v>
      </c>
      <c r="H574" s="5" t="n">
        <v>0</v>
      </c>
      <c r="I574" s="5" t="n">
        <v>0</v>
      </c>
      <c r="J574" s="5" t="n">
        <v>0</v>
      </c>
      <c r="K574" s="5" t="n">
        <v>0</v>
      </c>
      <c r="L574" s="5" t="n">
        <v>0</v>
      </c>
      <c r="M574" s="5" t="n">
        <v>0</v>
      </c>
      <c r="N574" s="5" t="n">
        <v>0</v>
      </c>
      <c r="O574" s="5" t="n">
        <v>0</v>
      </c>
      <c r="P574" s="5" t="n">
        <v>0</v>
      </c>
      <c r="Q574" s="5" t="n">
        <v>0</v>
      </c>
      <c r="R574" s="5" t="n">
        <v>0</v>
      </c>
      <c r="S574" s="5" t="n">
        <v>1</v>
      </c>
      <c r="T574" s="5" t="n">
        <v>0</v>
      </c>
      <c r="U574" s="5" t="inlineStr">
        <is>
          <t>training</t>
        </is>
      </c>
      <c r="V574" s="5" t="n">
        <v>1</v>
      </c>
    </row>
    <row r="575">
      <c r="A575" s="5" t="n">
        <v>571</v>
      </c>
      <c r="B575" s="5" t="n">
        <v>1</v>
      </c>
      <c r="C575" s="6" t="n">
        <v>0.275406400796963</v>
      </c>
      <c r="D575" s="6" t="n">
        <v>-0.00584170924736107</v>
      </c>
      <c r="E575" s="6" t="n">
        <v>-1.090641679553016</v>
      </c>
      <c r="F575" s="6" t="n">
        <v>0.9185437189662378</v>
      </c>
      <c r="G575" s="5" t="n">
        <v>1</v>
      </c>
      <c r="H575" s="5" t="n">
        <v>0</v>
      </c>
      <c r="I575" s="5" t="n">
        <v>0</v>
      </c>
      <c r="J575" s="5" t="n">
        <v>0</v>
      </c>
      <c r="K575" s="5" t="n">
        <v>0</v>
      </c>
      <c r="L575" s="5" t="n">
        <v>0</v>
      </c>
      <c r="M575" s="5" t="n">
        <v>0</v>
      </c>
      <c r="N575" s="5" t="n">
        <v>0</v>
      </c>
      <c r="O575" s="5" t="n">
        <v>0</v>
      </c>
      <c r="P575" s="5" t="n">
        <v>1</v>
      </c>
      <c r="Q575" s="5" t="n">
        <v>0</v>
      </c>
      <c r="R575" s="5" t="n">
        <v>0</v>
      </c>
      <c r="S575" s="5" t="n">
        <v>0</v>
      </c>
      <c r="T575" s="5" t="n">
        <v>1</v>
      </c>
      <c r="U575" s="5" t="inlineStr">
        <is>
          <t>testing</t>
        </is>
      </c>
      <c r="V575" s="5" t="n">
        <v>0</v>
      </c>
    </row>
    <row r="576">
      <c r="A576" s="5" t="n">
        <v>572</v>
      </c>
      <c r="B576" s="5" t="n">
        <v>0</v>
      </c>
      <c r="C576" s="6" t="n">
        <v>0.7809601085536261</v>
      </c>
      <c r="D576" s="6" t="n">
        <v>0.9458665483872429</v>
      </c>
      <c r="E576" s="6" t="n">
        <v>0.2139536309170988</v>
      </c>
      <c r="F576" s="6" t="n">
        <v>0.01674764143977723</v>
      </c>
      <c r="G576" s="5" t="n">
        <v>0</v>
      </c>
      <c r="H576" s="5" t="n">
        <v>0</v>
      </c>
      <c r="I576" s="5" t="n">
        <v>0</v>
      </c>
      <c r="J576" s="5" t="n">
        <v>1</v>
      </c>
      <c r="K576" s="5" t="n">
        <v>0</v>
      </c>
      <c r="L576" s="5" t="n">
        <v>0</v>
      </c>
      <c r="M576" s="5" t="n">
        <v>0</v>
      </c>
      <c r="N576" s="5" t="n">
        <v>0</v>
      </c>
      <c r="O576" s="5" t="n">
        <v>0</v>
      </c>
      <c r="P576" s="5" t="n">
        <v>0</v>
      </c>
      <c r="Q576" s="5" t="n">
        <v>0</v>
      </c>
      <c r="R576" s="5" t="n">
        <v>0</v>
      </c>
      <c r="S576" s="5" t="n">
        <v>1</v>
      </c>
      <c r="T576" s="5" t="n">
        <v>0</v>
      </c>
      <c r="U576" s="5" t="inlineStr">
        <is>
          <t>training</t>
        </is>
      </c>
      <c r="V576" s="5" t="n">
        <v>0</v>
      </c>
    </row>
    <row r="577">
      <c r="A577" s="5" t="n">
        <v>573</v>
      </c>
      <c r="B577" s="5" t="n">
        <v>0</v>
      </c>
      <c r="C577" s="6" t="n">
        <v>0.275406400796963</v>
      </c>
      <c r="D577" s="6" t="n">
        <v>0.763572429921203</v>
      </c>
      <c r="E577" s="6" t="n">
        <v>-0.8297226174589928</v>
      </c>
      <c r="F577" s="6" t="n">
        <v>-0.8850484360866833</v>
      </c>
      <c r="G577" s="5" t="n">
        <v>0</v>
      </c>
      <c r="H577" s="5" t="n">
        <v>0</v>
      </c>
      <c r="I577" s="5" t="n">
        <v>0</v>
      </c>
      <c r="J577" s="5" t="n">
        <v>0</v>
      </c>
      <c r="K577" s="5" t="n">
        <v>0</v>
      </c>
      <c r="L577" s="5" t="n">
        <v>0</v>
      </c>
      <c r="M577" s="5" t="n">
        <v>0</v>
      </c>
      <c r="N577" s="5" t="n">
        <v>0</v>
      </c>
      <c r="O577" s="5" t="n">
        <v>1</v>
      </c>
      <c r="P577" s="5" t="n">
        <v>1</v>
      </c>
      <c r="Q577" s="5" t="n">
        <v>0</v>
      </c>
      <c r="R577" s="5" t="n">
        <v>1</v>
      </c>
      <c r="S577" s="5" t="n">
        <v>0</v>
      </c>
      <c r="T577" s="5" t="n">
        <v>0</v>
      </c>
      <c r="U577" s="5" t="inlineStr">
        <is>
          <t>testing</t>
        </is>
      </c>
      <c r="V577" s="5" t="n">
        <v>0</v>
      </c>
    </row>
    <row r="578">
      <c r="A578" s="5" t="n">
        <v>574</v>
      </c>
      <c r="B578" s="5" t="n">
        <v>0</v>
      </c>
      <c r="C578" s="6" t="n">
        <v>-0.4829241608380317</v>
      </c>
      <c r="D578" s="6" t="n">
        <v>-0.8553812862829562</v>
      </c>
      <c r="E578" s="6" t="n">
        <v>-1.177614700251023</v>
      </c>
      <c r="F578" s="6" t="n">
        <v>0.9185437189662378</v>
      </c>
      <c r="G578" s="5" t="n">
        <v>1</v>
      </c>
      <c r="H578" s="5" t="n">
        <v>0</v>
      </c>
      <c r="I578" s="5" t="n">
        <v>0</v>
      </c>
      <c r="J578" s="5" t="n">
        <v>0</v>
      </c>
      <c r="K578" s="5" t="n">
        <v>0</v>
      </c>
      <c r="L578" s="5" t="n">
        <v>0</v>
      </c>
      <c r="M578" s="5" t="n">
        <v>0</v>
      </c>
      <c r="N578" s="5" t="n">
        <v>0</v>
      </c>
      <c r="O578" s="5" t="n">
        <v>0</v>
      </c>
      <c r="P578" s="5" t="n">
        <v>0</v>
      </c>
      <c r="Q578" s="5" t="n">
        <v>0</v>
      </c>
      <c r="R578" s="5" t="n">
        <v>0</v>
      </c>
      <c r="S578" s="5" t="n">
        <v>0</v>
      </c>
      <c r="T578" s="5" t="n">
        <v>0</v>
      </c>
      <c r="U578" s="5" t="inlineStr">
        <is>
          <t>training</t>
        </is>
      </c>
      <c r="V578" s="5" t="n">
        <v>0</v>
      </c>
    </row>
    <row r="579">
      <c r="A579" s="5" t="n">
        <v>575</v>
      </c>
      <c r="B579" s="5" t="n">
        <v>0</v>
      </c>
      <c r="C579" s="6" t="n">
        <v>-0.9884778685946948</v>
      </c>
      <c r="D579" s="6" t="n">
        <v>-0.758810889552386</v>
      </c>
      <c r="E579" s="6" t="n">
        <v>-0.7427495967609852</v>
      </c>
      <c r="F579" s="6" t="n">
        <v>0.9185437189662378</v>
      </c>
      <c r="G579" s="5" t="n">
        <v>0</v>
      </c>
      <c r="H579" s="5" t="n">
        <v>1</v>
      </c>
      <c r="I579" s="5" t="n">
        <v>0</v>
      </c>
      <c r="J579" s="5" t="n">
        <v>0</v>
      </c>
      <c r="K579" s="5" t="n">
        <v>0</v>
      </c>
      <c r="L579" s="5" t="n">
        <v>0</v>
      </c>
      <c r="M579" s="5" t="n">
        <v>0</v>
      </c>
      <c r="N579" s="5" t="n">
        <v>0</v>
      </c>
      <c r="O579" s="5" t="n">
        <v>0</v>
      </c>
      <c r="P579" s="5" t="n">
        <v>0</v>
      </c>
      <c r="Q579" s="5" t="n">
        <v>0</v>
      </c>
      <c r="R579" s="5" t="n">
        <v>0</v>
      </c>
      <c r="S579" s="5" t="n">
        <v>1</v>
      </c>
      <c r="T579" s="5" t="n">
        <v>0</v>
      </c>
      <c r="U579" s="5" t="inlineStr">
        <is>
          <t>training</t>
        </is>
      </c>
      <c r="V579" s="5" t="n">
        <v>1</v>
      </c>
    </row>
    <row r="580">
      <c r="A580" s="5" t="n">
        <v>576</v>
      </c>
      <c r="B580" s="5" t="n">
        <v>0</v>
      </c>
      <c r="C580" s="6" t="n">
        <v>-0.4829241608380317</v>
      </c>
      <c r="D580" s="6" t="n">
        <v>-0.1618938720800939</v>
      </c>
      <c r="E580" s="6" t="n">
        <v>-1.003668658855008</v>
      </c>
      <c r="F580" s="6" t="n">
        <v>-0.8850484360866833</v>
      </c>
      <c r="G580" s="5" t="n">
        <v>0</v>
      </c>
      <c r="H580" s="5" t="n">
        <v>0</v>
      </c>
      <c r="I580" s="5" t="n">
        <v>0</v>
      </c>
      <c r="J580" s="5" t="n">
        <v>1</v>
      </c>
      <c r="K580" s="5" t="n">
        <v>0</v>
      </c>
      <c r="L580" s="5" t="n">
        <v>0</v>
      </c>
      <c r="M580" s="5" t="n">
        <v>0</v>
      </c>
      <c r="N580" s="5" t="n">
        <v>0</v>
      </c>
      <c r="O580" s="5" t="n">
        <v>0</v>
      </c>
      <c r="P580" s="5" t="n">
        <v>0</v>
      </c>
      <c r="Q580" s="5" t="n">
        <v>0</v>
      </c>
      <c r="R580" s="5" t="n">
        <v>0</v>
      </c>
      <c r="S580" s="5" t="n">
        <v>0</v>
      </c>
      <c r="T580" s="5" t="n">
        <v>1</v>
      </c>
      <c r="U580" s="5" t="inlineStr">
        <is>
          <t>training</t>
        </is>
      </c>
      <c r="V580" s="5" t="n">
        <v>1</v>
      </c>
    </row>
    <row r="581">
      <c r="A581" s="5" t="n">
        <v>577</v>
      </c>
      <c r="B581" s="5" t="n">
        <v>0</v>
      </c>
      <c r="C581" s="6" t="n">
        <v>-0.7357010147163632</v>
      </c>
      <c r="D581" s="6" t="n">
        <v>-0.1122091027476992</v>
      </c>
      <c r="E581" s="6" t="n">
        <v>-0.7427495967609852</v>
      </c>
      <c r="F581" s="6" t="n">
        <v>-0.8850484360866833</v>
      </c>
      <c r="G581" s="5" t="n">
        <v>0</v>
      </c>
      <c r="H581" s="5" t="n">
        <v>1</v>
      </c>
      <c r="I581" s="5" t="n">
        <v>0</v>
      </c>
      <c r="J581" s="5" t="n">
        <v>0</v>
      </c>
      <c r="K581" s="5" t="n">
        <v>0</v>
      </c>
      <c r="L581" s="5" t="n">
        <v>0</v>
      </c>
      <c r="M581" s="5" t="n">
        <v>0</v>
      </c>
      <c r="N581" s="5" t="n">
        <v>0</v>
      </c>
      <c r="O581" s="5" t="n">
        <v>0</v>
      </c>
      <c r="P581" s="5" t="n">
        <v>0</v>
      </c>
      <c r="Q581" s="5" t="n">
        <v>0</v>
      </c>
      <c r="R581" s="5" t="n">
        <v>0</v>
      </c>
      <c r="S581" s="5" t="n">
        <v>1</v>
      </c>
      <c r="T581" s="5" t="n">
        <v>0</v>
      </c>
      <c r="U581" s="5" t="inlineStr">
        <is>
          <t>training</t>
        </is>
      </c>
      <c r="V581" s="5" t="n">
        <v>0</v>
      </c>
    </row>
    <row r="582">
      <c r="A582" s="5" t="n">
        <v>578</v>
      </c>
      <c r="B582" s="5" t="n">
        <v>0</v>
      </c>
      <c r="C582" s="6" t="n">
        <v>0.275406400796963</v>
      </c>
      <c r="D582" s="6" t="n">
        <v>-0.4631515227504594</v>
      </c>
      <c r="E582" s="6" t="n">
        <v>-0.2209114725729393</v>
      </c>
      <c r="F582" s="6" t="n">
        <v>0.01674764143977723</v>
      </c>
      <c r="G582" s="5" t="n">
        <v>0</v>
      </c>
      <c r="H582" s="5" t="n">
        <v>0</v>
      </c>
      <c r="I582" s="5" t="n">
        <v>0</v>
      </c>
      <c r="J582" s="5" t="n">
        <v>1</v>
      </c>
      <c r="K582" s="5" t="n">
        <v>0</v>
      </c>
      <c r="L582" s="5" t="n">
        <v>0</v>
      </c>
      <c r="M582" s="5" t="n">
        <v>0</v>
      </c>
      <c r="N582" s="5" t="n">
        <v>0</v>
      </c>
      <c r="O582" s="5" t="n">
        <v>1</v>
      </c>
      <c r="P582" s="5" t="n">
        <v>0</v>
      </c>
      <c r="Q582" s="5" t="n">
        <v>0</v>
      </c>
      <c r="R582" s="5" t="n">
        <v>0</v>
      </c>
      <c r="S582" s="5" t="n">
        <v>0</v>
      </c>
      <c r="T582" s="5" t="n">
        <v>0</v>
      </c>
      <c r="U582" s="5" t="inlineStr">
        <is>
          <t>training</t>
        </is>
      </c>
      <c r="V582" s="5" t="n">
        <v>0</v>
      </c>
    </row>
    <row r="583">
      <c r="A583" s="5" t="n">
        <v>579</v>
      </c>
      <c r="B583" s="5" t="n">
        <v>1</v>
      </c>
      <c r="C583" s="6" t="n">
        <v>1.286513816310289</v>
      </c>
      <c r="D583" s="6" t="n">
        <v>-0.1506973043432162</v>
      </c>
      <c r="E583" s="6" t="n">
        <v>-0.7427495967609852</v>
      </c>
      <c r="F583" s="6" t="n">
        <v>0.9185437189662378</v>
      </c>
      <c r="G583" s="5" t="n">
        <v>0</v>
      </c>
      <c r="H583" s="5" t="n">
        <v>1</v>
      </c>
      <c r="I583" s="5" t="n">
        <v>0</v>
      </c>
      <c r="J583" s="5" t="n">
        <v>1</v>
      </c>
      <c r="K583" s="5" t="n">
        <v>0</v>
      </c>
      <c r="L583" s="5" t="n">
        <v>0</v>
      </c>
      <c r="M583" s="5" t="n">
        <v>0</v>
      </c>
      <c r="N583" s="5" t="n">
        <v>0</v>
      </c>
      <c r="O583" s="5" t="n">
        <v>0</v>
      </c>
      <c r="P583" s="5" t="n">
        <v>0</v>
      </c>
      <c r="Q583" s="5" t="n">
        <v>0</v>
      </c>
      <c r="R583" s="5" t="n">
        <v>1</v>
      </c>
      <c r="S583" s="5" t="n">
        <v>0</v>
      </c>
      <c r="T583" s="5" t="n">
        <v>0</v>
      </c>
      <c r="U583" s="5" t="inlineStr">
        <is>
          <t>training</t>
        </is>
      </c>
      <c r="V583" s="5" t="n">
        <v>1</v>
      </c>
    </row>
    <row r="584">
      <c r="A584" s="5" t="n">
        <v>580</v>
      </c>
      <c r="B584" s="5" t="n">
        <v>0</v>
      </c>
      <c r="C584" s="6" t="n">
        <v>0.275406400796963</v>
      </c>
      <c r="D584" s="6" t="n">
        <v>-0.8095453371101131</v>
      </c>
      <c r="E584" s="6" t="n">
        <v>-0.7427495967609852</v>
      </c>
      <c r="F584" s="6" t="n">
        <v>0.9185437189662378</v>
      </c>
      <c r="G584" s="5" t="n">
        <v>0</v>
      </c>
      <c r="H584" s="5" t="n">
        <v>0</v>
      </c>
      <c r="I584" s="5" t="n">
        <v>0</v>
      </c>
      <c r="J584" s="5" t="n">
        <v>0</v>
      </c>
      <c r="K584" s="5" t="n">
        <v>0</v>
      </c>
      <c r="L584" s="5" t="n">
        <v>0</v>
      </c>
      <c r="M584" s="5" t="n">
        <v>0</v>
      </c>
      <c r="N584" s="5" t="n">
        <v>0</v>
      </c>
      <c r="O584" s="5" t="n">
        <v>0</v>
      </c>
      <c r="P584" s="5" t="n">
        <v>0</v>
      </c>
      <c r="Q584" s="5" t="n">
        <v>0</v>
      </c>
      <c r="R584" s="5" t="n">
        <v>0</v>
      </c>
      <c r="S584" s="5" t="n">
        <v>0</v>
      </c>
      <c r="T584" s="5" t="n">
        <v>0</v>
      </c>
      <c r="U584" s="5" t="inlineStr">
        <is>
          <t>training</t>
        </is>
      </c>
      <c r="V584" s="5" t="n">
        <v>0</v>
      </c>
    </row>
    <row r="585">
      <c r="A585" s="5" t="n">
        <v>581</v>
      </c>
      <c r="B585" s="5" t="n">
        <v>1</v>
      </c>
      <c r="C585" s="6" t="n">
        <v>-0.2301473069597001</v>
      </c>
      <c r="D585" s="6" t="n">
        <v>-0.7679081008385992</v>
      </c>
      <c r="E585" s="6" t="n">
        <v>-0.4818305346669622</v>
      </c>
      <c r="F585" s="6" t="n">
        <v>0.01674764143977723</v>
      </c>
      <c r="G585" s="5" t="n">
        <v>0</v>
      </c>
      <c r="H585" s="5" t="n">
        <v>1</v>
      </c>
      <c r="I585" s="5" t="n">
        <v>0</v>
      </c>
      <c r="J585" s="5" t="n">
        <v>1</v>
      </c>
      <c r="K585" s="5" t="n">
        <v>0</v>
      </c>
      <c r="L585" s="5" t="n">
        <v>0</v>
      </c>
      <c r="M585" s="5" t="n">
        <v>0</v>
      </c>
      <c r="N585" s="5" t="n">
        <v>0</v>
      </c>
      <c r="O585" s="5" t="n">
        <v>0</v>
      </c>
      <c r="P585" s="5" t="n">
        <v>0</v>
      </c>
      <c r="Q585" s="5" t="n">
        <v>0</v>
      </c>
      <c r="R585" s="5" t="n">
        <v>1</v>
      </c>
      <c r="S585" s="5" t="n">
        <v>0</v>
      </c>
      <c r="T585" s="5" t="n">
        <v>0</v>
      </c>
      <c r="U585" s="5" t="inlineStr">
        <is>
          <t>training</t>
        </is>
      </c>
      <c r="V585" s="5" t="n">
        <v>1</v>
      </c>
    </row>
    <row r="586">
      <c r="A586" s="5" t="n">
        <v>582</v>
      </c>
      <c r="B586" s="5" t="n">
        <v>0</v>
      </c>
      <c r="C586" s="6" t="n">
        <v>-0.7357010147163632</v>
      </c>
      <c r="D586" s="6" t="n">
        <v>-0.04432991084287814</v>
      </c>
      <c r="E586" s="6" t="n">
        <v>1.170656858595183</v>
      </c>
      <c r="F586" s="6" t="n">
        <v>-1.786844513613144</v>
      </c>
      <c r="G586" s="5" t="n">
        <v>0</v>
      </c>
      <c r="H586" s="5" t="n">
        <v>1</v>
      </c>
      <c r="I586" s="5" t="n">
        <v>0</v>
      </c>
      <c r="J586" s="5" t="n">
        <v>1</v>
      </c>
      <c r="K586" s="5" t="n">
        <v>0</v>
      </c>
      <c r="L586" s="5" t="n">
        <v>0</v>
      </c>
      <c r="M586" s="5" t="n">
        <v>0</v>
      </c>
      <c r="N586" s="5" t="n">
        <v>0</v>
      </c>
      <c r="O586" s="5" t="n">
        <v>0</v>
      </c>
      <c r="P586" s="5" t="n">
        <v>0</v>
      </c>
      <c r="Q586" s="5" t="n">
        <v>0</v>
      </c>
      <c r="R586" s="5" t="n">
        <v>1</v>
      </c>
      <c r="S586" s="5" t="n">
        <v>0</v>
      </c>
      <c r="T586" s="5" t="n">
        <v>0</v>
      </c>
      <c r="U586" s="5" t="inlineStr">
        <is>
          <t>testing</t>
        </is>
      </c>
      <c r="V586" s="5" t="n">
        <v>0</v>
      </c>
    </row>
    <row r="587">
      <c r="A587" s="5" t="n">
        <v>583</v>
      </c>
      <c r="B587" s="5" t="n">
        <v>0</v>
      </c>
      <c r="C587" s="6" t="n">
        <v>-0.9884778685946948</v>
      </c>
      <c r="D587" s="6" t="n">
        <v>-0.651743710568493</v>
      </c>
      <c r="E587" s="6" t="n">
        <v>-0.8297226174589928</v>
      </c>
      <c r="F587" s="6" t="n">
        <v>0.9185437189662378</v>
      </c>
      <c r="G587" s="5" t="n">
        <v>0</v>
      </c>
      <c r="H587" s="5" t="n">
        <v>0</v>
      </c>
      <c r="I587" s="5" t="n">
        <v>0</v>
      </c>
      <c r="J587" s="5" t="n">
        <v>0</v>
      </c>
      <c r="K587" s="5" t="n">
        <v>0</v>
      </c>
      <c r="L587" s="5" t="n">
        <v>0</v>
      </c>
      <c r="M587" s="5" t="n">
        <v>0</v>
      </c>
      <c r="N587" s="5" t="n">
        <v>0</v>
      </c>
      <c r="O587" s="5" t="n">
        <v>0</v>
      </c>
      <c r="P587" s="5" t="n">
        <v>1</v>
      </c>
      <c r="Q587" s="5" t="n">
        <v>0</v>
      </c>
      <c r="R587" s="5" t="n">
        <v>0</v>
      </c>
      <c r="S587" s="5" t="n">
        <v>0</v>
      </c>
      <c r="T587" s="5" t="n">
        <v>1</v>
      </c>
      <c r="U587" s="5" t="inlineStr">
        <is>
          <t>training</t>
        </is>
      </c>
      <c r="V587" s="5" t="n">
        <v>0</v>
      </c>
    </row>
    <row r="588">
      <c r="A588" s="5" t="n">
        <v>584</v>
      </c>
      <c r="B588" s="5" t="n">
        <v>1</v>
      </c>
      <c r="C588" s="6" t="n">
        <v>1.286513816310289</v>
      </c>
      <c r="D588" s="6" t="n">
        <v>-0.3032505397581748</v>
      </c>
      <c r="E588" s="6" t="n">
        <v>-0.2209114725729393</v>
      </c>
      <c r="F588" s="6" t="n">
        <v>0.9185437189662378</v>
      </c>
      <c r="G588" s="5" t="n">
        <v>0</v>
      </c>
      <c r="H588" s="5" t="n">
        <v>1</v>
      </c>
      <c r="I588" s="5" t="n">
        <v>0</v>
      </c>
      <c r="J588" s="5" t="n">
        <v>0</v>
      </c>
      <c r="K588" s="5" t="n">
        <v>0</v>
      </c>
      <c r="L588" s="5" t="n">
        <v>0</v>
      </c>
      <c r="M588" s="5" t="n">
        <v>0</v>
      </c>
      <c r="N588" s="5" t="n">
        <v>0</v>
      </c>
      <c r="O588" s="5" t="n">
        <v>0</v>
      </c>
      <c r="P588" s="5" t="n">
        <v>1</v>
      </c>
      <c r="Q588" s="5" t="n">
        <v>0</v>
      </c>
      <c r="R588" s="5" t="n">
        <v>0</v>
      </c>
      <c r="S588" s="5" t="n">
        <v>0</v>
      </c>
      <c r="T588" s="5" t="n">
        <v>0</v>
      </c>
      <c r="U588" s="5" t="inlineStr">
        <is>
          <t>testing</t>
        </is>
      </c>
      <c r="V588" s="5" t="n">
        <v>0</v>
      </c>
    </row>
    <row r="589">
      <c r="A589" s="5" t="n">
        <v>585</v>
      </c>
      <c r="B589" s="5" t="n">
        <v>0</v>
      </c>
      <c r="C589" s="6" t="n">
        <v>-0.7357010147163632</v>
      </c>
      <c r="D589" s="6" t="n">
        <v>-0.3910736179443092</v>
      </c>
      <c r="E589" s="6" t="n">
        <v>1.431575920689206</v>
      </c>
      <c r="F589" s="6" t="n">
        <v>0.9185437189662378</v>
      </c>
      <c r="G589" s="5" t="n">
        <v>0</v>
      </c>
      <c r="H589" s="5" t="n">
        <v>0</v>
      </c>
      <c r="I589" s="5" t="n">
        <v>0</v>
      </c>
      <c r="J589" s="5" t="n">
        <v>0</v>
      </c>
      <c r="K589" s="5" t="n">
        <v>0</v>
      </c>
      <c r="L589" s="5" t="n">
        <v>0</v>
      </c>
      <c r="M589" s="5" t="n">
        <v>0</v>
      </c>
      <c r="N589" s="5" t="n">
        <v>0</v>
      </c>
      <c r="O589" s="5" t="n">
        <v>1</v>
      </c>
      <c r="P589" s="5" t="n">
        <v>0</v>
      </c>
      <c r="Q589" s="5" t="n">
        <v>1</v>
      </c>
      <c r="R589" s="5" t="n">
        <v>1</v>
      </c>
      <c r="S589" s="5" t="n">
        <v>0</v>
      </c>
      <c r="T589" s="5" t="n">
        <v>0</v>
      </c>
      <c r="U589" s="5" t="inlineStr">
        <is>
          <t>training</t>
        </is>
      </c>
      <c r="V589" s="5" t="n">
        <v>0</v>
      </c>
    </row>
    <row r="590">
      <c r="A590" s="5" t="n">
        <v>586</v>
      </c>
      <c r="B590" s="5" t="n">
        <v>1</v>
      </c>
      <c r="C590" s="6" t="n">
        <v>-0.2301473069597001</v>
      </c>
      <c r="D590" s="6" t="n">
        <v>-0.4239635356713874</v>
      </c>
      <c r="E590" s="6" t="n">
        <v>-1.351560741647039</v>
      </c>
      <c r="F590" s="6" t="n">
        <v>-1.786844513613144</v>
      </c>
      <c r="G590" s="5" t="n">
        <v>1</v>
      </c>
      <c r="H590" s="5" t="n">
        <v>0</v>
      </c>
      <c r="I590" s="5" t="n">
        <v>0</v>
      </c>
      <c r="J590" s="5" t="n">
        <v>0</v>
      </c>
      <c r="K590" s="5" t="n">
        <v>0</v>
      </c>
      <c r="L590" s="5" t="n">
        <v>0</v>
      </c>
      <c r="M590" s="5" t="n">
        <v>0</v>
      </c>
      <c r="N590" s="5" t="n">
        <v>0</v>
      </c>
      <c r="O590" s="5" t="n">
        <v>0</v>
      </c>
      <c r="P590" s="5" t="n">
        <v>1</v>
      </c>
      <c r="Q590" s="5" t="n">
        <v>0</v>
      </c>
      <c r="R590" s="5" t="n">
        <v>0</v>
      </c>
      <c r="S590" s="5" t="n">
        <v>0</v>
      </c>
      <c r="T590" s="5" t="n">
        <v>1</v>
      </c>
      <c r="U590" s="5" t="inlineStr">
        <is>
          <t>testing</t>
        </is>
      </c>
      <c r="V590" s="5" t="n">
        <v>0</v>
      </c>
    </row>
    <row r="591">
      <c r="A591" s="5" t="n">
        <v>587</v>
      </c>
      <c r="B591" s="5" t="n">
        <v>0</v>
      </c>
      <c r="C591" s="6" t="n">
        <v>-0.9884778685946948</v>
      </c>
      <c r="D591" s="6" t="n">
        <v>-0.1580450519205422</v>
      </c>
      <c r="E591" s="6" t="n">
        <v>0.04000758952108359</v>
      </c>
      <c r="F591" s="6" t="n">
        <v>-0.8850484360866833</v>
      </c>
      <c r="G591" s="5" t="n">
        <v>1</v>
      </c>
      <c r="H591" s="5" t="n">
        <v>0</v>
      </c>
      <c r="I591" s="5" t="n">
        <v>0</v>
      </c>
      <c r="J591" s="5" t="n">
        <v>1</v>
      </c>
      <c r="K591" s="5" t="n">
        <v>0</v>
      </c>
      <c r="L591" s="5" t="n">
        <v>0</v>
      </c>
      <c r="M591" s="5" t="n">
        <v>0</v>
      </c>
      <c r="N591" s="5" t="n">
        <v>0</v>
      </c>
      <c r="O591" s="5" t="n">
        <v>0</v>
      </c>
      <c r="P591" s="5" t="n">
        <v>1</v>
      </c>
      <c r="Q591" s="5" t="n">
        <v>0</v>
      </c>
      <c r="R591" s="5" t="n">
        <v>1</v>
      </c>
      <c r="S591" s="5" t="n">
        <v>0</v>
      </c>
      <c r="T591" s="5" t="n">
        <v>0</v>
      </c>
      <c r="U591" s="5" t="inlineStr">
        <is>
          <t>training</t>
        </is>
      </c>
      <c r="V591" s="5" t="n">
        <v>1</v>
      </c>
    </row>
    <row r="592">
      <c r="A592" s="5" t="n">
        <v>588</v>
      </c>
      <c r="B592" s="5" t="n">
        <v>0</v>
      </c>
      <c r="C592" s="6" t="n">
        <v>-0.7357010147163632</v>
      </c>
      <c r="D592" s="6" t="n">
        <v>-0.6863830920044585</v>
      </c>
      <c r="E592" s="6" t="n">
        <v>-1.264587720949031</v>
      </c>
      <c r="F592" s="6" t="n">
        <v>0.9185437189662378</v>
      </c>
      <c r="G592" s="5" t="n">
        <v>1</v>
      </c>
      <c r="H592" s="5" t="n">
        <v>0</v>
      </c>
      <c r="I592" s="5" t="n">
        <v>0</v>
      </c>
      <c r="J592" s="5" t="n">
        <v>0</v>
      </c>
      <c r="K592" s="5" t="n">
        <v>0</v>
      </c>
      <c r="L592" s="5" t="n">
        <v>0</v>
      </c>
      <c r="M592" s="5" t="n">
        <v>0</v>
      </c>
      <c r="N592" s="5" t="n">
        <v>0</v>
      </c>
      <c r="O592" s="5" t="n">
        <v>0</v>
      </c>
      <c r="P592" s="5" t="n">
        <v>0</v>
      </c>
      <c r="Q592" s="5" t="n">
        <v>0</v>
      </c>
      <c r="R592" s="5" t="n">
        <v>0</v>
      </c>
      <c r="S592" s="5" t="n">
        <v>0</v>
      </c>
      <c r="T592" s="5" t="n">
        <v>1</v>
      </c>
      <c r="U592" s="5" t="inlineStr">
        <is>
          <t>training</t>
        </is>
      </c>
      <c r="V592" s="5" t="n">
        <v>0</v>
      </c>
    </row>
    <row r="593">
      <c r="A593" s="5" t="n">
        <v>589</v>
      </c>
      <c r="B593" s="5" t="n">
        <v>1</v>
      </c>
      <c r="C593" s="6" t="n">
        <v>-0.2301473069597001</v>
      </c>
      <c r="D593" s="6" t="n">
        <v>-0.7115753694124333</v>
      </c>
      <c r="E593" s="6" t="n">
        <v>0.9967108171991675</v>
      </c>
      <c r="F593" s="6" t="n">
        <v>0.9185437189662378</v>
      </c>
      <c r="G593" s="5" t="n">
        <v>1</v>
      </c>
      <c r="H593" s="5" t="n">
        <v>0</v>
      </c>
      <c r="I593" s="5" t="n">
        <v>0</v>
      </c>
      <c r="J593" s="5" t="n">
        <v>0</v>
      </c>
      <c r="K593" s="5" t="n">
        <v>0</v>
      </c>
      <c r="L593" s="5" t="n">
        <v>0</v>
      </c>
      <c r="M593" s="5" t="n">
        <v>0</v>
      </c>
      <c r="N593" s="5" t="n">
        <v>0</v>
      </c>
      <c r="O593" s="5" t="n">
        <v>0</v>
      </c>
      <c r="P593" s="5" t="n">
        <v>0</v>
      </c>
      <c r="Q593" s="5" t="n">
        <v>0</v>
      </c>
      <c r="R593" s="5" t="n">
        <v>0</v>
      </c>
      <c r="S593" s="5" t="n">
        <v>0</v>
      </c>
      <c r="T593" s="5" t="n">
        <v>0</v>
      </c>
      <c r="U593" s="5" t="inlineStr">
        <is>
          <t>training</t>
        </is>
      </c>
      <c r="V593" s="5" t="n">
        <v>1</v>
      </c>
    </row>
    <row r="594">
      <c r="A594" s="5" t="n">
        <v>590</v>
      </c>
      <c r="B594" s="5" t="n">
        <v>1</v>
      </c>
      <c r="C594" s="6" t="n">
        <v>-0.7357010147163632</v>
      </c>
      <c r="D594" s="6" t="n">
        <v>-0.3515357381234599</v>
      </c>
      <c r="E594" s="6" t="n">
        <v>2.127360086273267</v>
      </c>
      <c r="F594" s="6" t="n">
        <v>0.01674764143977723</v>
      </c>
      <c r="G594" s="5" t="n">
        <v>1</v>
      </c>
      <c r="H594" s="5" t="n">
        <v>0</v>
      </c>
      <c r="I594" s="5" t="n">
        <v>0</v>
      </c>
      <c r="J594" s="5" t="n">
        <v>1</v>
      </c>
      <c r="K594" s="5" t="n">
        <v>0</v>
      </c>
      <c r="L594" s="5" t="n">
        <v>0</v>
      </c>
      <c r="M594" s="5" t="n">
        <v>0</v>
      </c>
      <c r="N594" s="5" t="n">
        <v>0</v>
      </c>
      <c r="O594" s="5" t="n">
        <v>0</v>
      </c>
      <c r="P594" s="5" t="n">
        <v>0</v>
      </c>
      <c r="Q594" s="5" t="n">
        <v>0</v>
      </c>
      <c r="R594" s="5" t="n">
        <v>0</v>
      </c>
      <c r="S594" s="5" t="n">
        <v>0</v>
      </c>
      <c r="T594" s="5" t="n">
        <v>1</v>
      </c>
      <c r="U594" s="5" t="inlineStr">
        <is>
          <t>training</t>
        </is>
      </c>
      <c r="V594" s="5" t="n">
        <v>1</v>
      </c>
    </row>
    <row r="595">
      <c r="A595" s="5" t="n">
        <v>591</v>
      </c>
      <c r="B595" s="5" t="n">
        <v>0</v>
      </c>
      <c r="C595" s="6" t="n">
        <v>-0.7357010147163632</v>
      </c>
      <c r="D595" s="6" t="n">
        <v>-1.002686130571253</v>
      </c>
      <c r="E595" s="6" t="n">
        <v>1.953414044877252</v>
      </c>
      <c r="F595" s="6" t="n">
        <v>0.9185437189662378</v>
      </c>
      <c r="G595" s="5" t="n">
        <v>1</v>
      </c>
      <c r="H595" s="5" t="n">
        <v>0</v>
      </c>
      <c r="I595" s="5" t="n">
        <v>0</v>
      </c>
      <c r="J595" s="5" t="n">
        <v>1</v>
      </c>
      <c r="K595" s="5" t="n">
        <v>0</v>
      </c>
      <c r="L595" s="5" t="n">
        <v>0</v>
      </c>
      <c r="M595" s="5" t="n">
        <v>0</v>
      </c>
      <c r="N595" s="5" t="n">
        <v>0</v>
      </c>
      <c r="O595" s="5" t="n">
        <v>0</v>
      </c>
      <c r="P595" s="5" t="n">
        <v>0</v>
      </c>
      <c r="Q595" s="5" t="n">
        <v>0</v>
      </c>
      <c r="R595" s="5" t="n">
        <v>0</v>
      </c>
      <c r="S595" s="5" t="n">
        <v>1</v>
      </c>
      <c r="T595" s="5" t="n">
        <v>0</v>
      </c>
      <c r="U595" s="5" t="inlineStr">
        <is>
          <t>testing</t>
        </is>
      </c>
      <c r="V595" s="5" t="n">
        <v>0</v>
      </c>
    </row>
    <row r="596">
      <c r="A596" s="5" t="n">
        <v>592</v>
      </c>
      <c r="B596" s="5" t="n">
        <v>0</v>
      </c>
      <c r="C596" s="6" t="n">
        <v>0.275406400796963</v>
      </c>
      <c r="D596" s="6" t="n">
        <v>-0.4498555985629171</v>
      </c>
      <c r="E596" s="6" t="n">
        <v>0.5618457137091294</v>
      </c>
      <c r="F596" s="6" t="n">
        <v>0.9185437189662378</v>
      </c>
      <c r="G596" s="5" t="n">
        <v>0</v>
      </c>
      <c r="H596" s="5" t="n">
        <v>1</v>
      </c>
      <c r="I596" s="5" t="n">
        <v>0</v>
      </c>
      <c r="J596" s="5" t="n">
        <v>0</v>
      </c>
      <c r="K596" s="5" t="n">
        <v>1</v>
      </c>
      <c r="L596" s="5" t="n">
        <v>0</v>
      </c>
      <c r="M596" s="5" t="n">
        <v>0</v>
      </c>
      <c r="N596" s="5" t="n">
        <v>0</v>
      </c>
      <c r="O596" s="5" t="n">
        <v>1</v>
      </c>
      <c r="P596" s="5" t="n">
        <v>1</v>
      </c>
      <c r="Q596" s="5" t="n">
        <v>0</v>
      </c>
      <c r="R596" s="5" t="n">
        <v>1</v>
      </c>
      <c r="S596" s="5" t="n">
        <v>0</v>
      </c>
      <c r="T596" s="5" t="n">
        <v>0</v>
      </c>
      <c r="U596" s="5" t="inlineStr">
        <is>
          <t>testing</t>
        </is>
      </c>
      <c r="V596" s="5" t="n">
        <v>0</v>
      </c>
    </row>
    <row r="597">
      <c r="A597" s="5" t="n">
        <v>593</v>
      </c>
      <c r="B597" s="5" t="n">
        <v>0</v>
      </c>
      <c r="C597" s="6" t="n">
        <v>0.02262954691863145</v>
      </c>
      <c r="D597" s="6" t="n">
        <v>-0.5873634460814463</v>
      </c>
      <c r="E597" s="6" t="n">
        <v>0.04000758952108359</v>
      </c>
      <c r="F597" s="6" t="n">
        <v>0.9185437189662378</v>
      </c>
      <c r="G597" s="5" t="n">
        <v>0</v>
      </c>
      <c r="H597" s="5" t="n">
        <v>0</v>
      </c>
      <c r="I597" s="5" t="n">
        <v>0</v>
      </c>
      <c r="J597" s="5" t="n">
        <v>0</v>
      </c>
      <c r="K597" s="5" t="n">
        <v>0</v>
      </c>
      <c r="L597" s="5" t="n">
        <v>0</v>
      </c>
      <c r="M597" s="5" t="n">
        <v>0</v>
      </c>
      <c r="N597" s="5" t="n">
        <v>1</v>
      </c>
      <c r="O597" s="5" t="n">
        <v>0</v>
      </c>
      <c r="P597" s="5" t="n">
        <v>0</v>
      </c>
      <c r="Q597" s="5" t="n">
        <v>0</v>
      </c>
      <c r="R597" s="5" t="n">
        <v>0</v>
      </c>
      <c r="S597" s="5" t="n">
        <v>0</v>
      </c>
      <c r="T597" s="5" t="n">
        <v>0</v>
      </c>
      <c r="U597" s="5" t="inlineStr">
        <is>
          <t>training</t>
        </is>
      </c>
      <c r="V597" s="5" t="n">
        <v>0</v>
      </c>
    </row>
    <row r="598">
      <c r="A598" s="5" t="n">
        <v>594</v>
      </c>
      <c r="B598" s="5" t="n">
        <v>1</v>
      </c>
      <c r="C598" s="6" t="n">
        <v>0.275406400796963</v>
      </c>
      <c r="D598" s="6" t="n">
        <v>-0.1863863640045139</v>
      </c>
      <c r="E598" s="6" t="n">
        <v>-1.351560741647039</v>
      </c>
      <c r="F598" s="6" t="n">
        <v>0.01674764143977723</v>
      </c>
      <c r="G598" s="5" t="n">
        <v>0</v>
      </c>
      <c r="H598" s="5" t="n">
        <v>1</v>
      </c>
      <c r="I598" s="5" t="n">
        <v>0</v>
      </c>
      <c r="J598" s="5" t="n">
        <v>0</v>
      </c>
      <c r="K598" s="5" t="n">
        <v>0</v>
      </c>
      <c r="L598" s="5" t="n">
        <v>0</v>
      </c>
      <c r="M598" s="5" t="n">
        <v>0</v>
      </c>
      <c r="N598" s="5" t="n">
        <v>0</v>
      </c>
      <c r="O598" s="5" t="n">
        <v>0</v>
      </c>
      <c r="P598" s="5" t="n">
        <v>1</v>
      </c>
      <c r="Q598" s="5" t="n">
        <v>0</v>
      </c>
      <c r="R598" s="5" t="n">
        <v>1</v>
      </c>
      <c r="S598" s="5" t="n">
        <v>0</v>
      </c>
      <c r="T598" s="5" t="n">
        <v>0</v>
      </c>
      <c r="U598" s="5" t="inlineStr">
        <is>
          <t>training</t>
        </is>
      </c>
      <c r="V598" s="5" t="n">
        <v>1</v>
      </c>
    </row>
    <row r="599">
      <c r="A599" s="5" t="n">
        <v>595</v>
      </c>
      <c r="B599" s="5" t="n">
        <v>1</v>
      </c>
      <c r="C599" s="6" t="n">
        <v>0.275406400796963</v>
      </c>
      <c r="D599" s="6" t="n">
        <v>-0.6622404928218159</v>
      </c>
      <c r="E599" s="6" t="n">
        <v>0.3878996723131141</v>
      </c>
      <c r="F599" s="6" t="n">
        <v>0.9185437189662378</v>
      </c>
      <c r="G599" s="5" t="n">
        <v>1</v>
      </c>
      <c r="H599" s="5" t="n">
        <v>0</v>
      </c>
      <c r="I599" s="5" t="n">
        <v>0</v>
      </c>
      <c r="J599" s="5" t="n">
        <v>0</v>
      </c>
      <c r="K599" s="5" t="n">
        <v>0</v>
      </c>
      <c r="L599" s="5" t="n">
        <v>1</v>
      </c>
      <c r="M599" s="5" t="n">
        <v>0</v>
      </c>
      <c r="N599" s="5" t="n">
        <v>0</v>
      </c>
      <c r="O599" s="5" t="n">
        <v>1</v>
      </c>
      <c r="P599" s="5" t="n">
        <v>0</v>
      </c>
      <c r="Q599" s="5" t="n">
        <v>0</v>
      </c>
      <c r="R599" s="5" t="n">
        <v>0</v>
      </c>
      <c r="S599" s="5" t="n">
        <v>0</v>
      </c>
      <c r="T599" s="5" t="n">
        <v>0</v>
      </c>
      <c r="U599" s="5" t="inlineStr">
        <is>
          <t>training</t>
        </is>
      </c>
      <c r="V599" s="5" t="n">
        <v>1</v>
      </c>
    </row>
    <row r="600">
      <c r="A600" s="5" t="n">
        <v>596</v>
      </c>
      <c r="B600" s="5" t="n">
        <v>1</v>
      </c>
      <c r="C600" s="6" t="n">
        <v>-1.241254722473026</v>
      </c>
      <c r="D600" s="6" t="n">
        <v>-0.8116446935607776</v>
      </c>
      <c r="E600" s="6" t="n">
        <v>-0.307884493270947</v>
      </c>
      <c r="F600" s="6" t="n">
        <v>-1.786844513613144</v>
      </c>
      <c r="G600" s="5" t="n">
        <v>0</v>
      </c>
      <c r="H600" s="5" t="n">
        <v>1</v>
      </c>
      <c r="I600" s="5" t="n">
        <v>0</v>
      </c>
      <c r="J600" s="5" t="n">
        <v>0</v>
      </c>
      <c r="K600" s="5" t="n">
        <v>0</v>
      </c>
      <c r="L600" s="5" t="n">
        <v>1</v>
      </c>
      <c r="M600" s="5" t="n">
        <v>1</v>
      </c>
      <c r="N600" s="5" t="n">
        <v>0</v>
      </c>
      <c r="O600" s="5" t="n">
        <v>0</v>
      </c>
      <c r="P600" s="5" t="n">
        <v>0</v>
      </c>
      <c r="Q600" s="5" t="n">
        <v>0</v>
      </c>
      <c r="R600" s="5" t="n">
        <v>1</v>
      </c>
      <c r="S600" s="5" t="n">
        <v>0</v>
      </c>
      <c r="T600" s="5" t="n">
        <v>0</v>
      </c>
      <c r="U600" s="5" t="inlineStr">
        <is>
          <t>testing</t>
        </is>
      </c>
      <c r="V600" s="5" t="n">
        <v>0</v>
      </c>
    </row>
    <row r="601">
      <c r="A601" s="5" t="n">
        <v>597</v>
      </c>
      <c r="B601" s="5" t="n">
        <v>1</v>
      </c>
      <c r="C601" s="6" t="n">
        <v>0.275406400796963</v>
      </c>
      <c r="D601" s="6" t="n">
        <v>-0.6328495025125119</v>
      </c>
      <c r="E601" s="6" t="n">
        <v>-1.090641679553016</v>
      </c>
      <c r="F601" s="6" t="n">
        <v>0.9185437189662378</v>
      </c>
      <c r="G601" s="5" t="n">
        <v>1</v>
      </c>
      <c r="H601" s="5" t="n">
        <v>0</v>
      </c>
      <c r="I601" s="5" t="n">
        <v>0</v>
      </c>
      <c r="J601" s="5" t="n">
        <v>0</v>
      </c>
      <c r="K601" s="5" t="n">
        <v>0</v>
      </c>
      <c r="L601" s="5" t="n">
        <v>0</v>
      </c>
      <c r="M601" s="5" t="n">
        <v>0</v>
      </c>
      <c r="N601" s="5" t="n">
        <v>0</v>
      </c>
      <c r="O601" s="5" t="n">
        <v>0</v>
      </c>
      <c r="P601" s="5" t="n">
        <v>1</v>
      </c>
      <c r="Q601" s="5" t="n">
        <v>0</v>
      </c>
      <c r="R601" s="5" t="n">
        <v>1</v>
      </c>
      <c r="S601" s="5" t="n">
        <v>0</v>
      </c>
      <c r="T601" s="5" t="n">
        <v>0</v>
      </c>
      <c r="U601" s="5" t="inlineStr">
        <is>
          <t>training</t>
        </is>
      </c>
      <c r="V601" s="5" t="n">
        <v>1</v>
      </c>
    </row>
    <row r="602">
      <c r="A602" s="5" t="n">
        <v>598</v>
      </c>
      <c r="B602" s="5" t="n">
        <v>1</v>
      </c>
      <c r="C602" s="6" t="n">
        <v>0.275406400796963</v>
      </c>
      <c r="D602" s="6" t="n">
        <v>0.3465002817225089</v>
      </c>
      <c r="E602" s="6" t="n">
        <v>0.04000758952108359</v>
      </c>
      <c r="F602" s="6" t="n">
        <v>-1.786844513613144</v>
      </c>
      <c r="G602" s="5" t="n">
        <v>0</v>
      </c>
      <c r="H602" s="5" t="n">
        <v>1</v>
      </c>
      <c r="I602" s="5" t="n">
        <v>0</v>
      </c>
      <c r="J602" s="5" t="n">
        <v>0</v>
      </c>
      <c r="K602" s="5" t="n">
        <v>0</v>
      </c>
      <c r="L602" s="5" t="n">
        <v>1</v>
      </c>
      <c r="M602" s="5" t="n">
        <v>0</v>
      </c>
      <c r="N602" s="5" t="n">
        <v>0</v>
      </c>
      <c r="O602" s="5" t="n">
        <v>0</v>
      </c>
      <c r="P602" s="5" t="n">
        <v>0</v>
      </c>
      <c r="Q602" s="5" t="n">
        <v>0</v>
      </c>
      <c r="R602" s="5" t="n">
        <v>0</v>
      </c>
      <c r="S602" s="5" t="n">
        <v>0</v>
      </c>
      <c r="T602" s="5" t="n">
        <v>0</v>
      </c>
      <c r="U602" s="5" t="inlineStr">
        <is>
          <t>training</t>
        </is>
      </c>
      <c r="V602" s="5" t="n">
        <v>1</v>
      </c>
    </row>
    <row r="603">
      <c r="A603" s="5" t="n">
        <v>599</v>
      </c>
      <c r="B603" s="5" t="n">
        <v>1</v>
      </c>
      <c r="C603" s="6" t="n">
        <v>-0.2301473069597001</v>
      </c>
      <c r="D603" s="6" t="n">
        <v>-0.1664424777232005</v>
      </c>
      <c r="E603" s="6" t="n">
        <v>-0.3948575139689546</v>
      </c>
      <c r="F603" s="6" t="n">
        <v>-0.8850484360866833</v>
      </c>
      <c r="G603" s="5" t="n">
        <v>0</v>
      </c>
      <c r="H603" s="5" t="n">
        <v>0</v>
      </c>
      <c r="I603" s="5" t="n">
        <v>0</v>
      </c>
      <c r="J603" s="5" t="n">
        <v>1</v>
      </c>
      <c r="K603" s="5" t="n">
        <v>0</v>
      </c>
      <c r="L603" s="5" t="n">
        <v>0</v>
      </c>
      <c r="M603" s="5" t="n">
        <v>0</v>
      </c>
      <c r="N603" s="5" t="n">
        <v>0</v>
      </c>
      <c r="O603" s="5" t="n">
        <v>0</v>
      </c>
      <c r="P603" s="5" t="n">
        <v>0</v>
      </c>
      <c r="Q603" s="5" t="n">
        <v>0</v>
      </c>
      <c r="R603" s="5" t="n">
        <v>1</v>
      </c>
      <c r="S603" s="5" t="n">
        <v>0</v>
      </c>
      <c r="T603" s="5" t="n">
        <v>0</v>
      </c>
      <c r="U603" s="5" t="inlineStr">
        <is>
          <t>training</t>
        </is>
      </c>
      <c r="V603" s="5" t="n">
        <v>1</v>
      </c>
    </row>
    <row r="604">
      <c r="A604" s="5" t="n">
        <v>600</v>
      </c>
      <c r="B604" s="5" t="n">
        <v>0</v>
      </c>
      <c r="C604" s="6" t="n">
        <v>0.275406400796963</v>
      </c>
      <c r="D604" s="6" t="n">
        <v>0.2142408253306411</v>
      </c>
      <c r="E604" s="6" t="n">
        <v>-0.307884493270947</v>
      </c>
      <c r="F604" s="6" t="n">
        <v>-1.786844513613144</v>
      </c>
      <c r="G604" s="5" t="n">
        <v>0</v>
      </c>
      <c r="H604" s="5" t="n">
        <v>0</v>
      </c>
      <c r="I604" s="5" t="n">
        <v>0</v>
      </c>
      <c r="J604" s="5" t="n">
        <v>0</v>
      </c>
      <c r="K604" s="5" t="n">
        <v>1</v>
      </c>
      <c r="L604" s="5" t="n">
        <v>0</v>
      </c>
      <c r="M604" s="5" t="n">
        <v>0</v>
      </c>
      <c r="N604" s="5" t="n">
        <v>0</v>
      </c>
      <c r="O604" s="5" t="n">
        <v>0</v>
      </c>
      <c r="P604" s="5" t="n">
        <v>0</v>
      </c>
      <c r="Q604" s="5" t="n">
        <v>1</v>
      </c>
      <c r="R604" s="5" t="n">
        <v>0</v>
      </c>
      <c r="S604" s="5" t="n">
        <v>0</v>
      </c>
      <c r="T604" s="5" t="n">
        <v>0</v>
      </c>
      <c r="U604" s="5" t="inlineStr">
        <is>
          <t>testing</t>
        </is>
      </c>
      <c r="V604" s="5" t="n">
        <v>0</v>
      </c>
    </row>
    <row r="605">
      <c r="A605" s="5" t="n">
        <v>601</v>
      </c>
      <c r="B605" s="5" t="n">
        <v>0</v>
      </c>
      <c r="C605" s="6" t="n">
        <v>-1.156995771180249</v>
      </c>
      <c r="D605" s="6" t="n">
        <v>-0.3224946405559334</v>
      </c>
      <c r="E605" s="6" t="n">
        <v>0.8227647758031523</v>
      </c>
      <c r="F605" s="6" t="n">
        <v>-1.786844513613144</v>
      </c>
      <c r="G605" s="5" t="n">
        <v>0</v>
      </c>
      <c r="H605" s="5" t="n">
        <v>1</v>
      </c>
      <c r="I605" s="5" t="n">
        <v>0</v>
      </c>
      <c r="J605" s="5" t="n">
        <v>0</v>
      </c>
      <c r="K605" s="5" t="n">
        <v>0</v>
      </c>
      <c r="L605" s="5" t="n">
        <v>0</v>
      </c>
      <c r="M605" s="5" t="n">
        <v>0</v>
      </c>
      <c r="N605" s="5" t="n">
        <v>0</v>
      </c>
      <c r="O605" s="5" t="n">
        <v>0</v>
      </c>
      <c r="P605" s="5" t="n">
        <v>0</v>
      </c>
      <c r="Q605" s="5" t="n">
        <v>0</v>
      </c>
      <c r="R605" s="5" t="n">
        <v>0</v>
      </c>
      <c r="S605" s="5" t="n">
        <v>1</v>
      </c>
      <c r="T605" s="5" t="n">
        <v>0</v>
      </c>
      <c r="U605" s="5" t="inlineStr">
        <is>
          <t>training</t>
        </is>
      </c>
      <c r="V605" s="5" t="n">
        <v>1</v>
      </c>
    </row>
    <row r="606">
      <c r="A606" s="5" t="n">
        <v>602</v>
      </c>
      <c r="B606" s="5" t="n">
        <v>1</v>
      </c>
      <c r="C606" s="6" t="n">
        <v>-0.9884778685946948</v>
      </c>
      <c r="D606" s="6" t="n">
        <v>-0.8161932992038842</v>
      </c>
      <c r="E606" s="6" t="n">
        <v>-0.4818305346669622</v>
      </c>
      <c r="F606" s="6" t="n">
        <v>0.9185437189662378</v>
      </c>
      <c r="G606" s="5" t="n">
        <v>0</v>
      </c>
      <c r="H606" s="5" t="n">
        <v>1</v>
      </c>
      <c r="I606" s="5" t="n">
        <v>0</v>
      </c>
      <c r="J606" s="5" t="n">
        <v>0</v>
      </c>
      <c r="K606" s="5" t="n">
        <v>0</v>
      </c>
      <c r="L606" s="5" t="n">
        <v>0</v>
      </c>
      <c r="M606" s="5" t="n">
        <v>0</v>
      </c>
      <c r="N606" s="5" t="n">
        <v>0</v>
      </c>
      <c r="O606" s="5" t="n">
        <v>0</v>
      </c>
      <c r="P606" s="5" t="n">
        <v>0</v>
      </c>
      <c r="Q606" s="5" t="n">
        <v>0</v>
      </c>
      <c r="R606" s="5" t="n">
        <v>0</v>
      </c>
      <c r="S606" s="5" t="n">
        <v>0</v>
      </c>
      <c r="T606" s="5" t="n">
        <v>1</v>
      </c>
      <c r="U606" s="5" t="inlineStr">
        <is>
          <t>training</t>
        </is>
      </c>
      <c r="V606" s="5" t="n">
        <v>1</v>
      </c>
    </row>
    <row r="607">
      <c r="A607" s="5" t="n">
        <v>603</v>
      </c>
      <c r="B607" s="5" t="n">
        <v>1</v>
      </c>
      <c r="C607" s="6" t="n">
        <v>0.275406400796963</v>
      </c>
      <c r="D607" s="6" t="n">
        <v>-0.4946418695104279</v>
      </c>
      <c r="E607" s="6" t="n">
        <v>-0.1339384518749317</v>
      </c>
      <c r="F607" s="6" t="n">
        <v>0.9185437189662378</v>
      </c>
      <c r="G607" s="5" t="n">
        <v>0</v>
      </c>
      <c r="H607" s="5" t="n">
        <v>1</v>
      </c>
      <c r="I607" s="5" t="n">
        <v>0</v>
      </c>
      <c r="J607" s="5" t="n">
        <v>0</v>
      </c>
      <c r="K607" s="5" t="n">
        <v>0</v>
      </c>
      <c r="L607" s="5" t="n">
        <v>1</v>
      </c>
      <c r="M607" s="5" t="n">
        <v>0</v>
      </c>
      <c r="N607" s="5" t="n">
        <v>0</v>
      </c>
      <c r="O607" s="5" t="n">
        <v>0</v>
      </c>
      <c r="P607" s="5" t="n">
        <v>0</v>
      </c>
      <c r="Q607" s="5" t="n">
        <v>1</v>
      </c>
      <c r="R607" s="5" t="n">
        <v>0</v>
      </c>
      <c r="S607" s="5" t="n">
        <v>0</v>
      </c>
      <c r="T607" s="5" t="n">
        <v>0</v>
      </c>
      <c r="U607" s="5" t="inlineStr">
        <is>
          <t>training</t>
        </is>
      </c>
      <c r="V607" s="5" t="n">
        <v>1</v>
      </c>
    </row>
    <row r="608">
      <c r="A608" s="5" t="n">
        <v>604</v>
      </c>
      <c r="B608" s="5" t="n">
        <v>1</v>
      </c>
      <c r="C608" s="6" t="n">
        <v>1.286513816310289</v>
      </c>
      <c r="D608" s="6" t="n">
        <v>0.03439595605704315</v>
      </c>
      <c r="E608" s="6" t="n">
        <v>-0.6557765760629775</v>
      </c>
      <c r="F608" s="6" t="n">
        <v>0.9185437189662378</v>
      </c>
      <c r="G608" s="5" t="n">
        <v>0</v>
      </c>
      <c r="H608" s="5" t="n">
        <v>0</v>
      </c>
      <c r="I608" s="5" t="n">
        <v>0</v>
      </c>
      <c r="J608" s="5" t="n">
        <v>0</v>
      </c>
      <c r="K608" s="5" t="n">
        <v>0</v>
      </c>
      <c r="L608" s="5" t="n">
        <v>0</v>
      </c>
      <c r="M608" s="5" t="n">
        <v>0</v>
      </c>
      <c r="N608" s="5" t="n">
        <v>0</v>
      </c>
      <c r="O608" s="5" t="n">
        <v>0</v>
      </c>
      <c r="P608" s="5" t="n">
        <v>0</v>
      </c>
      <c r="Q608" s="5" t="n">
        <v>0</v>
      </c>
      <c r="R608" s="5" t="n">
        <v>0</v>
      </c>
      <c r="S608" s="5" t="n">
        <v>0</v>
      </c>
      <c r="T608" s="5" t="n">
        <v>1</v>
      </c>
      <c r="U608" s="5" t="inlineStr">
        <is>
          <t>training</t>
        </is>
      </c>
      <c r="V608" s="5" t="n">
        <v>1</v>
      </c>
    </row>
    <row r="609">
      <c r="A609" s="5" t="n">
        <v>605</v>
      </c>
      <c r="B609" s="5" t="n">
        <v>0</v>
      </c>
      <c r="C609" s="6" t="n">
        <v>-0.9042189173019176</v>
      </c>
      <c r="D609" s="6" t="n">
        <v>-0.6912815903893424</v>
      </c>
      <c r="E609" s="6" t="n">
        <v>-1.090641679553016</v>
      </c>
      <c r="F609" s="6" t="n">
        <v>0.9185437189662378</v>
      </c>
      <c r="G609" s="5" t="n">
        <v>0</v>
      </c>
      <c r="H609" s="5" t="n">
        <v>0</v>
      </c>
      <c r="I609" s="5" t="n">
        <v>1</v>
      </c>
      <c r="J609" s="5" t="n">
        <v>0</v>
      </c>
      <c r="K609" s="5" t="n">
        <v>0</v>
      </c>
      <c r="L609" s="5" t="n">
        <v>0</v>
      </c>
      <c r="M609" s="5" t="n">
        <v>0</v>
      </c>
      <c r="N609" s="5" t="n">
        <v>0</v>
      </c>
      <c r="O609" s="5" t="n">
        <v>0</v>
      </c>
      <c r="P609" s="5" t="n">
        <v>0</v>
      </c>
      <c r="Q609" s="5" t="n">
        <v>0</v>
      </c>
      <c r="R609" s="5" t="n">
        <v>0</v>
      </c>
      <c r="S609" s="5" t="n">
        <v>0</v>
      </c>
      <c r="T609" s="5" t="n">
        <v>1</v>
      </c>
      <c r="U609" s="5" t="inlineStr">
        <is>
          <t>training</t>
        </is>
      </c>
      <c r="V609" s="5" t="n">
        <v>1</v>
      </c>
    </row>
    <row r="610">
      <c r="A610" s="5" t="n">
        <v>606</v>
      </c>
      <c r="B610" s="5" t="n">
        <v>0</v>
      </c>
      <c r="C610" s="6" t="n">
        <v>0.275406400796963</v>
      </c>
      <c r="D610" s="6" t="n">
        <v>-0.1478981624089968</v>
      </c>
      <c r="E610" s="6" t="n">
        <v>-1.177614700251023</v>
      </c>
      <c r="F610" s="6" t="n">
        <v>0.9185437189662378</v>
      </c>
      <c r="G610" s="5" t="n">
        <v>1</v>
      </c>
      <c r="H610" s="5" t="n">
        <v>0</v>
      </c>
      <c r="I610" s="5" t="n">
        <v>0</v>
      </c>
      <c r="J610" s="5" t="n">
        <v>0</v>
      </c>
      <c r="K610" s="5" t="n">
        <v>0</v>
      </c>
      <c r="L610" s="5" t="n">
        <v>1</v>
      </c>
      <c r="M610" s="5" t="n">
        <v>1</v>
      </c>
      <c r="N610" s="5" t="n">
        <v>0</v>
      </c>
      <c r="O610" s="5" t="n">
        <v>0</v>
      </c>
      <c r="P610" s="5" t="n">
        <v>0</v>
      </c>
      <c r="Q610" s="5" t="n">
        <v>0</v>
      </c>
      <c r="R610" s="5" t="n">
        <v>0</v>
      </c>
      <c r="S610" s="5" t="n">
        <v>0</v>
      </c>
      <c r="T610" s="5" t="n">
        <v>1</v>
      </c>
      <c r="U610" s="5" t="inlineStr">
        <is>
          <t>training</t>
        </is>
      </c>
      <c r="V610" s="5" t="n">
        <v>1</v>
      </c>
    </row>
    <row r="611">
      <c r="A611" s="5" t="n">
        <v>607</v>
      </c>
      <c r="B611" s="5" t="n">
        <v>0</v>
      </c>
      <c r="C611" s="6" t="n">
        <v>0.275406400796963</v>
      </c>
      <c r="D611" s="6" t="n">
        <v>0.4462197131290758</v>
      </c>
      <c r="E611" s="6" t="n">
        <v>3.344982376045374</v>
      </c>
      <c r="F611" s="6" t="n">
        <v>0.01674764143977723</v>
      </c>
      <c r="G611" s="5" t="n">
        <v>0</v>
      </c>
      <c r="H611" s="5" t="n">
        <v>0</v>
      </c>
      <c r="I611" s="5" t="n">
        <v>0</v>
      </c>
      <c r="J611" s="5" t="n">
        <v>1</v>
      </c>
      <c r="K611" s="5" t="n">
        <v>0</v>
      </c>
      <c r="L611" s="5" t="n">
        <v>0</v>
      </c>
      <c r="M611" s="5" t="n">
        <v>0</v>
      </c>
      <c r="N611" s="5" t="n">
        <v>0</v>
      </c>
      <c r="O611" s="5" t="n">
        <v>0</v>
      </c>
      <c r="P611" s="5" t="n">
        <v>0</v>
      </c>
      <c r="Q611" s="5" t="n">
        <v>0</v>
      </c>
      <c r="R611" s="5" t="n">
        <v>0</v>
      </c>
      <c r="S611" s="5" t="n">
        <v>0</v>
      </c>
      <c r="T611" s="5" t="n">
        <v>0</v>
      </c>
      <c r="U611" s="5" t="inlineStr">
        <is>
          <t>training</t>
        </is>
      </c>
      <c r="V611" s="5" t="n">
        <v>0</v>
      </c>
    </row>
    <row r="612">
      <c r="A612" s="5" t="n">
        <v>608</v>
      </c>
      <c r="B612" s="5" t="n">
        <v>1</v>
      </c>
      <c r="C612" s="6" t="n">
        <v>1.286513816310289</v>
      </c>
      <c r="D612" s="6" t="n">
        <v>-0.202831322868053</v>
      </c>
      <c r="E612" s="6" t="n">
        <v>1.257629879293191</v>
      </c>
      <c r="F612" s="6" t="n">
        <v>0.9185437189662378</v>
      </c>
      <c r="G612" s="5" t="n">
        <v>0</v>
      </c>
      <c r="H612" s="5" t="n">
        <v>1</v>
      </c>
      <c r="I612" s="5" t="n">
        <v>0</v>
      </c>
      <c r="J612" s="5" t="n">
        <v>0</v>
      </c>
      <c r="K612" s="5" t="n">
        <v>0</v>
      </c>
      <c r="L612" s="5" t="n">
        <v>0</v>
      </c>
      <c r="M612" s="5" t="n">
        <v>1</v>
      </c>
      <c r="N612" s="5" t="n">
        <v>0</v>
      </c>
      <c r="O612" s="5" t="n">
        <v>0</v>
      </c>
      <c r="P612" s="5" t="n">
        <v>0</v>
      </c>
      <c r="Q612" s="5" t="n">
        <v>1</v>
      </c>
      <c r="R612" s="5" t="n">
        <v>0</v>
      </c>
      <c r="S612" s="5" t="n">
        <v>1</v>
      </c>
      <c r="T612" s="5" t="n">
        <v>0</v>
      </c>
      <c r="U612" s="5" t="inlineStr">
        <is>
          <t>testing</t>
        </is>
      </c>
      <c r="V612" s="5" t="n">
        <v>0</v>
      </c>
    </row>
    <row r="613">
      <c r="A613" s="5" t="n">
        <v>609</v>
      </c>
      <c r="B613" s="5" t="n">
        <v>0</v>
      </c>
      <c r="C613" s="6" t="n">
        <v>-0.2301473069597001</v>
      </c>
      <c r="D613" s="6" t="n">
        <v>-0.4197648227700583</v>
      </c>
      <c r="E613" s="6" t="n">
        <v>-0.2209114725729393</v>
      </c>
      <c r="F613" s="6" t="n">
        <v>0.9185437189662378</v>
      </c>
      <c r="G613" s="5" t="n">
        <v>0</v>
      </c>
      <c r="H613" s="5" t="n">
        <v>0</v>
      </c>
      <c r="I613" s="5" t="n">
        <v>0</v>
      </c>
      <c r="J613" s="5" t="n">
        <v>0</v>
      </c>
      <c r="K613" s="5" t="n">
        <v>0</v>
      </c>
      <c r="L613" s="5" t="n">
        <v>0</v>
      </c>
      <c r="M613" s="5" t="n">
        <v>0</v>
      </c>
      <c r="N613" s="5" t="n">
        <v>0</v>
      </c>
      <c r="O613" s="5" t="n">
        <v>0</v>
      </c>
      <c r="P613" s="5" t="n">
        <v>0</v>
      </c>
      <c r="Q613" s="5" t="n">
        <v>0</v>
      </c>
      <c r="R613" s="5" t="n">
        <v>0</v>
      </c>
      <c r="S613" s="5" t="n">
        <v>1</v>
      </c>
      <c r="T613" s="5" t="n">
        <v>0</v>
      </c>
      <c r="U613" s="5" t="inlineStr">
        <is>
          <t>training</t>
        </is>
      </c>
      <c r="V613" s="5" t="n">
        <v>0</v>
      </c>
    </row>
    <row r="614">
      <c r="A614" s="5" t="n">
        <v>610</v>
      </c>
      <c r="B614" s="5" t="n">
        <v>0</v>
      </c>
      <c r="C614" s="6" t="n">
        <v>-0.4829241608380317</v>
      </c>
      <c r="D614" s="6" t="n">
        <v>-0.6825342718449067</v>
      </c>
      <c r="E614" s="6" t="n">
        <v>0.8227647758031523</v>
      </c>
      <c r="F614" s="6" t="n">
        <v>0.9185437189662378</v>
      </c>
      <c r="G614" s="5" t="n">
        <v>0</v>
      </c>
      <c r="H614" s="5" t="n">
        <v>0</v>
      </c>
      <c r="I614" s="5" t="n">
        <v>0</v>
      </c>
      <c r="J614" s="5" t="n">
        <v>0</v>
      </c>
      <c r="K614" s="5" t="n">
        <v>0</v>
      </c>
      <c r="L614" s="5" t="n">
        <v>0</v>
      </c>
      <c r="M614" s="5" t="n">
        <v>0</v>
      </c>
      <c r="N614" s="5" t="n">
        <v>0</v>
      </c>
      <c r="O614" s="5" t="n">
        <v>1</v>
      </c>
      <c r="P614" s="5" t="n">
        <v>0</v>
      </c>
      <c r="Q614" s="5" t="n">
        <v>1</v>
      </c>
      <c r="R614" s="5" t="n">
        <v>1</v>
      </c>
      <c r="S614" s="5" t="n">
        <v>0</v>
      </c>
      <c r="T614" s="5" t="n">
        <v>0</v>
      </c>
      <c r="U614" s="5" t="inlineStr">
        <is>
          <t>testing</t>
        </is>
      </c>
      <c r="V614" s="5" t="n">
        <v>0</v>
      </c>
    </row>
    <row r="615">
      <c r="A615" s="5" t="n">
        <v>611</v>
      </c>
      <c r="B615" s="5" t="n">
        <v>1</v>
      </c>
      <c r="C615" s="6" t="n">
        <v>-0.7357010147163632</v>
      </c>
      <c r="D615" s="6" t="n">
        <v>-0.8781243144984889</v>
      </c>
      <c r="E615" s="6" t="n">
        <v>-1.177614700251023</v>
      </c>
      <c r="F615" s="6" t="n">
        <v>0.9185437189662378</v>
      </c>
      <c r="G615" s="5" t="n">
        <v>1</v>
      </c>
      <c r="H615" s="5" t="n">
        <v>0</v>
      </c>
      <c r="I615" s="5" t="n">
        <v>0</v>
      </c>
      <c r="J615" s="5" t="n">
        <v>0</v>
      </c>
      <c r="K615" s="5" t="n">
        <v>0</v>
      </c>
      <c r="L615" s="5" t="n">
        <v>0</v>
      </c>
      <c r="M615" s="5" t="n">
        <v>1</v>
      </c>
      <c r="N615" s="5" t="n">
        <v>0</v>
      </c>
      <c r="O615" s="5" t="n">
        <v>0</v>
      </c>
      <c r="P615" s="5" t="n">
        <v>0</v>
      </c>
      <c r="Q615" s="5" t="n">
        <v>0</v>
      </c>
      <c r="R615" s="5" t="n">
        <v>0</v>
      </c>
      <c r="S615" s="5" t="n">
        <v>0</v>
      </c>
      <c r="T615" s="5" t="n">
        <v>0</v>
      </c>
      <c r="U615" s="5" t="inlineStr">
        <is>
          <t>testing</t>
        </is>
      </c>
      <c r="V615" s="5" t="n">
        <v>0</v>
      </c>
    </row>
    <row r="616">
      <c r="A616" s="5" t="n">
        <v>612</v>
      </c>
      <c r="B616" s="5" t="n">
        <v>1</v>
      </c>
      <c r="C616" s="6" t="n">
        <v>-0.9042189173019176</v>
      </c>
      <c r="D616" s="6" t="n">
        <v>-0.7035278363515524</v>
      </c>
      <c r="E616" s="6" t="n">
        <v>1.083683837897175</v>
      </c>
      <c r="F616" s="6" t="n">
        <v>-1.786844513613144</v>
      </c>
      <c r="G616" s="5" t="n">
        <v>0</v>
      </c>
      <c r="H616" s="5" t="n">
        <v>0</v>
      </c>
      <c r="I616" s="5" t="n">
        <v>1</v>
      </c>
      <c r="J616" s="5" t="n">
        <v>0</v>
      </c>
      <c r="K616" s="5" t="n">
        <v>0</v>
      </c>
      <c r="L616" s="5" t="n">
        <v>0</v>
      </c>
      <c r="M616" s="5" t="n">
        <v>1</v>
      </c>
      <c r="N616" s="5" t="n">
        <v>0</v>
      </c>
      <c r="O616" s="5" t="n">
        <v>0</v>
      </c>
      <c r="P616" s="5" t="n">
        <v>0</v>
      </c>
      <c r="Q616" s="5" t="n">
        <v>1</v>
      </c>
      <c r="R616" s="5" t="n">
        <v>1</v>
      </c>
      <c r="S616" s="5" t="n">
        <v>0</v>
      </c>
      <c r="T616" s="5" t="n">
        <v>0</v>
      </c>
      <c r="U616" s="5" t="inlineStr">
        <is>
          <t>testing</t>
        </is>
      </c>
      <c r="V616" s="5" t="n">
        <v>0</v>
      </c>
    </row>
    <row r="617">
      <c r="A617" s="5" t="n">
        <v>613</v>
      </c>
      <c r="B617" s="5" t="n">
        <v>0</v>
      </c>
      <c r="C617" s="6" t="n">
        <v>0.02262954691863145</v>
      </c>
      <c r="D617" s="6" t="n">
        <v>0.03719509799126257</v>
      </c>
      <c r="E617" s="6" t="n">
        <v>-0.5688035553649698</v>
      </c>
      <c r="F617" s="6" t="n">
        <v>0.9185437189662378</v>
      </c>
      <c r="G617" s="5" t="n">
        <v>1</v>
      </c>
      <c r="H617" s="5" t="n">
        <v>0</v>
      </c>
      <c r="I617" s="5" t="n">
        <v>0</v>
      </c>
      <c r="J617" s="5" t="n">
        <v>0</v>
      </c>
      <c r="K617" s="5" t="n">
        <v>0</v>
      </c>
      <c r="L617" s="5" t="n">
        <v>0</v>
      </c>
      <c r="M617" s="5" t="n">
        <v>0</v>
      </c>
      <c r="N617" s="5" t="n">
        <v>1</v>
      </c>
      <c r="O617" s="5" t="n">
        <v>0</v>
      </c>
      <c r="P617" s="5" t="n">
        <v>0</v>
      </c>
      <c r="Q617" s="5" t="n">
        <v>0</v>
      </c>
      <c r="R617" s="5" t="n">
        <v>0</v>
      </c>
      <c r="S617" s="5" t="n">
        <v>1</v>
      </c>
      <c r="T617" s="5" t="n">
        <v>0</v>
      </c>
      <c r="U617" s="5" t="inlineStr">
        <is>
          <t>training</t>
        </is>
      </c>
      <c r="V617" s="5" t="n">
        <v>1</v>
      </c>
    </row>
    <row r="618">
      <c r="A618" s="5" t="n">
        <v>614</v>
      </c>
      <c r="B618" s="5" t="n">
        <v>0</v>
      </c>
      <c r="C618" s="6" t="n">
        <v>0.275406400796963</v>
      </c>
      <c r="D618" s="6" t="n">
        <v>0.1334156019800553</v>
      </c>
      <c r="E618" s="6" t="n">
        <v>-1.177614700251023</v>
      </c>
      <c r="F618" s="6" t="n">
        <v>-1.786844513613144</v>
      </c>
      <c r="G618" s="5" t="n">
        <v>1</v>
      </c>
      <c r="H618" s="5" t="n">
        <v>0</v>
      </c>
      <c r="I618" s="5" t="n">
        <v>0</v>
      </c>
      <c r="J618" s="5" t="n">
        <v>0</v>
      </c>
      <c r="K618" s="5" t="n">
        <v>0</v>
      </c>
      <c r="L618" s="5" t="n">
        <v>1</v>
      </c>
      <c r="M618" s="5" t="n">
        <v>0</v>
      </c>
      <c r="N618" s="5" t="n">
        <v>0</v>
      </c>
      <c r="O618" s="5" t="n">
        <v>0</v>
      </c>
      <c r="P618" s="5" t="n">
        <v>1</v>
      </c>
      <c r="Q618" s="5" t="n">
        <v>0</v>
      </c>
      <c r="R618" s="5" t="n">
        <v>1</v>
      </c>
      <c r="S618" s="5" t="n">
        <v>0</v>
      </c>
      <c r="T618" s="5" t="n">
        <v>0</v>
      </c>
      <c r="U618" s="5" t="inlineStr">
        <is>
          <t>testing</t>
        </is>
      </c>
      <c r="V618" s="5" t="n">
        <v>0</v>
      </c>
    </row>
    <row r="619">
      <c r="A619" s="5" t="n">
        <v>615</v>
      </c>
      <c r="B619" s="5" t="n">
        <v>1</v>
      </c>
      <c r="C619" s="6" t="n">
        <v>-0.2301473069597001</v>
      </c>
      <c r="D619" s="6" t="n">
        <v>-0.5047887590219733</v>
      </c>
      <c r="E619" s="6" t="n">
        <v>-1.177614700251023</v>
      </c>
      <c r="F619" s="6" t="n">
        <v>0.9185437189662378</v>
      </c>
      <c r="G619" s="5" t="n">
        <v>0</v>
      </c>
      <c r="H619" s="5" t="n">
        <v>0</v>
      </c>
      <c r="I619" s="5" t="n">
        <v>0</v>
      </c>
      <c r="J619" s="5" t="n">
        <v>0</v>
      </c>
      <c r="K619" s="5" t="n">
        <v>1</v>
      </c>
      <c r="L619" s="5" t="n">
        <v>0</v>
      </c>
      <c r="M619" s="5" t="n">
        <v>0</v>
      </c>
      <c r="N619" s="5" t="n">
        <v>0</v>
      </c>
      <c r="O619" s="5" t="n">
        <v>0</v>
      </c>
      <c r="P619" s="5" t="n">
        <v>0</v>
      </c>
      <c r="Q619" s="5" t="n">
        <v>0</v>
      </c>
      <c r="R619" s="5" t="n">
        <v>0</v>
      </c>
      <c r="S619" s="5" t="n">
        <v>0</v>
      </c>
      <c r="T619" s="5" t="n">
        <v>1</v>
      </c>
      <c r="U619" s="5" t="inlineStr">
        <is>
          <t>testing</t>
        </is>
      </c>
      <c r="V619" s="5" t="n">
        <v>0</v>
      </c>
    </row>
    <row r="620">
      <c r="A620" s="5" t="n">
        <v>616</v>
      </c>
      <c r="B620" s="5" t="n">
        <v>0</v>
      </c>
      <c r="C620" s="6" t="n">
        <v>2.297621231823615</v>
      </c>
      <c r="D620" s="6" t="n">
        <v>3.132696184496168</v>
      </c>
      <c r="E620" s="6" t="n">
        <v>1.083683837897175</v>
      </c>
      <c r="F620" s="6" t="n">
        <v>-0.8850484360866833</v>
      </c>
      <c r="G620" s="5" t="n">
        <v>0</v>
      </c>
      <c r="H620" s="5" t="n">
        <v>1</v>
      </c>
      <c r="I620" s="5" t="n">
        <v>0</v>
      </c>
      <c r="J620" s="5" t="n">
        <v>0</v>
      </c>
      <c r="K620" s="5" t="n">
        <v>0</v>
      </c>
      <c r="L620" s="5" t="n">
        <v>1</v>
      </c>
      <c r="M620" s="5" t="n">
        <v>0</v>
      </c>
      <c r="N620" s="5" t="n">
        <v>0</v>
      </c>
      <c r="O620" s="5" t="n">
        <v>1</v>
      </c>
      <c r="P620" s="5" t="n">
        <v>0</v>
      </c>
      <c r="Q620" s="5" t="n">
        <v>0</v>
      </c>
      <c r="R620" s="5" t="n">
        <v>0</v>
      </c>
      <c r="S620" s="5" t="n">
        <v>0</v>
      </c>
      <c r="T620" s="5" t="n">
        <v>0</v>
      </c>
      <c r="U620" s="5" t="inlineStr">
        <is>
          <t>training</t>
        </is>
      </c>
      <c r="V620" s="5" t="n">
        <v>1</v>
      </c>
    </row>
    <row r="621">
      <c r="A621" s="5" t="n">
        <v>617</v>
      </c>
      <c r="B621" s="5" t="n">
        <v>0</v>
      </c>
      <c r="C621" s="6" t="n">
        <v>3.308728647336942</v>
      </c>
      <c r="D621" s="6" t="n">
        <v>2.066573000300345</v>
      </c>
      <c r="E621" s="6" t="n">
        <v>-0.7427495967609852</v>
      </c>
      <c r="F621" s="6" t="n">
        <v>-0.8850484360866833</v>
      </c>
      <c r="G621" s="5" t="n">
        <v>0</v>
      </c>
      <c r="H621" s="5" t="n">
        <v>1</v>
      </c>
      <c r="I621" s="5" t="n">
        <v>0</v>
      </c>
      <c r="J621" s="5" t="n">
        <v>0</v>
      </c>
      <c r="K621" s="5" t="n">
        <v>1</v>
      </c>
      <c r="L621" s="5" t="n">
        <v>0</v>
      </c>
      <c r="M621" s="5" t="n">
        <v>0</v>
      </c>
      <c r="N621" s="5" t="n">
        <v>0</v>
      </c>
      <c r="O621" s="5" t="n">
        <v>1</v>
      </c>
      <c r="P621" s="5" t="n">
        <v>0</v>
      </c>
      <c r="Q621" s="5" t="n">
        <v>1</v>
      </c>
      <c r="R621" s="5" t="n">
        <v>0</v>
      </c>
      <c r="S621" s="5" t="n">
        <v>1</v>
      </c>
      <c r="T621" s="5" t="n">
        <v>0</v>
      </c>
      <c r="U621" s="5" t="inlineStr">
        <is>
          <t>training</t>
        </is>
      </c>
      <c r="V621" s="5" t="n">
        <v>0</v>
      </c>
    </row>
    <row r="622">
      <c r="A622" s="5" t="n">
        <v>618</v>
      </c>
      <c r="B622" s="5" t="n">
        <v>0</v>
      </c>
      <c r="C622" s="6" t="n">
        <v>-1.241254722473026</v>
      </c>
      <c r="D622" s="6" t="n">
        <v>0.1488108826182621</v>
      </c>
      <c r="E622" s="6" t="n">
        <v>0.1269806102190912</v>
      </c>
      <c r="F622" s="6" t="n">
        <v>-1.786844513613144</v>
      </c>
      <c r="G622" s="5" t="n">
        <v>1</v>
      </c>
      <c r="H622" s="5" t="n">
        <v>0</v>
      </c>
      <c r="I622" s="5" t="n">
        <v>0</v>
      </c>
      <c r="J622" s="5" t="n">
        <v>1</v>
      </c>
      <c r="K622" s="5" t="n">
        <v>0</v>
      </c>
      <c r="L622" s="5" t="n">
        <v>0</v>
      </c>
      <c r="M622" s="5" t="n">
        <v>0</v>
      </c>
      <c r="N622" s="5" t="n">
        <v>0</v>
      </c>
      <c r="O622" s="5" t="n">
        <v>0</v>
      </c>
      <c r="P622" s="5" t="n">
        <v>1</v>
      </c>
      <c r="Q622" s="5" t="n">
        <v>0</v>
      </c>
      <c r="R622" s="5" t="n">
        <v>1</v>
      </c>
      <c r="S622" s="5" t="n">
        <v>0</v>
      </c>
      <c r="T622" s="5" t="n">
        <v>0</v>
      </c>
      <c r="U622" s="5" t="inlineStr">
        <is>
          <t>testing</t>
        </is>
      </c>
      <c r="V622" s="5" t="n">
        <v>0</v>
      </c>
    </row>
    <row r="623">
      <c r="A623" s="5" t="n">
        <v>619</v>
      </c>
      <c r="B623" s="5" t="n">
        <v>1</v>
      </c>
      <c r="C623" s="6" t="n">
        <v>0.7809601085536261</v>
      </c>
      <c r="D623" s="6" t="n">
        <v>0.06658608830056652</v>
      </c>
      <c r="E623" s="6" t="n">
        <v>-1.264587720949031</v>
      </c>
      <c r="F623" s="6" t="n">
        <v>-0.8850484360866833</v>
      </c>
      <c r="G623" s="5" t="n">
        <v>0</v>
      </c>
      <c r="H623" s="5" t="n">
        <v>1</v>
      </c>
      <c r="I623" s="5" t="n">
        <v>0</v>
      </c>
      <c r="J623" s="5" t="n">
        <v>0</v>
      </c>
      <c r="K623" s="5" t="n">
        <v>0</v>
      </c>
      <c r="L623" s="5" t="n">
        <v>0</v>
      </c>
      <c r="M623" s="5" t="n">
        <v>1</v>
      </c>
      <c r="N623" s="5" t="n">
        <v>0</v>
      </c>
      <c r="O623" s="5" t="n">
        <v>0</v>
      </c>
      <c r="P623" s="5" t="n">
        <v>1</v>
      </c>
      <c r="Q623" s="5" t="n">
        <v>0</v>
      </c>
      <c r="R623" s="5" t="n">
        <v>0</v>
      </c>
      <c r="S623" s="5" t="n">
        <v>0</v>
      </c>
      <c r="T623" s="5" t="n">
        <v>1</v>
      </c>
      <c r="U623" s="5" t="inlineStr">
        <is>
          <t>testing</t>
        </is>
      </c>
      <c r="V623" s="5" t="n">
        <v>0</v>
      </c>
    </row>
    <row r="624">
      <c r="A624" s="5" t="n">
        <v>620</v>
      </c>
      <c r="B624" s="5" t="n">
        <v>0</v>
      </c>
      <c r="C624" s="6" t="n">
        <v>-0.7357010147163632</v>
      </c>
      <c r="D624" s="6" t="n">
        <v>-0.9134634814180091</v>
      </c>
      <c r="E624" s="6" t="n">
        <v>1.170656858595183</v>
      </c>
      <c r="F624" s="6" t="n">
        <v>0.9185437189662378</v>
      </c>
      <c r="G624" s="5" t="n">
        <v>0</v>
      </c>
      <c r="H624" s="5" t="n">
        <v>0</v>
      </c>
      <c r="I624" s="5" t="n">
        <v>0</v>
      </c>
      <c r="J624" s="5" t="n">
        <v>0</v>
      </c>
      <c r="K624" s="5" t="n">
        <v>0</v>
      </c>
      <c r="L624" s="5" t="n">
        <v>0</v>
      </c>
      <c r="M624" s="5" t="n">
        <v>0</v>
      </c>
      <c r="N624" s="5" t="n">
        <v>0</v>
      </c>
      <c r="O624" s="5" t="n">
        <v>0</v>
      </c>
      <c r="P624" s="5" t="n">
        <v>0</v>
      </c>
      <c r="Q624" s="5" t="n">
        <v>0</v>
      </c>
      <c r="R624" s="5" t="n">
        <v>1</v>
      </c>
      <c r="S624" s="5" t="n">
        <v>0</v>
      </c>
      <c r="T624" s="5" t="n">
        <v>0</v>
      </c>
      <c r="U624" s="5" t="inlineStr">
        <is>
          <t>training</t>
        </is>
      </c>
      <c r="V624" s="5" t="n">
        <v>1</v>
      </c>
    </row>
    <row r="625">
      <c r="A625" s="5" t="n">
        <v>621</v>
      </c>
      <c r="B625" s="5" t="n">
        <v>0</v>
      </c>
      <c r="C625" s="6" t="n">
        <v>0.02262954691863145</v>
      </c>
      <c r="D625" s="6" t="n">
        <v>0.1404134568156038</v>
      </c>
      <c r="E625" s="6" t="n">
        <v>-0.7427495967609852</v>
      </c>
      <c r="F625" s="6" t="n">
        <v>-0.8850484360866833</v>
      </c>
      <c r="G625" s="5" t="n">
        <v>0</v>
      </c>
      <c r="H625" s="5" t="n">
        <v>1</v>
      </c>
      <c r="I625" s="5" t="n">
        <v>0</v>
      </c>
      <c r="J625" s="5" t="n">
        <v>1</v>
      </c>
      <c r="K625" s="5" t="n">
        <v>0</v>
      </c>
      <c r="L625" s="5" t="n">
        <v>0</v>
      </c>
      <c r="M625" s="5" t="n">
        <v>0</v>
      </c>
      <c r="N625" s="5" t="n">
        <v>0</v>
      </c>
      <c r="O625" s="5" t="n">
        <v>0</v>
      </c>
      <c r="P625" s="5" t="n">
        <v>0</v>
      </c>
      <c r="Q625" s="5" t="n">
        <v>0</v>
      </c>
      <c r="R625" s="5" t="n">
        <v>0</v>
      </c>
      <c r="S625" s="5" t="n">
        <v>0</v>
      </c>
      <c r="T625" s="5" t="n">
        <v>0</v>
      </c>
      <c r="U625" s="5" t="inlineStr">
        <is>
          <t>training</t>
        </is>
      </c>
      <c r="V625" s="5" t="n">
        <v>0</v>
      </c>
    </row>
    <row r="626">
      <c r="A626" s="5" t="n">
        <v>622</v>
      </c>
      <c r="B626" s="5" t="n">
        <v>1</v>
      </c>
      <c r="C626" s="6" t="n">
        <v>-0.2301473069597001</v>
      </c>
      <c r="D626" s="6" t="n">
        <v>-0.6020589412360983</v>
      </c>
      <c r="E626" s="6" t="n">
        <v>-0.307884493270947</v>
      </c>
      <c r="F626" s="6" t="n">
        <v>0.01674764143977723</v>
      </c>
      <c r="G626" s="5" t="n">
        <v>0</v>
      </c>
      <c r="H626" s="5" t="n">
        <v>0</v>
      </c>
      <c r="I626" s="5" t="n">
        <v>0</v>
      </c>
      <c r="J626" s="5" t="n">
        <v>1</v>
      </c>
      <c r="K626" s="5" t="n">
        <v>0</v>
      </c>
      <c r="L626" s="5" t="n">
        <v>0</v>
      </c>
      <c r="M626" s="5" t="n">
        <v>0</v>
      </c>
      <c r="N626" s="5" t="n">
        <v>0</v>
      </c>
      <c r="O626" s="5" t="n">
        <v>0</v>
      </c>
      <c r="P626" s="5" t="n">
        <v>0</v>
      </c>
      <c r="Q626" s="5" t="n">
        <v>0</v>
      </c>
      <c r="R626" s="5" t="n">
        <v>1</v>
      </c>
      <c r="S626" s="5" t="n">
        <v>0</v>
      </c>
      <c r="T626" s="5" t="n">
        <v>0</v>
      </c>
      <c r="U626" s="5" t="inlineStr">
        <is>
          <t>training</t>
        </is>
      </c>
      <c r="V626" s="5" t="n">
        <v>1</v>
      </c>
    </row>
    <row r="627">
      <c r="A627" s="5" t="n">
        <v>623</v>
      </c>
      <c r="B627" s="5" t="n">
        <v>1</v>
      </c>
      <c r="C627" s="6" t="n">
        <v>2.297621231823615</v>
      </c>
      <c r="D627" s="6" t="n">
        <v>0.2320853551612899</v>
      </c>
      <c r="E627" s="6" t="n">
        <v>0.2139536309170988</v>
      </c>
      <c r="F627" s="6" t="n">
        <v>0.9185437189662378</v>
      </c>
      <c r="G627" s="5" t="n">
        <v>0</v>
      </c>
      <c r="H627" s="5" t="n">
        <v>0</v>
      </c>
      <c r="I627" s="5" t="n">
        <v>0</v>
      </c>
      <c r="J627" s="5" t="n">
        <v>0</v>
      </c>
      <c r="K627" s="5" t="n">
        <v>0</v>
      </c>
      <c r="L627" s="5" t="n">
        <v>0</v>
      </c>
      <c r="M627" s="5" t="n">
        <v>0</v>
      </c>
      <c r="N627" s="5" t="n">
        <v>0</v>
      </c>
      <c r="O627" s="5" t="n">
        <v>1</v>
      </c>
      <c r="P627" s="5" t="n">
        <v>0</v>
      </c>
      <c r="Q627" s="5" t="n">
        <v>0</v>
      </c>
      <c r="R627" s="5" t="n">
        <v>0</v>
      </c>
      <c r="S627" s="5" t="n">
        <v>0</v>
      </c>
      <c r="T627" s="5" t="n">
        <v>0</v>
      </c>
      <c r="U627" s="5" t="inlineStr">
        <is>
          <t>training</t>
        </is>
      </c>
      <c r="V627" s="5" t="n">
        <v>1</v>
      </c>
    </row>
    <row r="628">
      <c r="A628" s="5" t="n">
        <v>624</v>
      </c>
      <c r="B628" s="5" t="n">
        <v>0</v>
      </c>
      <c r="C628" s="6" t="n">
        <v>-0.7357010147163632</v>
      </c>
      <c r="D628" s="6" t="n">
        <v>-0.4872941219331019</v>
      </c>
      <c r="E628" s="6" t="n">
        <v>-1.177614700251023</v>
      </c>
      <c r="F628" s="6" t="n">
        <v>0.9185437189662378</v>
      </c>
      <c r="G628" s="5" t="n">
        <v>1</v>
      </c>
      <c r="H628" s="5" t="n">
        <v>0</v>
      </c>
      <c r="I628" s="5" t="n">
        <v>0</v>
      </c>
      <c r="J628" s="5" t="n">
        <v>0</v>
      </c>
      <c r="K628" s="5" t="n">
        <v>0</v>
      </c>
      <c r="L628" s="5" t="n">
        <v>0</v>
      </c>
      <c r="M628" s="5" t="n">
        <v>0</v>
      </c>
      <c r="N628" s="5" t="n">
        <v>0</v>
      </c>
      <c r="O628" s="5" t="n">
        <v>0</v>
      </c>
      <c r="P628" s="5" t="n">
        <v>1</v>
      </c>
      <c r="Q628" s="5" t="n">
        <v>0</v>
      </c>
      <c r="R628" s="5" t="n">
        <v>0</v>
      </c>
      <c r="S628" s="5" t="n">
        <v>0</v>
      </c>
      <c r="T628" s="5" t="n">
        <v>1</v>
      </c>
      <c r="U628" s="5" t="inlineStr">
        <is>
          <t>testing</t>
        </is>
      </c>
      <c r="V628" s="5" t="n">
        <v>0</v>
      </c>
    </row>
    <row r="629">
      <c r="A629" s="5" t="n">
        <v>625</v>
      </c>
      <c r="B629" s="5" t="n">
        <v>1</v>
      </c>
      <c r="C629" s="6" t="n">
        <v>-0.2301473069597001</v>
      </c>
      <c r="D629" s="6" t="n">
        <v>-0.2276737075342504</v>
      </c>
      <c r="E629" s="6" t="n">
        <v>2.562225189763305</v>
      </c>
      <c r="F629" s="6" t="n">
        <v>0.9185437189662378</v>
      </c>
      <c r="G629" s="5" t="n">
        <v>1</v>
      </c>
      <c r="H629" s="5" t="n">
        <v>0</v>
      </c>
      <c r="I629" s="5" t="n">
        <v>0</v>
      </c>
      <c r="J629" s="5" t="n">
        <v>0</v>
      </c>
      <c r="K629" s="5" t="n">
        <v>0</v>
      </c>
      <c r="L629" s="5" t="n">
        <v>0</v>
      </c>
      <c r="M629" s="5" t="n">
        <v>0</v>
      </c>
      <c r="N629" s="5" t="n">
        <v>0</v>
      </c>
      <c r="O629" s="5" t="n">
        <v>0</v>
      </c>
      <c r="P629" s="5" t="n">
        <v>0</v>
      </c>
      <c r="Q629" s="5" t="n">
        <v>1</v>
      </c>
      <c r="R629" s="5" t="n">
        <v>0</v>
      </c>
      <c r="S629" s="5" t="n">
        <v>1</v>
      </c>
      <c r="T629" s="5" t="n">
        <v>0</v>
      </c>
      <c r="U629" s="5" t="inlineStr">
        <is>
          <t>training</t>
        </is>
      </c>
      <c r="V629" s="5" t="n">
        <v>1</v>
      </c>
    </row>
    <row r="630">
      <c r="A630" s="5" t="n">
        <v>626</v>
      </c>
      <c r="B630" s="5" t="n">
        <v>0</v>
      </c>
      <c r="C630" s="6" t="n">
        <v>-0.4829241608380317</v>
      </c>
      <c r="D630" s="6" t="n">
        <v>-0.4449571001780331</v>
      </c>
      <c r="E630" s="6" t="n">
        <v>-0.04696543117692405</v>
      </c>
      <c r="F630" s="6" t="n">
        <v>0.9185437189662378</v>
      </c>
      <c r="G630" s="5" t="n">
        <v>0</v>
      </c>
      <c r="H630" s="5" t="n">
        <v>0</v>
      </c>
      <c r="I630" s="5" t="n">
        <v>0</v>
      </c>
      <c r="J630" s="5" t="n">
        <v>0</v>
      </c>
      <c r="K630" s="5" t="n">
        <v>0</v>
      </c>
      <c r="L630" s="5" t="n">
        <v>0</v>
      </c>
      <c r="M630" s="5" t="n">
        <v>0</v>
      </c>
      <c r="N630" s="5" t="n">
        <v>0</v>
      </c>
      <c r="O630" s="5" t="n">
        <v>1</v>
      </c>
      <c r="P630" s="5" t="n">
        <v>0</v>
      </c>
      <c r="Q630" s="5" t="n">
        <v>0</v>
      </c>
      <c r="R630" s="5" t="n">
        <v>0</v>
      </c>
      <c r="S630" s="5" t="n">
        <v>1</v>
      </c>
      <c r="T630" s="5" t="n">
        <v>0</v>
      </c>
      <c r="U630" s="5" t="inlineStr">
        <is>
          <t>training</t>
        </is>
      </c>
      <c r="V630" s="5" t="n">
        <v>1</v>
      </c>
    </row>
    <row r="631">
      <c r="A631" s="5" t="n">
        <v>627</v>
      </c>
      <c r="B631" s="5" t="n">
        <v>0</v>
      </c>
      <c r="C631" s="6" t="n">
        <v>-1.241254722473026</v>
      </c>
      <c r="D631" s="6" t="n">
        <v>-0.3970217945545255</v>
      </c>
      <c r="E631" s="6" t="n">
        <v>0.4748726930111218</v>
      </c>
      <c r="F631" s="6" t="n">
        <v>-0.8850484360866833</v>
      </c>
      <c r="G631" s="5" t="n">
        <v>0</v>
      </c>
      <c r="H631" s="5" t="n">
        <v>0</v>
      </c>
      <c r="I631" s="5" t="n">
        <v>1</v>
      </c>
      <c r="J631" s="5" t="n">
        <v>0</v>
      </c>
      <c r="K631" s="5" t="n">
        <v>0</v>
      </c>
      <c r="L631" s="5" t="n">
        <v>0</v>
      </c>
      <c r="M631" s="5" t="n">
        <v>0</v>
      </c>
      <c r="N631" s="5" t="n">
        <v>0</v>
      </c>
      <c r="O631" s="5" t="n">
        <v>0</v>
      </c>
      <c r="P631" s="5" t="n">
        <v>0</v>
      </c>
      <c r="Q631" s="5" t="n">
        <v>0</v>
      </c>
      <c r="R631" s="5" t="n">
        <v>0</v>
      </c>
      <c r="S631" s="5" t="n">
        <v>0</v>
      </c>
      <c r="T631" s="5" t="n">
        <v>1</v>
      </c>
      <c r="U631" s="5" t="inlineStr">
        <is>
          <t>training</t>
        </is>
      </c>
      <c r="V631" s="5" t="n">
        <v>1</v>
      </c>
    </row>
    <row r="632">
      <c r="A632" s="5" t="n">
        <v>628</v>
      </c>
      <c r="B632" s="5" t="n">
        <v>1</v>
      </c>
      <c r="C632" s="6" t="n">
        <v>-0.9884778685946948</v>
      </c>
      <c r="D632" s="6" t="n">
        <v>-0.6345989662213991</v>
      </c>
      <c r="E632" s="6" t="n">
        <v>-0.5688035553649698</v>
      </c>
      <c r="F632" s="6" t="n">
        <v>-0.8850484360866833</v>
      </c>
      <c r="G632" s="5" t="n">
        <v>0</v>
      </c>
      <c r="H632" s="5" t="n">
        <v>1</v>
      </c>
      <c r="I632" s="5" t="n">
        <v>0</v>
      </c>
      <c r="J632" s="5" t="n">
        <v>0</v>
      </c>
      <c r="K632" s="5" t="n">
        <v>0</v>
      </c>
      <c r="L632" s="5" t="n">
        <v>1</v>
      </c>
      <c r="M632" s="5" t="n">
        <v>1</v>
      </c>
      <c r="N632" s="5" t="n">
        <v>0</v>
      </c>
      <c r="O632" s="5" t="n">
        <v>0</v>
      </c>
      <c r="P632" s="5" t="n">
        <v>0</v>
      </c>
      <c r="Q632" s="5" t="n">
        <v>0</v>
      </c>
      <c r="R632" s="5" t="n">
        <v>1</v>
      </c>
      <c r="S632" s="5" t="n">
        <v>0</v>
      </c>
      <c r="T632" s="5" t="n">
        <v>0</v>
      </c>
      <c r="U632" s="5" t="inlineStr">
        <is>
          <t>training</t>
        </is>
      </c>
      <c r="V632" s="5" t="n">
        <v>1</v>
      </c>
    </row>
    <row r="633">
      <c r="A633" s="5" t="n">
        <v>629</v>
      </c>
      <c r="B633" s="5" t="n">
        <v>0</v>
      </c>
      <c r="C633" s="6" t="n">
        <v>1.792067524066952</v>
      </c>
      <c r="D633" s="6" t="n">
        <v>0.2768716261088007</v>
      </c>
      <c r="E633" s="6" t="n">
        <v>0.04000758952108359</v>
      </c>
      <c r="F633" s="6" t="n">
        <v>0.9185437189662378</v>
      </c>
      <c r="G633" s="5" t="n">
        <v>0</v>
      </c>
      <c r="H633" s="5" t="n">
        <v>0</v>
      </c>
      <c r="I633" s="5" t="n">
        <v>0</v>
      </c>
      <c r="J633" s="5" t="n">
        <v>1</v>
      </c>
      <c r="K633" s="5" t="n">
        <v>0</v>
      </c>
      <c r="L633" s="5" t="n">
        <v>0</v>
      </c>
      <c r="M633" s="5" t="n">
        <v>1</v>
      </c>
      <c r="N633" s="5" t="n">
        <v>0</v>
      </c>
      <c r="O633" s="5" t="n">
        <v>0</v>
      </c>
      <c r="P633" s="5" t="n">
        <v>0</v>
      </c>
      <c r="Q633" s="5" t="n">
        <v>0</v>
      </c>
      <c r="R633" s="5" t="n">
        <v>0</v>
      </c>
      <c r="S633" s="5" t="n">
        <v>0</v>
      </c>
      <c r="T633" s="5" t="n">
        <v>1</v>
      </c>
      <c r="U633" s="5" t="inlineStr">
        <is>
          <t>training</t>
        </is>
      </c>
      <c r="V633" s="5" t="n">
        <v>0</v>
      </c>
    </row>
    <row r="634">
      <c r="A634" s="5" t="n">
        <v>630</v>
      </c>
      <c r="B634" s="5" t="n">
        <v>0</v>
      </c>
      <c r="C634" s="6" t="n">
        <v>-0.9884778685946948</v>
      </c>
      <c r="D634" s="6" t="n">
        <v>0.2033941503355408</v>
      </c>
      <c r="E634" s="6" t="n">
        <v>2.475252169065298</v>
      </c>
      <c r="F634" s="6" t="n">
        <v>-1.786844513613144</v>
      </c>
      <c r="G634" s="5" t="n">
        <v>0</v>
      </c>
      <c r="H634" s="5" t="n">
        <v>0</v>
      </c>
      <c r="I634" s="5" t="n">
        <v>0</v>
      </c>
      <c r="J634" s="5" t="n">
        <v>0</v>
      </c>
      <c r="K634" s="5" t="n">
        <v>0</v>
      </c>
      <c r="L634" s="5" t="n">
        <v>0</v>
      </c>
      <c r="M634" s="5" t="n">
        <v>0</v>
      </c>
      <c r="N634" s="5" t="n">
        <v>0</v>
      </c>
      <c r="O634" s="5" t="n">
        <v>1</v>
      </c>
      <c r="P634" s="5" t="n">
        <v>0</v>
      </c>
      <c r="Q634" s="5" t="n">
        <v>0</v>
      </c>
      <c r="R634" s="5" t="n">
        <v>0</v>
      </c>
      <c r="S634" s="5" t="n">
        <v>0</v>
      </c>
      <c r="T634" s="5" t="n">
        <v>0</v>
      </c>
      <c r="U634" s="5" t="inlineStr">
        <is>
          <t>testing</t>
        </is>
      </c>
      <c r="V634" s="5" t="n">
        <v>0</v>
      </c>
    </row>
    <row r="635">
      <c r="A635" s="5" t="n">
        <v>631</v>
      </c>
      <c r="B635" s="5" t="n">
        <v>0</v>
      </c>
      <c r="C635" s="6" t="n">
        <v>0.275406400796963</v>
      </c>
      <c r="D635" s="6" t="n">
        <v>0.1432125987498232</v>
      </c>
      <c r="E635" s="6" t="n">
        <v>-0.6557765760629775</v>
      </c>
      <c r="F635" s="6" t="n">
        <v>-0.8850484360866833</v>
      </c>
      <c r="G635" s="5" t="n">
        <v>1</v>
      </c>
      <c r="H635" s="5" t="n">
        <v>0</v>
      </c>
      <c r="I635" s="5" t="n">
        <v>0</v>
      </c>
      <c r="J635" s="5" t="n">
        <v>0</v>
      </c>
      <c r="K635" s="5" t="n">
        <v>0</v>
      </c>
      <c r="L635" s="5" t="n">
        <v>0</v>
      </c>
      <c r="M635" s="5" t="n">
        <v>0</v>
      </c>
      <c r="N635" s="5" t="n">
        <v>0</v>
      </c>
      <c r="O635" s="5" t="n">
        <v>0</v>
      </c>
      <c r="P635" s="5" t="n">
        <v>0</v>
      </c>
      <c r="Q635" s="5" t="n">
        <v>0</v>
      </c>
      <c r="R635" s="5" t="n">
        <v>0</v>
      </c>
      <c r="S635" s="5" t="n">
        <v>1</v>
      </c>
      <c r="T635" s="5" t="n">
        <v>0</v>
      </c>
      <c r="U635" s="5" t="inlineStr">
        <is>
          <t>testing</t>
        </is>
      </c>
      <c r="V635" s="5" t="n">
        <v>0</v>
      </c>
    </row>
    <row r="636">
      <c r="A636" s="5" t="n">
        <v>632</v>
      </c>
      <c r="B636" s="5" t="n">
        <v>1</v>
      </c>
      <c r="C636" s="6" t="n">
        <v>-0.2301473069597001</v>
      </c>
      <c r="D636" s="6" t="n">
        <v>-0.5940114081752175</v>
      </c>
      <c r="E636" s="6" t="n">
        <v>0.7357917551051447</v>
      </c>
      <c r="F636" s="6" t="n">
        <v>0.9185437189662378</v>
      </c>
      <c r="G636" s="5" t="n">
        <v>1</v>
      </c>
      <c r="H636" s="5" t="n">
        <v>0</v>
      </c>
      <c r="I636" s="5" t="n">
        <v>0</v>
      </c>
      <c r="J636" s="5" t="n">
        <v>0</v>
      </c>
      <c r="K636" s="5" t="n">
        <v>0</v>
      </c>
      <c r="L636" s="5" t="n">
        <v>1</v>
      </c>
      <c r="M636" s="5" t="n">
        <v>0</v>
      </c>
      <c r="N636" s="5" t="n">
        <v>0</v>
      </c>
      <c r="O636" s="5" t="n">
        <v>0</v>
      </c>
      <c r="P636" s="5" t="n">
        <v>0</v>
      </c>
      <c r="Q636" s="5" t="n">
        <v>0</v>
      </c>
      <c r="R636" s="5" t="n">
        <v>0</v>
      </c>
      <c r="S636" s="5" t="n">
        <v>0</v>
      </c>
      <c r="T636" s="5" t="n">
        <v>1</v>
      </c>
      <c r="U636" s="5" t="inlineStr">
        <is>
          <t>training</t>
        </is>
      </c>
      <c r="V636" s="5" t="n">
        <v>1</v>
      </c>
    </row>
    <row r="637">
      <c r="A637" s="5" t="n">
        <v>633</v>
      </c>
      <c r="B637" s="5" t="n">
        <v>0</v>
      </c>
      <c r="C637" s="6" t="n">
        <v>-0.4829241608380317</v>
      </c>
      <c r="D637" s="6" t="n">
        <v>-0.6321497170289571</v>
      </c>
      <c r="E637" s="6" t="n">
        <v>-1.090641679553016</v>
      </c>
      <c r="F637" s="6" t="n">
        <v>0.9185437189662378</v>
      </c>
      <c r="G637" s="5" t="n">
        <v>0</v>
      </c>
      <c r="H637" s="5" t="n">
        <v>1</v>
      </c>
      <c r="I637" s="5" t="n">
        <v>0</v>
      </c>
      <c r="J637" s="5" t="n">
        <v>0</v>
      </c>
      <c r="K637" s="5" t="n">
        <v>0</v>
      </c>
      <c r="L637" s="5" t="n">
        <v>0</v>
      </c>
      <c r="M637" s="5" t="n">
        <v>0</v>
      </c>
      <c r="N637" s="5" t="n">
        <v>0</v>
      </c>
      <c r="O637" s="5" t="n">
        <v>1</v>
      </c>
      <c r="P637" s="5" t="n">
        <v>0</v>
      </c>
      <c r="Q637" s="5" t="n">
        <v>0</v>
      </c>
      <c r="R637" s="5" t="n">
        <v>0</v>
      </c>
      <c r="S637" s="5" t="n">
        <v>1</v>
      </c>
      <c r="T637" s="5" t="n">
        <v>0</v>
      </c>
      <c r="U637" s="5" t="inlineStr">
        <is>
          <t>training</t>
        </is>
      </c>
      <c r="V637" s="5" t="n">
        <v>1</v>
      </c>
    </row>
    <row r="638">
      <c r="A638" s="5" t="n">
        <v>634</v>
      </c>
      <c r="B638" s="5" t="n">
        <v>1</v>
      </c>
      <c r="C638" s="6" t="n">
        <v>-0.9884778685946948</v>
      </c>
      <c r="D638" s="6" t="n">
        <v>-0.4446072074362557</v>
      </c>
      <c r="E638" s="6" t="n">
        <v>-1.438533762345046</v>
      </c>
      <c r="F638" s="6" t="n">
        <v>-0.8850484360866833</v>
      </c>
      <c r="G638" s="5" t="n">
        <v>0</v>
      </c>
      <c r="H638" s="5" t="n">
        <v>0</v>
      </c>
      <c r="I638" s="5" t="n">
        <v>0</v>
      </c>
      <c r="J638" s="5" t="n">
        <v>0</v>
      </c>
      <c r="K638" s="5" t="n">
        <v>0</v>
      </c>
      <c r="L638" s="5" t="n">
        <v>0</v>
      </c>
      <c r="M638" s="5" t="n">
        <v>0</v>
      </c>
      <c r="N638" s="5" t="n">
        <v>0</v>
      </c>
      <c r="O638" s="5" t="n">
        <v>0</v>
      </c>
      <c r="P638" s="5" t="n">
        <v>1</v>
      </c>
      <c r="Q638" s="5" t="n">
        <v>0</v>
      </c>
      <c r="R638" s="5" t="n">
        <v>0</v>
      </c>
      <c r="S638" s="5" t="n">
        <v>0</v>
      </c>
      <c r="T638" s="5" t="n">
        <v>1</v>
      </c>
      <c r="U638" s="5" t="inlineStr">
        <is>
          <t>training</t>
        </is>
      </c>
      <c r="V638" s="5" t="n">
        <v>1</v>
      </c>
    </row>
    <row r="639">
      <c r="A639" s="5" t="n">
        <v>635</v>
      </c>
      <c r="B639" s="5" t="n">
        <v>1</v>
      </c>
      <c r="C639" s="6" t="n">
        <v>0.275406400796963</v>
      </c>
      <c r="D639" s="6" t="n">
        <v>-0.6632901710471482</v>
      </c>
      <c r="E639" s="6" t="n">
        <v>-0.9166956381570004</v>
      </c>
      <c r="F639" s="6" t="n">
        <v>0.01674764143977723</v>
      </c>
      <c r="G639" s="5" t="n">
        <v>0</v>
      </c>
      <c r="H639" s="5" t="n">
        <v>1</v>
      </c>
      <c r="I639" s="5" t="n">
        <v>0</v>
      </c>
      <c r="J639" s="5" t="n">
        <v>0</v>
      </c>
      <c r="K639" s="5" t="n">
        <v>0</v>
      </c>
      <c r="L639" s="5" t="n">
        <v>0</v>
      </c>
      <c r="M639" s="5" t="n">
        <v>0</v>
      </c>
      <c r="N639" s="5" t="n">
        <v>0</v>
      </c>
      <c r="O639" s="5" t="n">
        <v>0</v>
      </c>
      <c r="P639" s="5" t="n">
        <v>0</v>
      </c>
      <c r="Q639" s="5" t="n">
        <v>0</v>
      </c>
      <c r="R639" s="5" t="n">
        <v>1</v>
      </c>
      <c r="S639" s="5" t="n">
        <v>0</v>
      </c>
      <c r="T639" s="5" t="n">
        <v>0</v>
      </c>
      <c r="U639" s="5" t="inlineStr">
        <is>
          <t>training</t>
        </is>
      </c>
      <c r="V639" s="5" t="n">
        <v>1</v>
      </c>
    </row>
    <row r="640">
      <c r="A640" s="5" t="n">
        <v>636</v>
      </c>
      <c r="B640" s="5" t="n">
        <v>0</v>
      </c>
      <c r="C640" s="6" t="n">
        <v>-0.7357010147163632</v>
      </c>
      <c r="D640" s="6" t="n">
        <v>-0.6499942468596059</v>
      </c>
      <c r="E640" s="6" t="n">
        <v>0.9967108171991675</v>
      </c>
      <c r="F640" s="6" t="n">
        <v>0.9185437189662378</v>
      </c>
      <c r="G640" s="5" t="n">
        <v>0</v>
      </c>
      <c r="H640" s="5" t="n">
        <v>0</v>
      </c>
      <c r="I640" s="5" t="n">
        <v>0</v>
      </c>
      <c r="J640" s="5" t="n">
        <v>0</v>
      </c>
      <c r="K640" s="5" t="n">
        <v>0</v>
      </c>
      <c r="L640" s="5" t="n">
        <v>0</v>
      </c>
      <c r="M640" s="5" t="n">
        <v>0</v>
      </c>
      <c r="N640" s="5" t="n">
        <v>0</v>
      </c>
      <c r="O640" s="5" t="n">
        <v>0</v>
      </c>
      <c r="P640" s="5" t="n">
        <v>0</v>
      </c>
      <c r="Q640" s="5" t="n">
        <v>0</v>
      </c>
      <c r="R640" s="5" t="n">
        <v>0</v>
      </c>
      <c r="S640" s="5" t="n">
        <v>0</v>
      </c>
      <c r="T640" s="5" t="n">
        <v>0</v>
      </c>
      <c r="U640" s="5" t="inlineStr">
        <is>
          <t>training</t>
        </is>
      </c>
      <c r="V640" s="5" t="n">
        <v>0</v>
      </c>
    </row>
    <row r="641">
      <c r="A641" s="5" t="n">
        <v>637</v>
      </c>
      <c r="B641" s="5" t="n">
        <v>0</v>
      </c>
      <c r="C641" s="6" t="n">
        <v>0.275406400796963</v>
      </c>
      <c r="D641" s="6" t="n">
        <v>-0.6559424234698222</v>
      </c>
      <c r="E641" s="6" t="n">
        <v>-0.6557765760629775</v>
      </c>
      <c r="F641" s="6" t="n">
        <v>0.9185437189662378</v>
      </c>
      <c r="G641" s="5" t="n">
        <v>0</v>
      </c>
      <c r="H641" s="5" t="n">
        <v>0</v>
      </c>
      <c r="I641" s="5" t="n">
        <v>0</v>
      </c>
      <c r="J641" s="5" t="n">
        <v>0</v>
      </c>
      <c r="K641" s="5" t="n">
        <v>0</v>
      </c>
      <c r="L641" s="5" t="n">
        <v>0</v>
      </c>
      <c r="M641" s="5" t="n">
        <v>1</v>
      </c>
      <c r="N641" s="5" t="n">
        <v>0</v>
      </c>
      <c r="O641" s="5" t="n">
        <v>0</v>
      </c>
      <c r="P641" s="5" t="n">
        <v>0</v>
      </c>
      <c r="Q641" s="5" t="n">
        <v>0</v>
      </c>
      <c r="R641" s="5" t="n">
        <v>0</v>
      </c>
      <c r="S641" s="5" t="n">
        <v>1</v>
      </c>
      <c r="T641" s="5" t="n">
        <v>0</v>
      </c>
      <c r="U641" s="5" t="inlineStr">
        <is>
          <t>training</t>
        </is>
      </c>
      <c r="V641" s="5" t="n">
        <v>1</v>
      </c>
    </row>
    <row r="642">
      <c r="A642" s="5" t="n">
        <v>638</v>
      </c>
      <c r="B642" s="5" t="n">
        <v>0</v>
      </c>
      <c r="C642" s="6" t="n">
        <v>3.308728647336942</v>
      </c>
      <c r="D642" s="6" t="n">
        <v>4.339476250886516</v>
      </c>
      <c r="E642" s="6" t="n">
        <v>-1.264587720949031</v>
      </c>
      <c r="F642" s="6" t="n">
        <v>-0.8850484360866833</v>
      </c>
      <c r="G642" s="5" t="n">
        <v>0</v>
      </c>
      <c r="H642" s="5" t="n">
        <v>0</v>
      </c>
      <c r="I642" s="5" t="n">
        <v>0</v>
      </c>
      <c r="J642" s="5" t="n">
        <v>0</v>
      </c>
      <c r="K642" s="5" t="n">
        <v>1</v>
      </c>
      <c r="L642" s="5" t="n">
        <v>0</v>
      </c>
      <c r="M642" s="5" t="n">
        <v>0</v>
      </c>
      <c r="N642" s="5" t="n">
        <v>0</v>
      </c>
      <c r="O642" s="5" t="n">
        <v>0</v>
      </c>
      <c r="P642" s="5" t="n">
        <v>0</v>
      </c>
      <c r="Q642" s="5" t="n">
        <v>0</v>
      </c>
      <c r="R642" s="5" t="n">
        <v>0</v>
      </c>
      <c r="S642" s="5" t="n">
        <v>1</v>
      </c>
      <c r="T642" s="5" t="n">
        <v>0</v>
      </c>
      <c r="U642" s="5" t="inlineStr">
        <is>
          <t>training</t>
        </is>
      </c>
      <c r="V642" s="5" t="n">
        <v>0</v>
      </c>
    </row>
    <row r="643">
      <c r="A643" s="5" t="n">
        <v>639</v>
      </c>
      <c r="B643" s="5" t="n">
        <v>0</v>
      </c>
      <c r="C643" s="6" t="n">
        <v>-0.7357010147163632</v>
      </c>
      <c r="D643" s="6" t="n">
        <v>-0.6150049726818632</v>
      </c>
      <c r="E643" s="6" t="n">
        <v>-0.1339384518749317</v>
      </c>
      <c r="F643" s="6" t="n">
        <v>0.9185437189662378</v>
      </c>
      <c r="G643" s="5" t="n">
        <v>0</v>
      </c>
      <c r="H643" s="5" t="n">
        <v>0</v>
      </c>
      <c r="I643" s="5" t="n">
        <v>0</v>
      </c>
      <c r="J643" s="5" t="n">
        <v>0</v>
      </c>
      <c r="K643" s="5" t="n">
        <v>0</v>
      </c>
      <c r="L643" s="5" t="n">
        <v>0</v>
      </c>
      <c r="M643" s="5" t="n">
        <v>0</v>
      </c>
      <c r="N643" s="5" t="n">
        <v>0</v>
      </c>
      <c r="O643" s="5" t="n">
        <v>0</v>
      </c>
      <c r="P643" s="5" t="n">
        <v>0</v>
      </c>
      <c r="Q643" s="5" t="n">
        <v>0</v>
      </c>
      <c r="R643" s="5" t="n">
        <v>0</v>
      </c>
      <c r="S643" s="5" t="n">
        <v>1</v>
      </c>
      <c r="T643" s="5" t="n">
        <v>0</v>
      </c>
      <c r="U643" s="5" t="inlineStr">
        <is>
          <t>training</t>
        </is>
      </c>
      <c r="V643" s="5" t="n">
        <v>1</v>
      </c>
    </row>
    <row r="644">
      <c r="A644" s="5" t="n">
        <v>640</v>
      </c>
      <c r="B644" s="5" t="n">
        <v>1</v>
      </c>
      <c r="C644" s="6" t="n">
        <v>1.792067524066952</v>
      </c>
      <c r="D644" s="6" t="n">
        <v>0.3916364454117971</v>
      </c>
      <c r="E644" s="6" t="n">
        <v>-0.8297226174589928</v>
      </c>
      <c r="F644" s="6" t="n">
        <v>0.01674764143977723</v>
      </c>
      <c r="G644" s="5" t="n">
        <v>1</v>
      </c>
      <c r="H644" s="5" t="n">
        <v>0</v>
      </c>
      <c r="I644" s="5" t="n">
        <v>0</v>
      </c>
      <c r="J644" s="5" t="n">
        <v>0</v>
      </c>
      <c r="K644" s="5" t="n">
        <v>1</v>
      </c>
      <c r="L644" s="5" t="n">
        <v>0</v>
      </c>
      <c r="M644" s="5" t="n">
        <v>0</v>
      </c>
      <c r="N644" s="5" t="n">
        <v>0</v>
      </c>
      <c r="O644" s="5" t="n">
        <v>0</v>
      </c>
      <c r="P644" s="5" t="n">
        <v>0</v>
      </c>
      <c r="Q644" s="5" t="n">
        <v>0</v>
      </c>
      <c r="R644" s="5" t="n">
        <v>0</v>
      </c>
      <c r="S644" s="5" t="n">
        <v>1</v>
      </c>
      <c r="T644" s="5" t="n">
        <v>0</v>
      </c>
      <c r="U644" s="5" t="inlineStr">
        <is>
          <t>testing</t>
        </is>
      </c>
      <c r="V644" s="5" t="n">
        <v>0</v>
      </c>
    </row>
    <row r="645">
      <c r="A645" s="5" t="n">
        <v>641</v>
      </c>
      <c r="B645" s="5" t="n">
        <v>1</v>
      </c>
      <c r="C645" s="6" t="n">
        <v>-0.2301473069597001</v>
      </c>
      <c r="D645" s="6" t="n">
        <v>-0.8749752798224921</v>
      </c>
      <c r="E645" s="6" t="n">
        <v>-0.7427495967609852</v>
      </c>
      <c r="F645" s="6" t="n">
        <v>0.9185437189662378</v>
      </c>
      <c r="G645" s="5" t="n">
        <v>1</v>
      </c>
      <c r="H645" s="5" t="n">
        <v>0</v>
      </c>
      <c r="I645" s="5" t="n">
        <v>0</v>
      </c>
      <c r="J645" s="5" t="n">
        <v>0</v>
      </c>
      <c r="K645" s="5" t="n">
        <v>0</v>
      </c>
      <c r="L645" s="5" t="n">
        <v>0</v>
      </c>
      <c r="M645" s="5" t="n">
        <v>0</v>
      </c>
      <c r="N645" s="5" t="n">
        <v>0</v>
      </c>
      <c r="O645" s="5" t="n">
        <v>0</v>
      </c>
      <c r="P645" s="5" t="n">
        <v>0</v>
      </c>
      <c r="Q645" s="5" t="n">
        <v>0</v>
      </c>
      <c r="R645" s="5" t="n">
        <v>0</v>
      </c>
      <c r="S645" s="5" t="n">
        <v>0</v>
      </c>
      <c r="T645" s="5" t="n">
        <v>0</v>
      </c>
      <c r="U645" s="5" t="inlineStr">
        <is>
          <t>testing</t>
        </is>
      </c>
      <c r="V645" s="5" t="n">
        <v>0</v>
      </c>
    </row>
    <row r="646">
      <c r="A646" s="5" t="n">
        <v>642</v>
      </c>
      <c r="B646" s="5" t="n">
        <v>0</v>
      </c>
      <c r="C646" s="6" t="n">
        <v>-0.4829241608380317</v>
      </c>
      <c r="D646" s="6" t="n">
        <v>-0.6797351299106873</v>
      </c>
      <c r="E646" s="6" t="n">
        <v>0.2139536309170988</v>
      </c>
      <c r="F646" s="6" t="n">
        <v>0.9185437189662378</v>
      </c>
      <c r="G646" s="5" t="n">
        <v>0</v>
      </c>
      <c r="H646" s="5" t="n">
        <v>1</v>
      </c>
      <c r="I646" s="5" t="n">
        <v>0</v>
      </c>
      <c r="J646" s="5" t="n">
        <v>0</v>
      </c>
      <c r="K646" s="5" t="n">
        <v>0</v>
      </c>
      <c r="L646" s="5" t="n">
        <v>0</v>
      </c>
      <c r="M646" s="5" t="n">
        <v>0</v>
      </c>
      <c r="N646" s="5" t="n">
        <v>0</v>
      </c>
      <c r="O646" s="5" t="n">
        <v>0</v>
      </c>
      <c r="P646" s="5" t="n">
        <v>0</v>
      </c>
      <c r="Q646" s="5" t="n">
        <v>0</v>
      </c>
      <c r="R646" s="5" t="n">
        <v>0</v>
      </c>
      <c r="S646" s="5" t="n">
        <v>0</v>
      </c>
      <c r="T646" s="5" t="n">
        <v>0</v>
      </c>
      <c r="U646" s="5" t="inlineStr">
        <is>
          <t>training</t>
        </is>
      </c>
      <c r="V646" s="5" t="n">
        <v>1</v>
      </c>
    </row>
    <row r="647">
      <c r="A647" s="5" t="n">
        <v>643</v>
      </c>
      <c r="B647" s="5" t="n">
        <v>1</v>
      </c>
      <c r="C647" s="6" t="n">
        <v>-0.4829241608380317</v>
      </c>
      <c r="D647" s="6" t="n">
        <v>0.4801593090814864</v>
      </c>
      <c r="E647" s="6" t="n">
        <v>0.3878996723131141</v>
      </c>
      <c r="F647" s="6" t="n">
        <v>0.01674764143977723</v>
      </c>
      <c r="G647" s="5" t="n">
        <v>0</v>
      </c>
      <c r="H647" s="5" t="n">
        <v>0</v>
      </c>
      <c r="I647" s="5" t="n">
        <v>0</v>
      </c>
      <c r="J647" s="5" t="n">
        <v>0</v>
      </c>
      <c r="K647" s="5" t="n">
        <v>0</v>
      </c>
      <c r="L647" s="5" t="n">
        <v>0</v>
      </c>
      <c r="M647" s="5" t="n">
        <v>1</v>
      </c>
      <c r="N647" s="5" t="n">
        <v>0</v>
      </c>
      <c r="O647" s="5" t="n">
        <v>0</v>
      </c>
      <c r="P647" s="5" t="n">
        <v>0</v>
      </c>
      <c r="Q647" s="5" t="n">
        <v>0</v>
      </c>
      <c r="R647" s="5" t="n">
        <v>0</v>
      </c>
      <c r="S647" s="5" t="n">
        <v>0</v>
      </c>
      <c r="T647" s="5" t="n">
        <v>0</v>
      </c>
      <c r="U647" s="5" t="inlineStr">
        <is>
          <t>training</t>
        </is>
      </c>
      <c r="V647" s="5" t="n">
        <v>1</v>
      </c>
    </row>
    <row r="648">
      <c r="A648" s="5" t="n">
        <v>644</v>
      </c>
      <c r="B648" s="5" t="n">
        <v>0</v>
      </c>
      <c r="C648" s="6" t="n">
        <v>0.275406400796963</v>
      </c>
      <c r="D648" s="6" t="n">
        <v>-0.4897433711255439</v>
      </c>
      <c r="E648" s="6" t="n">
        <v>-0.2209114725729393</v>
      </c>
      <c r="F648" s="6" t="n">
        <v>0.9185437189662378</v>
      </c>
      <c r="G648" s="5" t="n">
        <v>0</v>
      </c>
      <c r="H648" s="5" t="n">
        <v>0</v>
      </c>
      <c r="I648" s="5" t="n">
        <v>0</v>
      </c>
      <c r="J648" s="5" t="n">
        <v>1</v>
      </c>
      <c r="K648" s="5" t="n">
        <v>0</v>
      </c>
      <c r="L648" s="5" t="n">
        <v>0</v>
      </c>
      <c r="M648" s="5" t="n">
        <v>0</v>
      </c>
      <c r="N648" s="5" t="n">
        <v>0</v>
      </c>
      <c r="O648" s="5" t="n">
        <v>0</v>
      </c>
      <c r="P648" s="5" t="n">
        <v>0</v>
      </c>
      <c r="Q648" s="5" t="n">
        <v>0</v>
      </c>
      <c r="R648" s="5" t="n">
        <v>0</v>
      </c>
      <c r="S648" s="5" t="n">
        <v>1</v>
      </c>
      <c r="T648" s="5" t="n">
        <v>0</v>
      </c>
      <c r="U648" s="5" t="inlineStr">
        <is>
          <t>training</t>
        </is>
      </c>
      <c r="V648" s="5" t="n">
        <v>1</v>
      </c>
    </row>
    <row r="649">
      <c r="A649" s="5" t="n">
        <v>645</v>
      </c>
      <c r="B649" s="5" t="n">
        <v>0</v>
      </c>
      <c r="C649" s="6" t="n">
        <v>-0.2301473069597001</v>
      </c>
      <c r="D649" s="6" t="n">
        <v>-0.4795964816139985</v>
      </c>
      <c r="E649" s="6" t="n">
        <v>-0.307884493270947</v>
      </c>
      <c r="F649" s="6" t="n">
        <v>0.9185437189662378</v>
      </c>
      <c r="G649" s="5" t="n">
        <v>1</v>
      </c>
      <c r="H649" s="5" t="n">
        <v>0</v>
      </c>
      <c r="I649" s="5" t="n">
        <v>0</v>
      </c>
      <c r="J649" s="5" t="n">
        <v>1</v>
      </c>
      <c r="K649" s="5" t="n">
        <v>0</v>
      </c>
      <c r="L649" s="5" t="n">
        <v>0</v>
      </c>
      <c r="M649" s="5" t="n">
        <v>0</v>
      </c>
      <c r="N649" s="5" t="n">
        <v>0</v>
      </c>
      <c r="O649" s="5" t="n">
        <v>0</v>
      </c>
      <c r="P649" s="5" t="n">
        <v>0</v>
      </c>
      <c r="Q649" s="5" t="n">
        <v>0</v>
      </c>
      <c r="R649" s="5" t="n">
        <v>0</v>
      </c>
      <c r="S649" s="5" t="n">
        <v>1</v>
      </c>
      <c r="T649" s="5" t="n">
        <v>0</v>
      </c>
      <c r="U649" s="5" t="inlineStr">
        <is>
          <t>testing</t>
        </is>
      </c>
      <c r="V649" s="5" t="n">
        <v>0</v>
      </c>
    </row>
    <row r="650">
      <c r="A650" s="5" t="n">
        <v>646</v>
      </c>
      <c r="B650" s="5" t="n">
        <v>1</v>
      </c>
      <c r="C650" s="6" t="n">
        <v>1.286513816310289</v>
      </c>
      <c r="D650" s="6" t="n">
        <v>1.654749243228312</v>
      </c>
      <c r="E650" s="6" t="n">
        <v>-0.7427495967609852</v>
      </c>
      <c r="F650" s="6" t="n">
        <v>0.9185437189662378</v>
      </c>
      <c r="G650" s="5" t="n">
        <v>0</v>
      </c>
      <c r="H650" s="5" t="n">
        <v>0</v>
      </c>
      <c r="I650" s="5" t="n">
        <v>0</v>
      </c>
      <c r="J650" s="5" t="n">
        <v>0</v>
      </c>
      <c r="K650" s="5" t="n">
        <v>1</v>
      </c>
      <c r="L650" s="5" t="n">
        <v>0</v>
      </c>
      <c r="M650" s="5" t="n">
        <v>0</v>
      </c>
      <c r="N650" s="5" t="n">
        <v>0</v>
      </c>
      <c r="O650" s="5" t="n">
        <v>1</v>
      </c>
      <c r="P650" s="5" t="n">
        <v>1</v>
      </c>
      <c r="Q650" s="5" t="n">
        <v>0</v>
      </c>
      <c r="R650" s="5" t="n">
        <v>0</v>
      </c>
      <c r="S650" s="5" t="n">
        <v>0</v>
      </c>
      <c r="T650" s="5" t="n">
        <v>0</v>
      </c>
      <c r="U650" s="5" t="inlineStr">
        <is>
          <t>training</t>
        </is>
      </c>
      <c r="V650" s="5" t="n">
        <v>1</v>
      </c>
    </row>
    <row r="651">
      <c r="A651" s="5" t="n">
        <v>647</v>
      </c>
      <c r="B651" s="5" t="n">
        <v>0</v>
      </c>
      <c r="C651" s="6" t="n">
        <v>0.7809601085536261</v>
      </c>
      <c r="D651" s="6" t="n">
        <v>0.4661635994103892</v>
      </c>
      <c r="E651" s="6" t="n">
        <v>-0.307884493270947</v>
      </c>
      <c r="F651" s="6" t="n">
        <v>-0.8850484360866833</v>
      </c>
      <c r="G651" s="5" t="n">
        <v>1</v>
      </c>
      <c r="H651" s="5" t="n">
        <v>0</v>
      </c>
      <c r="I651" s="5" t="n">
        <v>0</v>
      </c>
      <c r="J651" s="5" t="n">
        <v>0</v>
      </c>
      <c r="K651" s="5" t="n">
        <v>0</v>
      </c>
      <c r="L651" s="5" t="n">
        <v>1</v>
      </c>
      <c r="M651" s="5" t="n">
        <v>0</v>
      </c>
      <c r="N651" s="5" t="n">
        <v>0</v>
      </c>
      <c r="O651" s="5" t="n">
        <v>0</v>
      </c>
      <c r="P651" s="5" t="n">
        <v>0</v>
      </c>
      <c r="Q651" s="5" t="n">
        <v>0</v>
      </c>
      <c r="R651" s="5" t="n">
        <v>0</v>
      </c>
      <c r="S651" s="5" t="n">
        <v>0</v>
      </c>
      <c r="T651" s="5" t="n">
        <v>1</v>
      </c>
      <c r="U651" s="5" t="inlineStr">
        <is>
          <t>training</t>
        </is>
      </c>
      <c r="V651" s="5" t="n">
        <v>0</v>
      </c>
    </row>
    <row r="652">
      <c r="A652" s="5" t="n">
        <v>648</v>
      </c>
      <c r="B652" s="5" t="n">
        <v>1</v>
      </c>
      <c r="C652" s="6" t="n">
        <v>-0.7357010147163632</v>
      </c>
      <c r="D652" s="6" t="n">
        <v>-0.6524434960520479</v>
      </c>
      <c r="E652" s="6" t="n">
        <v>-0.8297226174589928</v>
      </c>
      <c r="F652" s="6" t="n">
        <v>-0.8850484360866833</v>
      </c>
      <c r="G652" s="5" t="n">
        <v>0</v>
      </c>
      <c r="H652" s="5" t="n">
        <v>0</v>
      </c>
      <c r="I652" s="5" t="n">
        <v>0</v>
      </c>
      <c r="J652" s="5" t="n">
        <v>0</v>
      </c>
      <c r="K652" s="5" t="n">
        <v>0</v>
      </c>
      <c r="L652" s="5" t="n">
        <v>0</v>
      </c>
      <c r="M652" s="5" t="n">
        <v>1</v>
      </c>
      <c r="N652" s="5" t="n">
        <v>0</v>
      </c>
      <c r="O652" s="5" t="n">
        <v>0</v>
      </c>
      <c r="P652" s="5" t="n">
        <v>0</v>
      </c>
      <c r="Q652" s="5" t="n">
        <v>0</v>
      </c>
      <c r="R652" s="5" t="n">
        <v>1</v>
      </c>
      <c r="S652" s="5" t="n">
        <v>0</v>
      </c>
      <c r="T652" s="5" t="n">
        <v>0</v>
      </c>
      <c r="U652" s="5" t="inlineStr">
        <is>
          <t>training</t>
        </is>
      </c>
      <c r="V652" s="5" t="n">
        <v>1</v>
      </c>
    </row>
    <row r="653">
      <c r="A653" s="5" t="n">
        <v>649</v>
      </c>
      <c r="B653" s="5" t="n">
        <v>1</v>
      </c>
      <c r="C653" s="6" t="n">
        <v>0.275406400796963</v>
      </c>
      <c r="D653" s="6" t="n">
        <v>-0.8060464096923388</v>
      </c>
      <c r="E653" s="6" t="n">
        <v>0.2139536309170988</v>
      </c>
      <c r="F653" s="6" t="n">
        <v>0.9185437189662378</v>
      </c>
      <c r="G653" s="5" t="n">
        <v>0</v>
      </c>
      <c r="H653" s="5" t="n">
        <v>0</v>
      </c>
      <c r="I653" s="5" t="n">
        <v>1</v>
      </c>
      <c r="J653" s="5" t="n">
        <v>0</v>
      </c>
      <c r="K653" s="5" t="n">
        <v>0</v>
      </c>
      <c r="L653" s="5" t="n">
        <v>0</v>
      </c>
      <c r="M653" s="5" t="n">
        <v>0</v>
      </c>
      <c r="N653" s="5" t="n">
        <v>0</v>
      </c>
      <c r="O653" s="5" t="n">
        <v>0</v>
      </c>
      <c r="P653" s="5" t="n">
        <v>0</v>
      </c>
      <c r="Q653" s="5" t="n">
        <v>1</v>
      </c>
      <c r="R653" s="5" t="n">
        <v>1</v>
      </c>
      <c r="S653" s="5" t="n">
        <v>0</v>
      </c>
      <c r="T653" s="5" t="n">
        <v>0</v>
      </c>
      <c r="U653" s="5" t="inlineStr">
        <is>
          <t>training</t>
        </is>
      </c>
      <c r="V653" s="5" t="n">
        <v>1</v>
      </c>
    </row>
    <row r="654">
      <c r="A654" s="5" t="n">
        <v>650</v>
      </c>
      <c r="B654" s="5" t="n">
        <v>1</v>
      </c>
      <c r="C654" s="6" t="n">
        <v>-0.7357010147163632</v>
      </c>
      <c r="D654" s="6" t="n">
        <v>-0.8980682007798023</v>
      </c>
      <c r="E654" s="6" t="n">
        <v>0.3878996723131141</v>
      </c>
      <c r="F654" s="6" t="n">
        <v>0.9185437189662378</v>
      </c>
      <c r="G654" s="5" t="n">
        <v>1</v>
      </c>
      <c r="H654" s="5" t="n">
        <v>0</v>
      </c>
      <c r="I654" s="5" t="n">
        <v>0</v>
      </c>
      <c r="J654" s="5" t="n">
        <v>0</v>
      </c>
      <c r="K654" s="5" t="n">
        <v>0</v>
      </c>
      <c r="L654" s="5" t="n">
        <v>0</v>
      </c>
      <c r="M654" s="5" t="n">
        <v>0</v>
      </c>
      <c r="N654" s="5" t="n">
        <v>0</v>
      </c>
      <c r="O654" s="5" t="n">
        <v>0</v>
      </c>
      <c r="P654" s="5" t="n">
        <v>1</v>
      </c>
      <c r="Q654" s="5" t="n">
        <v>0</v>
      </c>
      <c r="R654" s="5" t="n">
        <v>0</v>
      </c>
      <c r="S654" s="5" t="n">
        <v>0</v>
      </c>
      <c r="T654" s="5" t="n">
        <v>0</v>
      </c>
      <c r="U654" s="5" t="inlineStr">
        <is>
          <t>training</t>
        </is>
      </c>
      <c r="V654" s="5" t="n">
        <v>1</v>
      </c>
    </row>
    <row r="655">
      <c r="A655" s="5" t="n">
        <v>651</v>
      </c>
      <c r="B655" s="5" t="n">
        <v>0</v>
      </c>
      <c r="C655" s="6" t="n">
        <v>2.297621231823615</v>
      </c>
      <c r="D655" s="6" t="n">
        <v>1.478403301372488</v>
      </c>
      <c r="E655" s="6" t="n">
        <v>1.257629879293191</v>
      </c>
      <c r="F655" s="6" t="n">
        <v>0.9185437189662378</v>
      </c>
      <c r="G655" s="5" t="n">
        <v>1</v>
      </c>
      <c r="H655" s="5" t="n">
        <v>0</v>
      </c>
      <c r="I655" s="5" t="n">
        <v>0</v>
      </c>
      <c r="J655" s="5" t="n">
        <v>0</v>
      </c>
      <c r="K655" s="5" t="n">
        <v>0</v>
      </c>
      <c r="L655" s="5" t="n">
        <v>0</v>
      </c>
      <c r="M655" s="5" t="n">
        <v>0</v>
      </c>
      <c r="N655" s="5" t="n">
        <v>0</v>
      </c>
      <c r="O655" s="5" t="n">
        <v>0</v>
      </c>
      <c r="P655" s="5" t="n">
        <v>0</v>
      </c>
      <c r="Q655" s="5" t="n">
        <v>1</v>
      </c>
      <c r="R655" s="5" t="n">
        <v>0</v>
      </c>
      <c r="S655" s="5" t="n">
        <v>0</v>
      </c>
      <c r="T655" s="5" t="n">
        <v>0</v>
      </c>
      <c r="U655" s="5" t="inlineStr">
        <is>
          <t>training</t>
        </is>
      </c>
      <c r="V655" s="5" t="n">
        <v>1</v>
      </c>
    </row>
    <row r="656">
      <c r="A656" s="5" t="n">
        <v>652</v>
      </c>
      <c r="B656" s="5" t="n">
        <v>1</v>
      </c>
      <c r="C656" s="6" t="n">
        <v>-0.7357010147163632</v>
      </c>
      <c r="D656" s="6" t="n">
        <v>-0.4649009864593465</v>
      </c>
      <c r="E656" s="6" t="n">
        <v>0.1269806102190912</v>
      </c>
      <c r="F656" s="6" t="n">
        <v>0.9185437189662378</v>
      </c>
      <c r="G656" s="5" t="n">
        <v>0</v>
      </c>
      <c r="H656" s="5" t="n">
        <v>1</v>
      </c>
      <c r="I656" s="5" t="n">
        <v>0</v>
      </c>
      <c r="J656" s="5" t="n">
        <v>0</v>
      </c>
      <c r="K656" s="5" t="n">
        <v>0</v>
      </c>
      <c r="L656" s="5" t="n">
        <v>0</v>
      </c>
      <c r="M656" s="5" t="n">
        <v>0</v>
      </c>
      <c r="N656" s="5" t="n">
        <v>0</v>
      </c>
      <c r="O656" s="5" t="n">
        <v>0</v>
      </c>
      <c r="P656" s="5" t="n">
        <v>0</v>
      </c>
      <c r="Q656" s="5" t="n">
        <v>0</v>
      </c>
      <c r="R656" s="5" t="n">
        <v>0</v>
      </c>
      <c r="S656" s="5" t="n">
        <v>0</v>
      </c>
      <c r="T656" s="5" t="n">
        <v>1</v>
      </c>
      <c r="U656" s="5" t="inlineStr">
        <is>
          <t>testing</t>
        </is>
      </c>
      <c r="V656" s="5" t="n">
        <v>0</v>
      </c>
    </row>
    <row r="657">
      <c r="A657" s="5" t="n">
        <v>653</v>
      </c>
      <c r="B657" s="5" t="n">
        <v>1</v>
      </c>
      <c r="C657" s="6" t="n">
        <v>0.275406400796963</v>
      </c>
      <c r="D657" s="6" t="n">
        <v>-0.3315918518421465</v>
      </c>
      <c r="E657" s="6" t="n">
        <v>0.8227647758031523</v>
      </c>
      <c r="F657" s="6" t="n">
        <v>0.9185437189662378</v>
      </c>
      <c r="G657" s="5" t="n">
        <v>1</v>
      </c>
      <c r="H657" s="5" t="n">
        <v>0</v>
      </c>
      <c r="I657" s="5" t="n">
        <v>0</v>
      </c>
      <c r="J657" s="5" t="n">
        <v>0</v>
      </c>
      <c r="K657" s="5" t="n">
        <v>0</v>
      </c>
      <c r="L657" s="5" t="n">
        <v>0</v>
      </c>
      <c r="M657" s="5" t="n">
        <v>0</v>
      </c>
      <c r="N657" s="5" t="n">
        <v>0</v>
      </c>
      <c r="O657" s="5" t="n">
        <v>0</v>
      </c>
      <c r="P657" s="5" t="n">
        <v>0</v>
      </c>
      <c r="Q657" s="5" t="n">
        <v>0</v>
      </c>
      <c r="R657" s="5" t="n">
        <v>1</v>
      </c>
      <c r="S657" s="5" t="n">
        <v>0</v>
      </c>
      <c r="T657" s="5" t="n">
        <v>0</v>
      </c>
      <c r="U657" s="5" t="inlineStr">
        <is>
          <t>testing</t>
        </is>
      </c>
      <c r="V657" s="5" t="n">
        <v>0</v>
      </c>
    </row>
    <row r="658">
      <c r="A658" s="5" t="n">
        <v>654</v>
      </c>
      <c r="B658" s="5" t="n">
        <v>1</v>
      </c>
      <c r="C658" s="6" t="n">
        <v>1.286513816310289</v>
      </c>
      <c r="D658" s="6" t="n">
        <v>1.691837873856719</v>
      </c>
      <c r="E658" s="6" t="n">
        <v>0.5618457137091294</v>
      </c>
      <c r="F658" s="6" t="n">
        <v>-0.8850484360866833</v>
      </c>
      <c r="G658" s="5" t="n">
        <v>0</v>
      </c>
      <c r="H658" s="5" t="n">
        <v>1</v>
      </c>
      <c r="I658" s="5" t="n">
        <v>0</v>
      </c>
      <c r="J658" s="5" t="n">
        <v>0</v>
      </c>
      <c r="K658" s="5" t="n">
        <v>1</v>
      </c>
      <c r="L658" s="5" t="n">
        <v>0</v>
      </c>
      <c r="M658" s="5" t="n">
        <v>1</v>
      </c>
      <c r="N658" s="5" t="n">
        <v>0</v>
      </c>
      <c r="O658" s="5" t="n">
        <v>0</v>
      </c>
      <c r="P658" s="5" t="n">
        <v>0</v>
      </c>
      <c r="Q658" s="5" t="n">
        <v>0</v>
      </c>
      <c r="R658" s="5" t="n">
        <v>1</v>
      </c>
      <c r="S658" s="5" t="n">
        <v>0</v>
      </c>
      <c r="T658" s="5" t="n">
        <v>0</v>
      </c>
      <c r="U658" s="5" t="inlineStr">
        <is>
          <t>training</t>
        </is>
      </c>
      <c r="V658" s="5" t="n">
        <v>1</v>
      </c>
    </row>
    <row r="659">
      <c r="A659" s="5" t="n">
        <v>655</v>
      </c>
      <c r="B659" s="5" t="n">
        <v>0</v>
      </c>
      <c r="C659" s="6" t="n">
        <v>0.275406400796963</v>
      </c>
      <c r="D659" s="6" t="n">
        <v>-0.3165464639457171</v>
      </c>
      <c r="E659" s="6" t="n">
        <v>-0.04696543117692405</v>
      </c>
      <c r="F659" s="6" t="n">
        <v>0.9185437189662378</v>
      </c>
      <c r="G659" s="5" t="n">
        <v>0</v>
      </c>
      <c r="H659" s="5" t="n">
        <v>0</v>
      </c>
      <c r="I659" s="5" t="n">
        <v>0</v>
      </c>
      <c r="J659" s="5" t="n">
        <v>1</v>
      </c>
      <c r="K659" s="5" t="n">
        <v>0</v>
      </c>
      <c r="L659" s="5" t="n">
        <v>0</v>
      </c>
      <c r="M659" s="5" t="n">
        <v>0</v>
      </c>
      <c r="N659" s="5" t="n">
        <v>0</v>
      </c>
      <c r="O659" s="5" t="n">
        <v>0</v>
      </c>
      <c r="P659" s="5" t="n">
        <v>0</v>
      </c>
      <c r="Q659" s="5" t="n">
        <v>0</v>
      </c>
      <c r="R659" s="5" t="n">
        <v>1</v>
      </c>
      <c r="S659" s="5" t="n">
        <v>0</v>
      </c>
      <c r="T659" s="5" t="n">
        <v>0</v>
      </c>
      <c r="U659" s="5" t="inlineStr">
        <is>
          <t>testing</t>
        </is>
      </c>
      <c r="V659" s="5" t="n">
        <v>0</v>
      </c>
    </row>
    <row r="660">
      <c r="A660" s="5" t="n">
        <v>656</v>
      </c>
      <c r="B660" s="5" t="n">
        <v>0</v>
      </c>
      <c r="C660" s="6" t="n">
        <v>-0.5671831121308089</v>
      </c>
      <c r="D660" s="6" t="n">
        <v>0.2527290269261582</v>
      </c>
      <c r="E660" s="6" t="n">
        <v>-1.177614700251023</v>
      </c>
      <c r="F660" s="6" t="n">
        <v>-1.786844513613144</v>
      </c>
      <c r="G660" s="5" t="n">
        <v>1</v>
      </c>
      <c r="H660" s="5" t="n">
        <v>0</v>
      </c>
      <c r="I660" s="5" t="n">
        <v>0</v>
      </c>
      <c r="J660" s="5" t="n">
        <v>0</v>
      </c>
      <c r="K660" s="5" t="n">
        <v>0</v>
      </c>
      <c r="L660" s="5" t="n">
        <v>0</v>
      </c>
      <c r="M660" s="5" t="n">
        <v>0</v>
      </c>
      <c r="N660" s="5" t="n">
        <v>0</v>
      </c>
      <c r="O660" s="5" t="n">
        <v>0</v>
      </c>
      <c r="P660" s="5" t="n">
        <v>0</v>
      </c>
      <c r="Q660" s="5" t="n">
        <v>1</v>
      </c>
      <c r="R660" s="5" t="n">
        <v>1</v>
      </c>
      <c r="S660" s="5" t="n">
        <v>0</v>
      </c>
      <c r="T660" s="5" t="n">
        <v>0</v>
      </c>
      <c r="U660" s="5" t="inlineStr">
        <is>
          <t>training</t>
        </is>
      </c>
      <c r="V660" s="5" t="n">
        <v>1</v>
      </c>
    </row>
    <row r="661">
      <c r="A661" s="5" t="n">
        <v>657</v>
      </c>
      <c r="B661" s="5" t="n">
        <v>1</v>
      </c>
      <c r="C661" s="6" t="n">
        <v>-0.7357010147163632</v>
      </c>
      <c r="D661" s="6" t="n">
        <v>-0.826690081457207</v>
      </c>
      <c r="E661" s="6" t="n">
        <v>0.4748726930111218</v>
      </c>
      <c r="F661" s="6" t="n">
        <v>0.9185437189662378</v>
      </c>
      <c r="G661" s="5" t="n">
        <v>0</v>
      </c>
      <c r="H661" s="5" t="n">
        <v>1</v>
      </c>
      <c r="I661" s="5" t="n">
        <v>0</v>
      </c>
      <c r="J661" s="5" t="n">
        <v>0</v>
      </c>
      <c r="K661" s="5" t="n">
        <v>0</v>
      </c>
      <c r="L661" s="5" t="n">
        <v>0</v>
      </c>
      <c r="M661" s="5" t="n">
        <v>0</v>
      </c>
      <c r="N661" s="5" t="n">
        <v>0</v>
      </c>
      <c r="O661" s="5" t="n">
        <v>0</v>
      </c>
      <c r="P661" s="5" t="n">
        <v>0</v>
      </c>
      <c r="Q661" s="5" t="n">
        <v>0</v>
      </c>
      <c r="R661" s="5" t="n">
        <v>1</v>
      </c>
      <c r="S661" s="5" t="n">
        <v>0</v>
      </c>
      <c r="T661" s="5" t="n">
        <v>0</v>
      </c>
      <c r="U661" s="5" t="inlineStr">
        <is>
          <t>testing</t>
        </is>
      </c>
      <c r="V661" s="5" t="n">
        <v>0</v>
      </c>
    </row>
    <row r="662">
      <c r="A662" s="5" t="n">
        <v>658</v>
      </c>
      <c r="B662" s="5" t="n">
        <v>0</v>
      </c>
      <c r="C662" s="6" t="n">
        <v>2.297621231823615</v>
      </c>
      <c r="D662" s="6" t="n">
        <v>2.439208770293305</v>
      </c>
      <c r="E662" s="6" t="n">
        <v>0.1269806102190912</v>
      </c>
      <c r="F662" s="6" t="n">
        <v>0.9185437189662378</v>
      </c>
      <c r="G662" s="5" t="n">
        <v>0</v>
      </c>
      <c r="H662" s="5" t="n">
        <v>0</v>
      </c>
      <c r="I662" s="5" t="n">
        <v>0</v>
      </c>
      <c r="J662" s="5" t="n">
        <v>0</v>
      </c>
      <c r="K662" s="5" t="n">
        <v>0</v>
      </c>
      <c r="L662" s="5" t="n">
        <v>0</v>
      </c>
      <c r="M662" s="5" t="n">
        <v>0</v>
      </c>
      <c r="N662" s="5" t="n">
        <v>0</v>
      </c>
      <c r="O662" s="5" t="n">
        <v>1</v>
      </c>
      <c r="P662" s="5" t="n">
        <v>0</v>
      </c>
      <c r="Q662" s="5" t="n">
        <v>0</v>
      </c>
      <c r="R662" s="5" t="n">
        <v>0</v>
      </c>
      <c r="S662" s="5" t="n">
        <v>1</v>
      </c>
      <c r="T662" s="5" t="n">
        <v>0</v>
      </c>
      <c r="U662" s="5" t="inlineStr">
        <is>
          <t>training</t>
        </is>
      </c>
      <c r="V662" s="5" t="n">
        <v>1</v>
      </c>
    </row>
    <row r="663">
      <c r="A663" s="5" t="n">
        <v>659</v>
      </c>
      <c r="B663" s="5" t="n">
        <v>0</v>
      </c>
      <c r="C663" s="6" t="n">
        <v>0.7809601085536261</v>
      </c>
      <c r="D663" s="6" t="n">
        <v>0.3395024268869603</v>
      </c>
      <c r="E663" s="6" t="n">
        <v>-0.6557765760629775</v>
      </c>
      <c r="F663" s="6" t="n">
        <v>-0.8850484360866833</v>
      </c>
      <c r="G663" s="5" t="n">
        <v>0</v>
      </c>
      <c r="H663" s="5" t="n">
        <v>1</v>
      </c>
      <c r="I663" s="5" t="n">
        <v>0</v>
      </c>
      <c r="J663" s="5" t="n">
        <v>0</v>
      </c>
      <c r="K663" s="5" t="n">
        <v>0</v>
      </c>
      <c r="L663" s="5" t="n">
        <v>1</v>
      </c>
      <c r="M663" s="5" t="n">
        <v>0</v>
      </c>
      <c r="N663" s="5" t="n">
        <v>0</v>
      </c>
      <c r="O663" s="5" t="n">
        <v>0</v>
      </c>
      <c r="P663" s="5" t="n">
        <v>0</v>
      </c>
      <c r="Q663" s="5" t="n">
        <v>0</v>
      </c>
      <c r="R663" s="5" t="n">
        <v>0</v>
      </c>
      <c r="S663" s="5" t="n">
        <v>0</v>
      </c>
      <c r="T663" s="5" t="n">
        <v>0</v>
      </c>
      <c r="U663" s="5" t="inlineStr">
        <is>
          <t>training</t>
        </is>
      </c>
      <c r="V663" s="5" t="n">
        <v>0</v>
      </c>
    </row>
    <row r="664">
      <c r="A664" s="5" t="n">
        <v>660</v>
      </c>
      <c r="B664" s="5" t="n">
        <v>0</v>
      </c>
      <c r="C664" s="6" t="n">
        <v>-0.2301473069597001</v>
      </c>
      <c r="D664" s="6" t="n">
        <v>1.088272894290656</v>
      </c>
      <c r="E664" s="6" t="n">
        <v>0.4748726930111218</v>
      </c>
      <c r="F664" s="6" t="n">
        <v>-0.8850484360866833</v>
      </c>
      <c r="G664" s="5" t="n">
        <v>0</v>
      </c>
      <c r="H664" s="5" t="n">
        <v>1</v>
      </c>
      <c r="I664" s="5" t="n">
        <v>0</v>
      </c>
      <c r="J664" s="5" t="n">
        <v>1</v>
      </c>
      <c r="K664" s="5" t="n">
        <v>0</v>
      </c>
      <c r="L664" s="5" t="n">
        <v>0</v>
      </c>
      <c r="M664" s="5" t="n">
        <v>0</v>
      </c>
      <c r="N664" s="5" t="n">
        <v>0</v>
      </c>
      <c r="O664" s="5" t="n">
        <v>0</v>
      </c>
      <c r="P664" s="5" t="n">
        <v>0</v>
      </c>
      <c r="Q664" s="5" t="n">
        <v>0</v>
      </c>
      <c r="R664" s="5" t="n">
        <v>0</v>
      </c>
      <c r="S664" s="5" t="n">
        <v>0</v>
      </c>
      <c r="T664" s="5" t="n">
        <v>1</v>
      </c>
      <c r="U664" s="5" t="inlineStr">
        <is>
          <t>training</t>
        </is>
      </c>
      <c r="V664" s="5" t="n">
        <v>0</v>
      </c>
    </row>
    <row r="665">
      <c r="A665" s="5" t="n">
        <v>661</v>
      </c>
      <c r="B665" s="5" t="n">
        <v>0</v>
      </c>
      <c r="C665" s="6" t="n">
        <v>-0.7357010147163632</v>
      </c>
      <c r="D665" s="6" t="n">
        <v>-0.683583950070239</v>
      </c>
      <c r="E665" s="6" t="n">
        <v>-1.090641679553016</v>
      </c>
      <c r="F665" s="6" t="n">
        <v>0.01674764143977723</v>
      </c>
      <c r="G665" s="5" t="n">
        <v>0</v>
      </c>
      <c r="H665" s="5" t="n">
        <v>0</v>
      </c>
      <c r="I665" s="5" t="n">
        <v>1</v>
      </c>
      <c r="J665" s="5" t="n">
        <v>0</v>
      </c>
      <c r="K665" s="5" t="n">
        <v>0</v>
      </c>
      <c r="L665" s="5" t="n">
        <v>0</v>
      </c>
      <c r="M665" s="5" t="n">
        <v>0</v>
      </c>
      <c r="N665" s="5" t="n">
        <v>0</v>
      </c>
      <c r="O665" s="5" t="n">
        <v>0</v>
      </c>
      <c r="P665" s="5" t="n">
        <v>1</v>
      </c>
      <c r="Q665" s="5" t="n">
        <v>0</v>
      </c>
      <c r="R665" s="5" t="n">
        <v>0</v>
      </c>
      <c r="S665" s="5" t="n">
        <v>1</v>
      </c>
      <c r="T665" s="5" t="n">
        <v>0</v>
      </c>
      <c r="U665" s="5" t="inlineStr">
        <is>
          <t>testing</t>
        </is>
      </c>
      <c r="V665" s="5" t="n">
        <v>0</v>
      </c>
    </row>
    <row r="666">
      <c r="A666" s="5" t="n">
        <v>662</v>
      </c>
      <c r="B666" s="5" t="n">
        <v>1</v>
      </c>
      <c r="C666" s="6" t="n">
        <v>-0.7357010147163632</v>
      </c>
      <c r="D666" s="6" t="n">
        <v>-0.8224913685558779</v>
      </c>
      <c r="E666" s="6" t="n">
        <v>-1.090641679553016</v>
      </c>
      <c r="F666" s="6" t="n">
        <v>0.9185437189662378</v>
      </c>
      <c r="G666" s="5" t="n">
        <v>1</v>
      </c>
      <c r="H666" s="5" t="n">
        <v>0</v>
      </c>
      <c r="I666" s="5" t="n">
        <v>0</v>
      </c>
      <c r="J666" s="5" t="n">
        <v>0</v>
      </c>
      <c r="K666" s="5" t="n">
        <v>0</v>
      </c>
      <c r="L666" s="5" t="n">
        <v>0</v>
      </c>
      <c r="M666" s="5" t="n">
        <v>0</v>
      </c>
      <c r="N666" s="5" t="n">
        <v>0</v>
      </c>
      <c r="O666" s="5" t="n">
        <v>1</v>
      </c>
      <c r="P666" s="5" t="n">
        <v>0</v>
      </c>
      <c r="Q666" s="5" t="n">
        <v>0</v>
      </c>
      <c r="R666" s="5" t="n">
        <v>1</v>
      </c>
      <c r="S666" s="5" t="n">
        <v>0</v>
      </c>
      <c r="T666" s="5" t="n">
        <v>0</v>
      </c>
      <c r="U666" s="5" t="inlineStr">
        <is>
          <t>training</t>
        </is>
      </c>
      <c r="V666" s="5" t="n">
        <v>1</v>
      </c>
    </row>
    <row r="667">
      <c r="A667" s="5" t="n">
        <v>663</v>
      </c>
      <c r="B667" s="5" t="n">
        <v>0</v>
      </c>
      <c r="C667" s="6" t="n">
        <v>0.02262954691863145</v>
      </c>
      <c r="D667" s="6" t="n">
        <v>-0.353285201832347</v>
      </c>
      <c r="E667" s="6" t="n">
        <v>1.257629879293191</v>
      </c>
      <c r="F667" s="6" t="n">
        <v>0.9185437189662378</v>
      </c>
      <c r="G667" s="5" t="n">
        <v>0</v>
      </c>
      <c r="H667" s="5" t="n">
        <v>0</v>
      </c>
      <c r="I667" s="5" t="n">
        <v>0</v>
      </c>
      <c r="J667" s="5" t="n">
        <v>0</v>
      </c>
      <c r="K667" s="5" t="n">
        <v>0</v>
      </c>
      <c r="L667" s="5" t="n">
        <v>0</v>
      </c>
      <c r="M667" s="5" t="n">
        <v>0</v>
      </c>
      <c r="N667" s="5" t="n">
        <v>0</v>
      </c>
      <c r="O667" s="5" t="n">
        <v>0</v>
      </c>
      <c r="P667" s="5" t="n">
        <v>0</v>
      </c>
      <c r="Q667" s="5" t="n">
        <v>0</v>
      </c>
      <c r="R667" s="5" t="n">
        <v>0</v>
      </c>
      <c r="S667" s="5" t="n">
        <v>0</v>
      </c>
      <c r="T667" s="5" t="n">
        <v>1</v>
      </c>
      <c r="U667" s="5" t="inlineStr">
        <is>
          <t>testing</t>
        </is>
      </c>
      <c r="V667" s="5" t="n">
        <v>0</v>
      </c>
    </row>
    <row r="668">
      <c r="A668" s="5" t="n">
        <v>664</v>
      </c>
      <c r="B668" s="5" t="n">
        <v>0</v>
      </c>
      <c r="C668" s="6" t="n">
        <v>-1.241254722473026</v>
      </c>
      <c r="D668" s="6" t="n">
        <v>-0.7700074572892637</v>
      </c>
      <c r="E668" s="6" t="n">
        <v>-0.04696543117692405</v>
      </c>
      <c r="F668" s="6" t="n">
        <v>0.9185437189662378</v>
      </c>
      <c r="G668" s="5" t="n">
        <v>0</v>
      </c>
      <c r="H668" s="5" t="n">
        <v>1</v>
      </c>
      <c r="I668" s="5" t="n">
        <v>0</v>
      </c>
      <c r="J668" s="5" t="n">
        <v>0</v>
      </c>
      <c r="K668" s="5" t="n">
        <v>1</v>
      </c>
      <c r="L668" s="5" t="n">
        <v>0</v>
      </c>
      <c r="M668" s="5" t="n">
        <v>0</v>
      </c>
      <c r="N668" s="5" t="n">
        <v>0</v>
      </c>
      <c r="O668" s="5" t="n">
        <v>0</v>
      </c>
      <c r="P668" s="5" t="n">
        <v>0</v>
      </c>
      <c r="Q668" s="5" t="n">
        <v>0</v>
      </c>
      <c r="R668" s="5" t="n">
        <v>0</v>
      </c>
      <c r="S668" s="5" t="n">
        <v>0</v>
      </c>
      <c r="T668" s="5" t="n">
        <v>1</v>
      </c>
      <c r="U668" s="5" t="inlineStr">
        <is>
          <t>training</t>
        </is>
      </c>
      <c r="V668" s="5" t="n">
        <v>0</v>
      </c>
    </row>
    <row r="669">
      <c r="A669" s="5" t="n">
        <v>665</v>
      </c>
      <c r="B669" s="5" t="n">
        <v>0</v>
      </c>
      <c r="C669" s="6" t="n">
        <v>-1.241254722473026</v>
      </c>
      <c r="D669" s="6" t="n">
        <v>-0.771057135514596</v>
      </c>
      <c r="E669" s="6" t="n">
        <v>1.257629879293191</v>
      </c>
      <c r="F669" s="6" t="n">
        <v>-0.8850484360866833</v>
      </c>
      <c r="G669" s="5" t="n">
        <v>0</v>
      </c>
      <c r="H669" s="5" t="n">
        <v>0</v>
      </c>
      <c r="I669" s="5" t="n">
        <v>1</v>
      </c>
      <c r="J669" s="5" t="n">
        <v>1</v>
      </c>
      <c r="K669" s="5" t="n">
        <v>0</v>
      </c>
      <c r="L669" s="5" t="n">
        <v>0</v>
      </c>
      <c r="M669" s="5" t="n">
        <v>0</v>
      </c>
      <c r="N669" s="5" t="n">
        <v>0</v>
      </c>
      <c r="O669" s="5" t="n">
        <v>0</v>
      </c>
      <c r="P669" s="5" t="n">
        <v>0</v>
      </c>
      <c r="Q669" s="5" t="n">
        <v>0</v>
      </c>
      <c r="R669" s="5" t="n">
        <v>0</v>
      </c>
      <c r="S669" s="5" t="n">
        <v>0</v>
      </c>
      <c r="T669" s="5" t="n">
        <v>0</v>
      </c>
      <c r="U669" s="5" t="inlineStr">
        <is>
          <t>testing</t>
        </is>
      </c>
      <c r="V669" s="5" t="n">
        <v>0</v>
      </c>
    </row>
    <row r="670">
      <c r="A670" s="5" t="n">
        <v>666</v>
      </c>
      <c r="B670" s="5" t="n">
        <v>0</v>
      </c>
      <c r="C670" s="6" t="n">
        <v>0.275406400796963</v>
      </c>
      <c r="D670" s="6" t="n">
        <v>1.071827935427117</v>
      </c>
      <c r="E670" s="6" t="n">
        <v>-0.7427495967609852</v>
      </c>
      <c r="F670" s="6" t="n">
        <v>0.9185437189662378</v>
      </c>
      <c r="G670" s="5" t="n">
        <v>0</v>
      </c>
      <c r="H670" s="5" t="n">
        <v>0</v>
      </c>
      <c r="I670" s="5" t="n">
        <v>0</v>
      </c>
      <c r="J670" s="5" t="n">
        <v>1</v>
      </c>
      <c r="K670" s="5" t="n">
        <v>0</v>
      </c>
      <c r="L670" s="5" t="n">
        <v>0</v>
      </c>
      <c r="M670" s="5" t="n">
        <v>0</v>
      </c>
      <c r="N670" s="5" t="n">
        <v>0</v>
      </c>
      <c r="O670" s="5" t="n">
        <v>0</v>
      </c>
      <c r="P670" s="5" t="n">
        <v>0</v>
      </c>
      <c r="Q670" s="5" t="n">
        <v>0</v>
      </c>
      <c r="R670" s="5" t="n">
        <v>0</v>
      </c>
      <c r="S670" s="5" t="n">
        <v>0</v>
      </c>
      <c r="T670" s="5" t="n">
        <v>0</v>
      </c>
      <c r="U670" s="5" t="inlineStr">
        <is>
          <t>training</t>
        </is>
      </c>
      <c r="V670" s="5" t="n">
        <v>0</v>
      </c>
    </row>
    <row r="671">
      <c r="A671" s="5" t="n">
        <v>667</v>
      </c>
      <c r="B671" s="5" t="n">
        <v>0</v>
      </c>
      <c r="C671" s="6" t="n">
        <v>0.7809601085536261</v>
      </c>
      <c r="D671" s="6" t="n">
        <v>0.08583018909832506</v>
      </c>
      <c r="E671" s="6" t="n">
        <v>-0.1339384518749317</v>
      </c>
      <c r="F671" s="6" t="n">
        <v>0.9185437189662378</v>
      </c>
      <c r="G671" s="5" t="n">
        <v>0</v>
      </c>
      <c r="H671" s="5" t="n">
        <v>1</v>
      </c>
      <c r="I671" s="5" t="n">
        <v>0</v>
      </c>
      <c r="J671" s="5" t="n">
        <v>0</v>
      </c>
      <c r="K671" s="5" t="n">
        <v>0</v>
      </c>
      <c r="L671" s="5" t="n">
        <v>1</v>
      </c>
      <c r="M671" s="5" t="n">
        <v>0</v>
      </c>
      <c r="N671" s="5" t="n">
        <v>1</v>
      </c>
      <c r="O671" s="5" t="n">
        <v>0</v>
      </c>
      <c r="P671" s="5" t="n">
        <v>0</v>
      </c>
      <c r="Q671" s="5" t="n">
        <v>0</v>
      </c>
      <c r="R671" s="5" t="n">
        <v>0</v>
      </c>
      <c r="S671" s="5" t="n">
        <v>0</v>
      </c>
      <c r="T671" s="5" t="n">
        <v>1</v>
      </c>
      <c r="U671" s="5" t="inlineStr">
        <is>
          <t>testing</t>
        </is>
      </c>
      <c r="V671" s="5" t="n">
        <v>0</v>
      </c>
    </row>
    <row r="672">
      <c r="A672" s="5" t="n">
        <v>668</v>
      </c>
      <c r="B672" s="5" t="n">
        <v>0</v>
      </c>
      <c r="C672" s="6" t="n">
        <v>2.297621231823615</v>
      </c>
      <c r="D672" s="6" t="n">
        <v>0.1253680689191744</v>
      </c>
      <c r="E672" s="6" t="n">
        <v>-0.7427495967609852</v>
      </c>
      <c r="F672" s="6" t="n">
        <v>-1.786844513613144</v>
      </c>
      <c r="G672" s="5" t="n">
        <v>0</v>
      </c>
      <c r="H672" s="5" t="n">
        <v>0</v>
      </c>
      <c r="I672" s="5" t="n">
        <v>0</v>
      </c>
      <c r="J672" s="5" t="n">
        <v>0</v>
      </c>
      <c r="K672" s="5" t="n">
        <v>0</v>
      </c>
      <c r="L672" s="5" t="n">
        <v>1</v>
      </c>
      <c r="M672" s="5" t="n">
        <v>0</v>
      </c>
      <c r="N672" s="5" t="n">
        <v>0</v>
      </c>
      <c r="O672" s="5" t="n">
        <v>0</v>
      </c>
      <c r="P672" s="5" t="n">
        <v>0</v>
      </c>
      <c r="Q672" s="5" t="n">
        <v>0</v>
      </c>
      <c r="R672" s="5" t="n">
        <v>0</v>
      </c>
      <c r="S672" s="5" t="n">
        <v>0</v>
      </c>
      <c r="T672" s="5" t="n">
        <v>0</v>
      </c>
      <c r="U672" s="5" t="inlineStr">
        <is>
          <t>training</t>
        </is>
      </c>
      <c r="V672" s="5" t="n">
        <v>1</v>
      </c>
    </row>
    <row r="673">
      <c r="A673" s="5" t="n">
        <v>669</v>
      </c>
      <c r="B673" s="5" t="n">
        <v>1</v>
      </c>
      <c r="C673" s="6" t="n">
        <v>-0.7357010147163632</v>
      </c>
      <c r="D673" s="6" t="n">
        <v>0.5571357122725205</v>
      </c>
      <c r="E673" s="6" t="n">
        <v>0.648818734407137</v>
      </c>
      <c r="F673" s="6" t="n">
        <v>0.01674764143977723</v>
      </c>
      <c r="G673" s="5" t="n">
        <v>1</v>
      </c>
      <c r="H673" s="5" t="n">
        <v>0</v>
      </c>
      <c r="I673" s="5" t="n">
        <v>0</v>
      </c>
      <c r="J673" s="5" t="n">
        <v>1</v>
      </c>
      <c r="K673" s="5" t="n">
        <v>0</v>
      </c>
      <c r="L673" s="5" t="n">
        <v>0</v>
      </c>
      <c r="M673" s="5" t="n">
        <v>0</v>
      </c>
      <c r="N673" s="5" t="n">
        <v>0</v>
      </c>
      <c r="O673" s="5" t="n">
        <v>0</v>
      </c>
      <c r="P673" s="5" t="n">
        <v>1</v>
      </c>
      <c r="Q673" s="5" t="n">
        <v>0</v>
      </c>
      <c r="R673" s="5" t="n">
        <v>1</v>
      </c>
      <c r="S673" s="5" t="n">
        <v>0</v>
      </c>
      <c r="T673" s="5" t="n">
        <v>0</v>
      </c>
      <c r="U673" s="5" t="inlineStr">
        <is>
          <t>testing</t>
        </is>
      </c>
      <c r="V673" s="5" t="n">
        <v>0</v>
      </c>
    </row>
    <row r="674">
      <c r="A674" s="5" t="n">
        <v>670</v>
      </c>
      <c r="B674" s="5" t="n">
        <v>0</v>
      </c>
      <c r="C674" s="6" t="n">
        <v>0.7809601085536261</v>
      </c>
      <c r="D674" s="6" t="n">
        <v>-0.08176843421306293</v>
      </c>
      <c r="E674" s="6" t="n">
        <v>0.9967108171991675</v>
      </c>
      <c r="F674" s="6" t="n">
        <v>0.9185437189662378</v>
      </c>
      <c r="G674" s="5" t="n">
        <v>0</v>
      </c>
      <c r="H674" s="5" t="n">
        <v>0</v>
      </c>
      <c r="I674" s="5" t="n">
        <v>1</v>
      </c>
      <c r="J674" s="5" t="n">
        <v>1</v>
      </c>
      <c r="K674" s="5" t="n">
        <v>0</v>
      </c>
      <c r="L674" s="5" t="n">
        <v>0</v>
      </c>
      <c r="M674" s="5" t="n">
        <v>0</v>
      </c>
      <c r="N674" s="5" t="n">
        <v>0</v>
      </c>
      <c r="O674" s="5" t="n">
        <v>0</v>
      </c>
      <c r="P674" s="5" t="n">
        <v>0</v>
      </c>
      <c r="Q674" s="5" t="n">
        <v>0</v>
      </c>
      <c r="R674" s="5" t="n">
        <v>0</v>
      </c>
      <c r="S674" s="5" t="n">
        <v>1</v>
      </c>
      <c r="T674" s="5" t="n">
        <v>0</v>
      </c>
      <c r="U674" s="5" t="inlineStr">
        <is>
          <t>testing</t>
        </is>
      </c>
      <c r="V674" s="5" t="n">
        <v>0</v>
      </c>
    </row>
    <row r="675">
      <c r="A675" s="5" t="n">
        <v>671</v>
      </c>
      <c r="B675" s="5" t="n">
        <v>0</v>
      </c>
      <c r="C675" s="6" t="n">
        <v>0.275406400796963</v>
      </c>
      <c r="D675" s="6" t="n">
        <v>0.3108112220612112</v>
      </c>
      <c r="E675" s="6" t="n">
        <v>-0.7427495967609852</v>
      </c>
      <c r="F675" s="6" t="n">
        <v>0.01674764143977723</v>
      </c>
      <c r="G675" s="5" t="n">
        <v>0</v>
      </c>
      <c r="H675" s="5" t="n">
        <v>0</v>
      </c>
      <c r="I675" s="5" t="n">
        <v>0</v>
      </c>
      <c r="J675" s="5" t="n">
        <v>1</v>
      </c>
      <c r="K675" s="5" t="n">
        <v>0</v>
      </c>
      <c r="L675" s="5" t="n">
        <v>0</v>
      </c>
      <c r="M675" s="5" t="n">
        <v>1</v>
      </c>
      <c r="N675" s="5" t="n">
        <v>0</v>
      </c>
      <c r="O675" s="5" t="n">
        <v>0</v>
      </c>
      <c r="P675" s="5" t="n">
        <v>0</v>
      </c>
      <c r="Q675" s="5" t="n">
        <v>0</v>
      </c>
      <c r="R675" s="5" t="n">
        <v>0</v>
      </c>
      <c r="S675" s="5" t="n">
        <v>0</v>
      </c>
      <c r="T675" s="5" t="n">
        <v>0</v>
      </c>
      <c r="U675" s="5" t="inlineStr">
        <is>
          <t>training</t>
        </is>
      </c>
      <c r="V675" s="5" t="n">
        <v>1</v>
      </c>
    </row>
    <row r="676">
      <c r="A676" s="5" t="n">
        <v>672</v>
      </c>
      <c r="B676" s="5" t="n">
        <v>0</v>
      </c>
      <c r="C676" s="6" t="n">
        <v>1.286513816310289</v>
      </c>
      <c r="D676" s="6" t="n">
        <v>0.8716892871304283</v>
      </c>
      <c r="E676" s="6" t="n">
        <v>-0.3948575139689546</v>
      </c>
      <c r="F676" s="6" t="n">
        <v>-0.8850484360866833</v>
      </c>
      <c r="G676" s="5" t="n">
        <v>0</v>
      </c>
      <c r="H676" s="5" t="n">
        <v>0</v>
      </c>
      <c r="I676" s="5" t="n">
        <v>0</v>
      </c>
      <c r="J676" s="5" t="n">
        <v>0</v>
      </c>
      <c r="K676" s="5" t="n">
        <v>0</v>
      </c>
      <c r="L676" s="5" t="n">
        <v>0</v>
      </c>
      <c r="M676" s="5" t="n">
        <v>1</v>
      </c>
      <c r="N676" s="5" t="n">
        <v>0</v>
      </c>
      <c r="O676" s="5" t="n">
        <v>0</v>
      </c>
      <c r="P676" s="5" t="n">
        <v>0</v>
      </c>
      <c r="Q676" s="5" t="n">
        <v>0</v>
      </c>
      <c r="R676" s="5" t="n">
        <v>0</v>
      </c>
      <c r="S676" s="5" t="n">
        <v>0</v>
      </c>
      <c r="T676" s="5" t="n">
        <v>0</v>
      </c>
      <c r="U676" s="5" t="inlineStr">
        <is>
          <t>training</t>
        </is>
      </c>
      <c r="V676" s="5" t="n">
        <v>1</v>
      </c>
    </row>
    <row r="677">
      <c r="A677" s="5" t="n">
        <v>673</v>
      </c>
      <c r="B677" s="5" t="n">
        <v>0</v>
      </c>
      <c r="C677" s="6" t="n">
        <v>3.308728647336942</v>
      </c>
      <c r="D677" s="6" t="n">
        <v>2.489593325109255</v>
      </c>
      <c r="E677" s="6" t="n">
        <v>0.5618457137091294</v>
      </c>
      <c r="F677" s="6" t="n">
        <v>-0.8850484360866833</v>
      </c>
      <c r="G677" s="5" t="n">
        <v>0</v>
      </c>
      <c r="H677" s="5" t="n">
        <v>0</v>
      </c>
      <c r="I677" s="5" t="n">
        <v>0</v>
      </c>
      <c r="J677" s="5" t="n">
        <v>0</v>
      </c>
      <c r="K677" s="5" t="n">
        <v>0</v>
      </c>
      <c r="L677" s="5" t="n">
        <v>0</v>
      </c>
      <c r="M677" s="5" t="n">
        <v>0</v>
      </c>
      <c r="N677" s="5" t="n">
        <v>0</v>
      </c>
      <c r="O677" s="5" t="n">
        <v>0</v>
      </c>
      <c r="P677" s="5" t="n">
        <v>0</v>
      </c>
      <c r="Q677" s="5" t="n">
        <v>0</v>
      </c>
      <c r="R677" s="5" t="n">
        <v>1</v>
      </c>
      <c r="S677" s="5" t="n">
        <v>0</v>
      </c>
      <c r="T677" s="5" t="n">
        <v>0</v>
      </c>
      <c r="U677" s="5" t="inlineStr">
        <is>
          <t>training</t>
        </is>
      </c>
      <c r="V677" s="5" t="n">
        <v>1</v>
      </c>
    </row>
    <row r="678">
      <c r="A678" s="5" t="n">
        <v>674</v>
      </c>
      <c r="B678" s="5" t="n">
        <v>0</v>
      </c>
      <c r="C678" s="6" t="n">
        <v>-1.241254722473026</v>
      </c>
      <c r="D678" s="6" t="n">
        <v>-0.4096179332585129</v>
      </c>
      <c r="E678" s="6" t="n">
        <v>-1.003668658855008</v>
      </c>
      <c r="F678" s="6" t="n">
        <v>-1.786844513613144</v>
      </c>
      <c r="G678" s="5" t="n">
        <v>0</v>
      </c>
      <c r="H678" s="5" t="n">
        <v>0</v>
      </c>
      <c r="I678" s="5" t="n">
        <v>0</v>
      </c>
      <c r="J678" s="5" t="n">
        <v>1</v>
      </c>
      <c r="K678" s="5" t="n">
        <v>0</v>
      </c>
      <c r="L678" s="5" t="n">
        <v>0</v>
      </c>
      <c r="M678" s="5" t="n">
        <v>1</v>
      </c>
      <c r="N678" s="5" t="n">
        <v>0</v>
      </c>
      <c r="O678" s="5" t="n">
        <v>0</v>
      </c>
      <c r="P678" s="5" t="n">
        <v>0</v>
      </c>
      <c r="Q678" s="5" t="n">
        <v>0</v>
      </c>
      <c r="R678" s="5" t="n">
        <v>1</v>
      </c>
      <c r="S678" s="5" t="n">
        <v>0</v>
      </c>
      <c r="T678" s="5" t="n">
        <v>0</v>
      </c>
      <c r="U678" s="5" t="inlineStr">
        <is>
          <t>training</t>
        </is>
      </c>
      <c r="V678" s="5" t="n">
        <v>0</v>
      </c>
    </row>
    <row r="679">
      <c r="A679" s="5" t="n">
        <v>675</v>
      </c>
      <c r="B679" s="5" t="n">
        <v>1</v>
      </c>
      <c r="C679" s="6" t="n">
        <v>0.02262954691863145</v>
      </c>
      <c r="D679" s="6" t="n">
        <v>-0.2346715623697989</v>
      </c>
      <c r="E679" s="6" t="n">
        <v>0.4748726930111218</v>
      </c>
      <c r="F679" s="6" t="n">
        <v>0.9185437189662378</v>
      </c>
      <c r="G679" s="5" t="n">
        <v>0</v>
      </c>
      <c r="H679" s="5" t="n">
        <v>0</v>
      </c>
      <c r="I679" s="5" t="n">
        <v>0</v>
      </c>
      <c r="J679" s="5" t="n">
        <v>0</v>
      </c>
      <c r="K679" s="5" t="n">
        <v>1</v>
      </c>
      <c r="L679" s="5" t="n">
        <v>0</v>
      </c>
      <c r="M679" s="5" t="n">
        <v>1</v>
      </c>
      <c r="N679" s="5" t="n">
        <v>0</v>
      </c>
      <c r="O679" s="5" t="n">
        <v>0</v>
      </c>
      <c r="P679" s="5" t="n">
        <v>0</v>
      </c>
      <c r="Q679" s="5" t="n">
        <v>0</v>
      </c>
      <c r="R679" s="5" t="n">
        <v>0</v>
      </c>
      <c r="S679" s="5" t="n">
        <v>0</v>
      </c>
      <c r="T679" s="5" t="n">
        <v>0</v>
      </c>
      <c r="U679" s="5" t="inlineStr">
        <is>
          <t>training</t>
        </is>
      </c>
      <c r="V679" s="5" t="n">
        <v>1</v>
      </c>
    </row>
    <row r="680">
      <c r="A680" s="5" t="n">
        <v>676</v>
      </c>
      <c r="B680" s="5" t="n">
        <v>0</v>
      </c>
      <c r="C680" s="6" t="n">
        <v>0.7809601085536261</v>
      </c>
      <c r="D680" s="6" t="n">
        <v>0.4476192840961856</v>
      </c>
      <c r="E680" s="6" t="n">
        <v>-0.8297226174589928</v>
      </c>
      <c r="F680" s="6" t="n">
        <v>0.9185437189662378</v>
      </c>
      <c r="G680" s="5" t="n">
        <v>0</v>
      </c>
      <c r="H680" s="5" t="n">
        <v>0</v>
      </c>
      <c r="I680" s="5" t="n">
        <v>0</v>
      </c>
      <c r="J680" s="5" t="n">
        <v>1</v>
      </c>
      <c r="K680" s="5" t="n">
        <v>0</v>
      </c>
      <c r="L680" s="5" t="n">
        <v>0</v>
      </c>
      <c r="M680" s="5" t="n">
        <v>0</v>
      </c>
      <c r="N680" s="5" t="n">
        <v>0</v>
      </c>
      <c r="O680" s="5" t="n">
        <v>0</v>
      </c>
      <c r="P680" s="5" t="n">
        <v>1</v>
      </c>
      <c r="Q680" s="5" t="n">
        <v>0</v>
      </c>
      <c r="R680" s="5" t="n">
        <v>0</v>
      </c>
      <c r="S680" s="5" t="n">
        <v>1</v>
      </c>
      <c r="T680" s="5" t="n">
        <v>0</v>
      </c>
      <c r="U680" s="5" t="inlineStr">
        <is>
          <t>training</t>
        </is>
      </c>
      <c r="V680" s="5" t="n">
        <v>0</v>
      </c>
    </row>
    <row r="681">
      <c r="A681" s="5" t="n">
        <v>677</v>
      </c>
      <c r="B681" s="5" t="n">
        <v>0</v>
      </c>
      <c r="C681" s="6" t="n">
        <v>0.275406400796963</v>
      </c>
      <c r="D681" s="6" t="n">
        <v>0.6645527839981908</v>
      </c>
      <c r="E681" s="6" t="n">
        <v>-0.2209114725729393</v>
      </c>
      <c r="F681" s="6" t="n">
        <v>0.9185437189662378</v>
      </c>
      <c r="G681" s="5" t="n">
        <v>0</v>
      </c>
      <c r="H681" s="5" t="n">
        <v>0</v>
      </c>
      <c r="I681" s="5" t="n">
        <v>0</v>
      </c>
      <c r="J681" s="5" t="n">
        <v>1</v>
      </c>
      <c r="K681" s="5" t="n">
        <v>0</v>
      </c>
      <c r="L681" s="5" t="n">
        <v>0</v>
      </c>
      <c r="M681" s="5" t="n">
        <v>0</v>
      </c>
      <c r="N681" s="5" t="n">
        <v>0</v>
      </c>
      <c r="O681" s="5" t="n">
        <v>0</v>
      </c>
      <c r="P681" s="5" t="n">
        <v>0</v>
      </c>
      <c r="Q681" s="5" t="n">
        <v>0</v>
      </c>
      <c r="R681" s="5" t="n">
        <v>0</v>
      </c>
      <c r="S681" s="5" t="n">
        <v>0</v>
      </c>
      <c r="T681" s="5" t="n">
        <v>1</v>
      </c>
      <c r="U681" s="5" t="inlineStr">
        <is>
          <t>training</t>
        </is>
      </c>
      <c r="V681" s="5" t="n">
        <v>1</v>
      </c>
    </row>
    <row r="682">
      <c r="A682" s="5" t="n">
        <v>678</v>
      </c>
      <c r="B682" s="5" t="n">
        <v>1</v>
      </c>
      <c r="C682" s="6" t="n">
        <v>4.319836062850268</v>
      </c>
      <c r="D682" s="6" t="n">
        <v>0.8202550540891463</v>
      </c>
      <c r="E682" s="6" t="n">
        <v>-1.003668658855008</v>
      </c>
      <c r="F682" s="6" t="n">
        <v>-0.8850484360866833</v>
      </c>
      <c r="G682" s="5" t="n">
        <v>0</v>
      </c>
      <c r="H682" s="5" t="n">
        <v>1</v>
      </c>
      <c r="I682" s="5" t="n">
        <v>0</v>
      </c>
      <c r="J682" s="5" t="n">
        <v>0</v>
      </c>
      <c r="K682" s="5" t="n">
        <v>0</v>
      </c>
      <c r="L682" s="5" t="n">
        <v>0</v>
      </c>
      <c r="M682" s="5" t="n">
        <v>1</v>
      </c>
      <c r="N682" s="5" t="n">
        <v>0</v>
      </c>
      <c r="O682" s="5" t="n">
        <v>0</v>
      </c>
      <c r="P682" s="5" t="n">
        <v>0</v>
      </c>
      <c r="Q682" s="5" t="n">
        <v>0</v>
      </c>
      <c r="R682" s="5" t="n">
        <v>0</v>
      </c>
      <c r="S682" s="5" t="n">
        <v>1</v>
      </c>
      <c r="T682" s="5" t="n">
        <v>0</v>
      </c>
      <c r="U682" s="5" t="inlineStr">
        <is>
          <t>testing</t>
        </is>
      </c>
      <c r="V682" s="5" t="n">
        <v>0</v>
      </c>
    </row>
    <row r="683">
      <c r="A683" s="5" t="n">
        <v>679</v>
      </c>
      <c r="B683" s="5" t="n">
        <v>0</v>
      </c>
      <c r="C683" s="6" t="n">
        <v>0.275406400796963</v>
      </c>
      <c r="D683" s="6" t="n">
        <v>-0.3032505397581748</v>
      </c>
      <c r="E683" s="6" t="n">
        <v>2.475252169065298</v>
      </c>
      <c r="F683" s="6" t="n">
        <v>0.9185437189662378</v>
      </c>
      <c r="G683" s="5" t="n">
        <v>1</v>
      </c>
      <c r="H683" s="5" t="n">
        <v>0</v>
      </c>
      <c r="I683" s="5" t="n">
        <v>0</v>
      </c>
      <c r="J683" s="5" t="n">
        <v>0</v>
      </c>
      <c r="K683" s="5" t="n">
        <v>0</v>
      </c>
      <c r="L683" s="5" t="n">
        <v>0</v>
      </c>
      <c r="M683" s="5" t="n">
        <v>0</v>
      </c>
      <c r="N683" s="5" t="n">
        <v>0</v>
      </c>
      <c r="O683" s="5" t="n">
        <v>0</v>
      </c>
      <c r="P683" s="5" t="n">
        <v>1</v>
      </c>
      <c r="Q683" s="5" t="n">
        <v>0</v>
      </c>
      <c r="R683" s="5" t="n">
        <v>0</v>
      </c>
      <c r="S683" s="5" t="n">
        <v>1</v>
      </c>
      <c r="T683" s="5" t="n">
        <v>0</v>
      </c>
      <c r="U683" s="5" t="inlineStr">
        <is>
          <t>testing</t>
        </is>
      </c>
      <c r="V683" s="5" t="n">
        <v>0</v>
      </c>
    </row>
    <row r="684">
      <c r="A684" s="5" t="n">
        <v>680</v>
      </c>
      <c r="B684" s="5" t="n">
        <v>0</v>
      </c>
      <c r="C684" s="6" t="n">
        <v>-0.2301473069597001</v>
      </c>
      <c r="D684" s="6" t="n">
        <v>-0.6290006823529602</v>
      </c>
      <c r="E684" s="6" t="n">
        <v>-0.8297226174589928</v>
      </c>
      <c r="F684" s="6" t="n">
        <v>0.01674764143977723</v>
      </c>
      <c r="G684" s="5" t="n">
        <v>0</v>
      </c>
      <c r="H684" s="5" t="n">
        <v>0</v>
      </c>
      <c r="I684" s="5" t="n">
        <v>0</v>
      </c>
      <c r="J684" s="5" t="n">
        <v>0</v>
      </c>
      <c r="K684" s="5" t="n">
        <v>0</v>
      </c>
      <c r="L684" s="5" t="n">
        <v>0</v>
      </c>
      <c r="M684" s="5" t="n">
        <v>0</v>
      </c>
      <c r="N684" s="5" t="n">
        <v>0</v>
      </c>
      <c r="O684" s="5" t="n">
        <v>0</v>
      </c>
      <c r="P684" s="5" t="n">
        <v>0</v>
      </c>
      <c r="Q684" s="5" t="n">
        <v>0</v>
      </c>
      <c r="R684" s="5" t="n">
        <v>0</v>
      </c>
      <c r="S684" s="5" t="n">
        <v>1</v>
      </c>
      <c r="T684" s="5" t="n">
        <v>0</v>
      </c>
      <c r="U684" s="5" t="inlineStr">
        <is>
          <t>training</t>
        </is>
      </c>
      <c r="V684" s="5" t="n">
        <v>1</v>
      </c>
    </row>
    <row r="685">
      <c r="A685" s="5" t="n">
        <v>681</v>
      </c>
      <c r="B685" s="5" t="n">
        <v>0</v>
      </c>
      <c r="C685" s="6" t="n">
        <v>-1.241254722473026</v>
      </c>
      <c r="D685" s="6" t="n">
        <v>-0.5992597993018789</v>
      </c>
      <c r="E685" s="6" t="n">
        <v>1.779468003481236</v>
      </c>
      <c r="F685" s="6" t="n">
        <v>-1.786844513613144</v>
      </c>
      <c r="G685" s="5" t="n">
        <v>0</v>
      </c>
      <c r="H685" s="5" t="n">
        <v>0</v>
      </c>
      <c r="I685" s="5" t="n">
        <v>0</v>
      </c>
      <c r="J685" s="5" t="n">
        <v>0</v>
      </c>
      <c r="K685" s="5" t="n">
        <v>0</v>
      </c>
      <c r="L685" s="5" t="n">
        <v>0</v>
      </c>
      <c r="M685" s="5" t="n">
        <v>0</v>
      </c>
      <c r="N685" s="5" t="n">
        <v>0</v>
      </c>
      <c r="O685" s="5" t="n">
        <v>0</v>
      </c>
      <c r="P685" s="5" t="n">
        <v>0</v>
      </c>
      <c r="Q685" s="5" t="n">
        <v>0</v>
      </c>
      <c r="R685" s="5" t="n">
        <v>0</v>
      </c>
      <c r="S685" s="5" t="n">
        <v>0</v>
      </c>
      <c r="T685" s="5" t="n">
        <v>0</v>
      </c>
      <c r="U685" s="5" t="inlineStr">
        <is>
          <t>training</t>
        </is>
      </c>
      <c r="V685" s="5" t="n">
        <v>0</v>
      </c>
    </row>
    <row r="686">
      <c r="A686" s="5" t="n">
        <v>682</v>
      </c>
      <c r="B686" s="5" t="n">
        <v>0</v>
      </c>
      <c r="C686" s="6" t="n">
        <v>-0.7357010147163632</v>
      </c>
      <c r="D686" s="6" t="n">
        <v>-0.3399892776448047</v>
      </c>
      <c r="E686" s="6" t="n">
        <v>0.1269806102190912</v>
      </c>
      <c r="F686" s="6" t="n">
        <v>0.9185437189662378</v>
      </c>
      <c r="G686" s="5" t="n">
        <v>0</v>
      </c>
      <c r="H686" s="5" t="n">
        <v>0</v>
      </c>
      <c r="I686" s="5" t="n">
        <v>0</v>
      </c>
      <c r="J686" s="5" t="n">
        <v>0</v>
      </c>
      <c r="K686" s="5" t="n">
        <v>0</v>
      </c>
      <c r="L686" s="5" t="n">
        <v>0</v>
      </c>
      <c r="M686" s="5" t="n">
        <v>0</v>
      </c>
      <c r="N686" s="5" t="n">
        <v>0</v>
      </c>
      <c r="O686" s="5" t="n">
        <v>1</v>
      </c>
      <c r="P686" s="5" t="n">
        <v>0</v>
      </c>
      <c r="Q686" s="5" t="n">
        <v>1</v>
      </c>
      <c r="R686" s="5" t="n">
        <v>0</v>
      </c>
      <c r="S686" s="5" t="n">
        <v>1</v>
      </c>
      <c r="T686" s="5" t="n">
        <v>0</v>
      </c>
      <c r="U686" s="5" t="inlineStr">
        <is>
          <t>training</t>
        </is>
      </c>
      <c r="V686" s="5" t="n">
        <v>1</v>
      </c>
    </row>
    <row r="687">
      <c r="A687" s="5" t="n">
        <v>683</v>
      </c>
      <c r="B687" s="5" t="n">
        <v>0</v>
      </c>
      <c r="C687" s="6" t="n">
        <v>-0.4829241608380317</v>
      </c>
      <c r="D687" s="6" t="n">
        <v>-0.6202533638085246</v>
      </c>
      <c r="E687" s="6" t="n">
        <v>-0.2209114725729393</v>
      </c>
      <c r="F687" s="6" t="n">
        <v>0.9185437189662378</v>
      </c>
      <c r="G687" s="5" t="n">
        <v>0</v>
      </c>
      <c r="H687" s="5" t="n">
        <v>0</v>
      </c>
      <c r="I687" s="5" t="n">
        <v>0</v>
      </c>
      <c r="J687" s="5" t="n">
        <v>0</v>
      </c>
      <c r="K687" s="5" t="n">
        <v>1</v>
      </c>
      <c r="L687" s="5" t="n">
        <v>0</v>
      </c>
      <c r="M687" s="5" t="n">
        <v>0</v>
      </c>
      <c r="N687" s="5" t="n">
        <v>0</v>
      </c>
      <c r="O687" s="5" t="n">
        <v>0</v>
      </c>
      <c r="P687" s="5" t="n">
        <v>0</v>
      </c>
      <c r="Q687" s="5" t="n">
        <v>0</v>
      </c>
      <c r="R687" s="5" t="n">
        <v>0</v>
      </c>
      <c r="S687" s="5" t="n">
        <v>1</v>
      </c>
      <c r="T687" s="5" t="n">
        <v>0</v>
      </c>
      <c r="U687" s="5" t="inlineStr">
        <is>
          <t>testing</t>
        </is>
      </c>
      <c r="V687" s="5" t="n">
        <v>0</v>
      </c>
    </row>
    <row r="688">
      <c r="A688" s="5" t="n">
        <v>684</v>
      </c>
      <c r="B688" s="5" t="n">
        <v>0</v>
      </c>
      <c r="C688" s="6" t="n">
        <v>0.275406400796963</v>
      </c>
      <c r="D688" s="6" t="n">
        <v>0.6481078251346518</v>
      </c>
      <c r="E688" s="6" t="n">
        <v>0.9967108171991675</v>
      </c>
      <c r="F688" s="6" t="n">
        <v>0.01674764143977723</v>
      </c>
      <c r="G688" s="5" t="n">
        <v>0</v>
      </c>
      <c r="H688" s="5" t="n">
        <v>0</v>
      </c>
      <c r="I688" s="5" t="n">
        <v>0</v>
      </c>
      <c r="J688" s="5" t="n">
        <v>1</v>
      </c>
      <c r="K688" s="5" t="n">
        <v>0</v>
      </c>
      <c r="L688" s="5" t="n">
        <v>0</v>
      </c>
      <c r="M688" s="5" t="n">
        <v>0</v>
      </c>
      <c r="N688" s="5" t="n">
        <v>0</v>
      </c>
      <c r="O688" s="5" t="n">
        <v>0</v>
      </c>
      <c r="P688" s="5" t="n">
        <v>0</v>
      </c>
      <c r="Q688" s="5" t="n">
        <v>1</v>
      </c>
      <c r="R688" s="5" t="n">
        <v>0</v>
      </c>
      <c r="S688" s="5" t="n">
        <v>1</v>
      </c>
      <c r="T688" s="5" t="n">
        <v>0</v>
      </c>
      <c r="U688" s="5" t="inlineStr">
        <is>
          <t>training</t>
        </is>
      </c>
      <c r="V688" s="5" t="n">
        <v>0</v>
      </c>
    </row>
    <row r="689">
      <c r="A689" s="5" t="n">
        <v>685</v>
      </c>
      <c r="B689" s="5" t="n">
        <v>0</v>
      </c>
      <c r="C689" s="6" t="n">
        <v>1.286513816310289</v>
      </c>
      <c r="D689" s="6" t="n">
        <v>2.311497919544544</v>
      </c>
      <c r="E689" s="6" t="n">
        <v>-0.3948575139689546</v>
      </c>
      <c r="F689" s="6" t="n">
        <v>-1.786844513613144</v>
      </c>
      <c r="G689" s="5" t="n">
        <v>0</v>
      </c>
      <c r="H689" s="5" t="n">
        <v>1</v>
      </c>
      <c r="I689" s="5" t="n">
        <v>0</v>
      </c>
      <c r="J689" s="5" t="n">
        <v>0</v>
      </c>
      <c r="K689" s="5" t="n">
        <v>1</v>
      </c>
      <c r="L689" s="5" t="n">
        <v>0</v>
      </c>
      <c r="M689" s="5" t="n">
        <v>1</v>
      </c>
      <c r="N689" s="5" t="n">
        <v>0</v>
      </c>
      <c r="O689" s="5" t="n">
        <v>0</v>
      </c>
      <c r="P689" s="5" t="n">
        <v>0</v>
      </c>
      <c r="Q689" s="5" t="n">
        <v>0</v>
      </c>
      <c r="R689" s="5" t="n">
        <v>0</v>
      </c>
      <c r="S689" s="5" t="n">
        <v>0</v>
      </c>
      <c r="T689" s="5" t="n">
        <v>0</v>
      </c>
      <c r="U689" s="5" t="inlineStr">
        <is>
          <t>training</t>
        </is>
      </c>
      <c r="V689" s="5" t="n">
        <v>0</v>
      </c>
    </row>
    <row r="690">
      <c r="A690" s="5" t="n">
        <v>686</v>
      </c>
      <c r="B690" s="5" t="n">
        <v>0</v>
      </c>
      <c r="C690" s="6" t="n">
        <v>3.308728647336942</v>
      </c>
      <c r="D690" s="6" t="n">
        <v>1.146355089425709</v>
      </c>
      <c r="E690" s="6" t="n">
        <v>-0.1339384518749317</v>
      </c>
      <c r="F690" s="6" t="n">
        <v>0.9185437189662378</v>
      </c>
      <c r="G690" s="5" t="n">
        <v>0</v>
      </c>
      <c r="H690" s="5" t="n">
        <v>0</v>
      </c>
      <c r="I690" s="5" t="n">
        <v>0</v>
      </c>
      <c r="J690" s="5" t="n">
        <v>0</v>
      </c>
      <c r="K690" s="5" t="n">
        <v>0</v>
      </c>
      <c r="L690" s="5" t="n">
        <v>0</v>
      </c>
      <c r="M690" s="5" t="n">
        <v>0</v>
      </c>
      <c r="N690" s="5" t="n">
        <v>0</v>
      </c>
      <c r="O690" s="5" t="n">
        <v>1</v>
      </c>
      <c r="P690" s="5" t="n">
        <v>0</v>
      </c>
      <c r="Q690" s="5" t="n">
        <v>1</v>
      </c>
      <c r="R690" s="5" t="n">
        <v>1</v>
      </c>
      <c r="S690" s="5" t="n">
        <v>0</v>
      </c>
      <c r="T690" s="5" t="n">
        <v>0</v>
      </c>
      <c r="U690" s="5" t="inlineStr">
        <is>
          <t>testing</t>
        </is>
      </c>
      <c r="V690" s="5" t="n">
        <v>0</v>
      </c>
    </row>
    <row r="691">
      <c r="A691" s="5" t="n">
        <v>687</v>
      </c>
      <c r="B691" s="5" t="n">
        <v>0</v>
      </c>
      <c r="C691" s="6" t="n">
        <v>-0.9042189173019176</v>
      </c>
      <c r="D691" s="6" t="n">
        <v>-0.6660893129813676</v>
      </c>
      <c r="E691" s="6" t="n">
        <v>-0.7427495967609852</v>
      </c>
      <c r="F691" s="6" t="n">
        <v>0.9185437189662378</v>
      </c>
      <c r="G691" s="5" t="n">
        <v>0</v>
      </c>
      <c r="H691" s="5" t="n">
        <v>0</v>
      </c>
      <c r="I691" s="5" t="n">
        <v>1</v>
      </c>
      <c r="J691" s="5" t="n">
        <v>1</v>
      </c>
      <c r="K691" s="5" t="n">
        <v>0</v>
      </c>
      <c r="L691" s="5" t="n">
        <v>0</v>
      </c>
      <c r="M691" s="5" t="n">
        <v>0</v>
      </c>
      <c r="N691" s="5" t="n">
        <v>0</v>
      </c>
      <c r="O691" s="5" t="n">
        <v>1</v>
      </c>
      <c r="P691" s="5" t="n">
        <v>0</v>
      </c>
      <c r="Q691" s="5" t="n">
        <v>0</v>
      </c>
      <c r="R691" s="5" t="n">
        <v>0</v>
      </c>
      <c r="S691" s="5" t="n">
        <v>1</v>
      </c>
      <c r="T691" s="5" t="n">
        <v>0</v>
      </c>
      <c r="U691" s="5" t="inlineStr">
        <is>
          <t>training</t>
        </is>
      </c>
      <c r="V691" s="5" t="n">
        <v>0</v>
      </c>
    </row>
    <row r="692">
      <c r="A692" s="5" t="n">
        <v>688</v>
      </c>
      <c r="B692" s="5" t="n">
        <v>0</v>
      </c>
      <c r="C692" s="6" t="n">
        <v>1.286513816310289</v>
      </c>
      <c r="D692" s="6" t="n">
        <v>-0.1360018091885643</v>
      </c>
      <c r="E692" s="6" t="n">
        <v>-0.4818305346669622</v>
      </c>
      <c r="F692" s="6" t="n">
        <v>0.9185437189662378</v>
      </c>
      <c r="G692" s="5" t="n">
        <v>0</v>
      </c>
      <c r="H692" s="5" t="n">
        <v>1</v>
      </c>
      <c r="I692" s="5" t="n">
        <v>0</v>
      </c>
      <c r="J692" s="5" t="n">
        <v>0</v>
      </c>
      <c r="K692" s="5" t="n">
        <v>1</v>
      </c>
      <c r="L692" s="5" t="n">
        <v>0</v>
      </c>
      <c r="M692" s="5" t="n">
        <v>1</v>
      </c>
      <c r="N692" s="5" t="n">
        <v>0</v>
      </c>
      <c r="O692" s="5" t="n">
        <v>0</v>
      </c>
      <c r="P692" s="5" t="n">
        <v>0</v>
      </c>
      <c r="Q692" s="5" t="n">
        <v>1</v>
      </c>
      <c r="R692" s="5" t="n">
        <v>1</v>
      </c>
      <c r="S692" s="5" t="n">
        <v>0</v>
      </c>
      <c r="T692" s="5" t="n">
        <v>0</v>
      </c>
      <c r="U692" s="5" t="inlineStr">
        <is>
          <t>testing</t>
        </is>
      </c>
      <c r="V692" s="5" t="n">
        <v>0</v>
      </c>
    </row>
    <row r="693">
      <c r="A693" s="5" t="n">
        <v>689</v>
      </c>
      <c r="B693" s="5" t="n">
        <v>0</v>
      </c>
      <c r="C693" s="6" t="n">
        <v>-0.9884778685946948</v>
      </c>
      <c r="D693" s="6" t="n">
        <v>-0.1741401180423039</v>
      </c>
      <c r="E693" s="6" t="n">
        <v>-0.04696543117692405</v>
      </c>
      <c r="F693" s="6" t="n">
        <v>0.01674764143977723</v>
      </c>
      <c r="G693" s="5" t="n">
        <v>0</v>
      </c>
      <c r="H693" s="5" t="n">
        <v>0</v>
      </c>
      <c r="I693" s="5" t="n">
        <v>0</v>
      </c>
      <c r="J693" s="5" t="n">
        <v>0</v>
      </c>
      <c r="K693" s="5" t="n">
        <v>0</v>
      </c>
      <c r="L693" s="5" t="n">
        <v>0</v>
      </c>
      <c r="M693" s="5" t="n">
        <v>1</v>
      </c>
      <c r="N693" s="5" t="n">
        <v>0</v>
      </c>
      <c r="O693" s="5" t="n">
        <v>0</v>
      </c>
      <c r="P693" s="5" t="n">
        <v>0</v>
      </c>
      <c r="Q693" s="5" t="n">
        <v>0</v>
      </c>
      <c r="R693" s="5" t="n">
        <v>0</v>
      </c>
      <c r="S693" s="5" t="n">
        <v>1</v>
      </c>
      <c r="T693" s="5" t="n">
        <v>0</v>
      </c>
      <c r="U693" s="5" t="inlineStr">
        <is>
          <t>training</t>
        </is>
      </c>
      <c r="V693" s="5" t="n">
        <v>1</v>
      </c>
    </row>
    <row r="694">
      <c r="A694" s="5" t="n">
        <v>690</v>
      </c>
      <c r="B694" s="5" t="n">
        <v>0</v>
      </c>
      <c r="C694" s="6" t="n">
        <v>-0.7357010147163632</v>
      </c>
      <c r="D694" s="6" t="n">
        <v>0.1400635640738264</v>
      </c>
      <c r="E694" s="6" t="n">
        <v>-0.3948575139689546</v>
      </c>
      <c r="F694" s="6" t="n">
        <v>-1.786844513613144</v>
      </c>
      <c r="G694" s="5" t="n">
        <v>1</v>
      </c>
      <c r="H694" s="5" t="n">
        <v>0</v>
      </c>
      <c r="I694" s="5" t="n">
        <v>0</v>
      </c>
      <c r="J694" s="5" t="n">
        <v>0</v>
      </c>
      <c r="K694" s="5" t="n">
        <v>0</v>
      </c>
      <c r="L694" s="5" t="n">
        <v>0</v>
      </c>
      <c r="M694" s="5" t="n">
        <v>0</v>
      </c>
      <c r="N694" s="5" t="n">
        <v>1</v>
      </c>
      <c r="O694" s="5" t="n">
        <v>0</v>
      </c>
      <c r="P694" s="5" t="n">
        <v>0</v>
      </c>
      <c r="Q694" s="5" t="n">
        <v>0</v>
      </c>
      <c r="R694" s="5" t="n">
        <v>1</v>
      </c>
      <c r="S694" s="5" t="n">
        <v>0</v>
      </c>
      <c r="T694" s="5" t="n">
        <v>0</v>
      </c>
      <c r="U694" s="5" t="inlineStr">
        <is>
          <t>training</t>
        </is>
      </c>
      <c r="V694" s="5" t="n">
        <v>1</v>
      </c>
    </row>
    <row r="695">
      <c r="A695" s="5" t="n">
        <v>691</v>
      </c>
      <c r="B695" s="5" t="n">
        <v>0</v>
      </c>
      <c r="C695" s="6" t="n">
        <v>-0.4829241608380317</v>
      </c>
      <c r="D695" s="6" t="n">
        <v>-0.7962494129225708</v>
      </c>
      <c r="E695" s="6" t="n">
        <v>-0.9166956381570004</v>
      </c>
      <c r="F695" s="6" t="n">
        <v>-0.8850484360866833</v>
      </c>
      <c r="G695" s="5" t="n">
        <v>1</v>
      </c>
      <c r="H695" s="5" t="n">
        <v>0</v>
      </c>
      <c r="I695" s="5" t="n">
        <v>0</v>
      </c>
      <c r="J695" s="5" t="n">
        <v>1</v>
      </c>
      <c r="K695" s="5" t="n">
        <v>0</v>
      </c>
      <c r="L695" s="5" t="n">
        <v>0</v>
      </c>
      <c r="M695" s="5" t="n">
        <v>0</v>
      </c>
      <c r="N695" s="5" t="n">
        <v>0</v>
      </c>
      <c r="O695" s="5" t="n">
        <v>0</v>
      </c>
      <c r="P695" s="5" t="n">
        <v>0</v>
      </c>
      <c r="Q695" s="5" t="n">
        <v>0</v>
      </c>
      <c r="R695" s="5" t="n">
        <v>0</v>
      </c>
      <c r="S695" s="5" t="n">
        <v>0</v>
      </c>
      <c r="T695" s="5" t="n">
        <v>1</v>
      </c>
      <c r="U695" s="5" t="inlineStr">
        <is>
          <t>testing</t>
        </is>
      </c>
      <c r="V695" s="5" t="n">
        <v>0</v>
      </c>
    </row>
    <row r="696">
      <c r="A696" s="5" t="n">
        <v>692</v>
      </c>
      <c r="B696" s="5" t="n">
        <v>0</v>
      </c>
      <c r="C696" s="6" t="n">
        <v>-0.4829241608380317</v>
      </c>
      <c r="D696" s="6" t="n">
        <v>-0.2168270325391501</v>
      </c>
      <c r="E696" s="6" t="n">
        <v>-0.9166956381570004</v>
      </c>
      <c r="F696" s="6" t="n">
        <v>0.01674764143977723</v>
      </c>
      <c r="G696" s="5" t="n">
        <v>0</v>
      </c>
      <c r="H696" s="5" t="n">
        <v>1</v>
      </c>
      <c r="I696" s="5" t="n">
        <v>0</v>
      </c>
      <c r="J696" s="5" t="n">
        <v>0</v>
      </c>
      <c r="K696" s="5" t="n">
        <v>0</v>
      </c>
      <c r="L696" s="5" t="n">
        <v>0</v>
      </c>
      <c r="M696" s="5" t="n">
        <v>1</v>
      </c>
      <c r="N696" s="5" t="n">
        <v>0</v>
      </c>
      <c r="O696" s="5" t="n">
        <v>0</v>
      </c>
      <c r="P696" s="5" t="n">
        <v>0</v>
      </c>
      <c r="Q696" s="5" t="n">
        <v>0</v>
      </c>
      <c r="R696" s="5" t="n">
        <v>0</v>
      </c>
      <c r="S696" s="5" t="n">
        <v>0</v>
      </c>
      <c r="T696" s="5" t="n">
        <v>0</v>
      </c>
      <c r="U696" s="5" t="inlineStr">
        <is>
          <t>training</t>
        </is>
      </c>
      <c r="V696" s="5" t="n">
        <v>1</v>
      </c>
    </row>
    <row r="697">
      <c r="A697" s="5" t="n">
        <v>693</v>
      </c>
      <c r="B697" s="5" t="n">
        <v>0</v>
      </c>
      <c r="C697" s="6" t="n">
        <v>0.275406400796963</v>
      </c>
      <c r="D697" s="6" t="n">
        <v>-0.1241054559681317</v>
      </c>
      <c r="E697" s="6" t="n">
        <v>-0.5688035553649698</v>
      </c>
      <c r="F697" s="6" t="n">
        <v>-0.8850484360866833</v>
      </c>
      <c r="G697" s="5" t="n">
        <v>0</v>
      </c>
      <c r="H697" s="5" t="n">
        <v>1</v>
      </c>
      <c r="I697" s="5" t="n">
        <v>0</v>
      </c>
      <c r="J697" s="5" t="n">
        <v>0</v>
      </c>
      <c r="K697" s="5" t="n">
        <v>0</v>
      </c>
      <c r="L697" s="5" t="n">
        <v>0</v>
      </c>
      <c r="M697" s="5" t="n">
        <v>1</v>
      </c>
      <c r="N697" s="5" t="n">
        <v>0</v>
      </c>
      <c r="O697" s="5" t="n">
        <v>0</v>
      </c>
      <c r="P697" s="5" t="n">
        <v>0</v>
      </c>
      <c r="Q697" s="5" t="n">
        <v>0</v>
      </c>
      <c r="R697" s="5" t="n">
        <v>0</v>
      </c>
      <c r="S697" s="5" t="n">
        <v>1</v>
      </c>
      <c r="T697" s="5" t="n">
        <v>0</v>
      </c>
      <c r="U697" s="5" t="inlineStr">
        <is>
          <t>training</t>
        </is>
      </c>
      <c r="V697" s="5" t="n">
        <v>1</v>
      </c>
    </row>
    <row r="698">
      <c r="A698" s="5" t="n">
        <v>694</v>
      </c>
      <c r="B698" s="5" t="n">
        <v>0</v>
      </c>
      <c r="C698" s="6" t="n">
        <v>-1.241254722473026</v>
      </c>
      <c r="D698" s="6" t="n">
        <v>0.5126993340667871</v>
      </c>
      <c r="E698" s="6" t="n">
        <v>0.7357917551051447</v>
      </c>
      <c r="F698" s="6" t="n">
        <v>-1.786844513613144</v>
      </c>
      <c r="G698" s="5" t="n">
        <v>1</v>
      </c>
      <c r="H698" s="5" t="n">
        <v>0</v>
      </c>
      <c r="I698" s="5" t="n">
        <v>0</v>
      </c>
      <c r="J698" s="5" t="n">
        <v>1</v>
      </c>
      <c r="K698" s="5" t="n">
        <v>0</v>
      </c>
      <c r="L698" s="5" t="n">
        <v>0</v>
      </c>
      <c r="M698" s="5" t="n">
        <v>0</v>
      </c>
      <c r="N698" s="5" t="n">
        <v>0</v>
      </c>
      <c r="O698" s="5" t="n">
        <v>1</v>
      </c>
      <c r="P698" s="5" t="n">
        <v>0</v>
      </c>
      <c r="Q698" s="5" t="n">
        <v>0</v>
      </c>
      <c r="R698" s="5" t="n">
        <v>1</v>
      </c>
      <c r="S698" s="5" t="n">
        <v>0</v>
      </c>
      <c r="T698" s="5" t="n">
        <v>0</v>
      </c>
      <c r="U698" s="5" t="inlineStr">
        <is>
          <t>training</t>
        </is>
      </c>
      <c r="V698" s="5" t="n">
        <v>1</v>
      </c>
    </row>
    <row r="699">
      <c r="A699" s="5" t="n">
        <v>695</v>
      </c>
      <c r="B699" s="5" t="n">
        <v>0</v>
      </c>
      <c r="C699" s="6" t="n">
        <v>0.275406400796963</v>
      </c>
      <c r="D699" s="6" t="n">
        <v>-0.3382398139359176</v>
      </c>
      <c r="E699" s="6" t="n">
        <v>-0.6557765760629775</v>
      </c>
      <c r="F699" s="6" t="n">
        <v>0.9185437189662378</v>
      </c>
      <c r="G699" s="5" t="n">
        <v>0</v>
      </c>
      <c r="H699" s="5" t="n">
        <v>0</v>
      </c>
      <c r="I699" s="5" t="n">
        <v>0</v>
      </c>
      <c r="J699" s="5" t="n">
        <v>0</v>
      </c>
      <c r="K699" s="5" t="n">
        <v>0</v>
      </c>
      <c r="L699" s="5" t="n">
        <v>0</v>
      </c>
      <c r="M699" s="5" t="n">
        <v>0</v>
      </c>
      <c r="N699" s="5" t="n">
        <v>0</v>
      </c>
      <c r="O699" s="5" t="n">
        <v>0</v>
      </c>
      <c r="P699" s="5" t="n">
        <v>0</v>
      </c>
      <c r="Q699" s="5" t="n">
        <v>0</v>
      </c>
      <c r="R699" s="5" t="n">
        <v>0</v>
      </c>
      <c r="S699" s="5" t="n">
        <v>1</v>
      </c>
      <c r="T699" s="5" t="n">
        <v>0</v>
      </c>
      <c r="U699" s="5" t="inlineStr">
        <is>
          <t>training</t>
        </is>
      </c>
      <c r="V699" s="5" t="n">
        <v>1</v>
      </c>
    </row>
    <row r="700">
      <c r="A700" s="5" t="n">
        <v>696</v>
      </c>
      <c r="B700" s="5" t="n">
        <v>0</v>
      </c>
      <c r="C700" s="6" t="n">
        <v>-1.241254722473026</v>
      </c>
      <c r="D700" s="6" t="n">
        <v>-0.7049274073186621</v>
      </c>
      <c r="E700" s="6" t="n">
        <v>1.257629879293191</v>
      </c>
      <c r="F700" s="6" t="n">
        <v>-0.8850484360866833</v>
      </c>
      <c r="G700" s="5" t="n">
        <v>0</v>
      </c>
      <c r="H700" s="5" t="n">
        <v>0</v>
      </c>
      <c r="I700" s="5" t="n">
        <v>0</v>
      </c>
      <c r="J700" s="5" t="n">
        <v>0</v>
      </c>
      <c r="K700" s="5" t="n">
        <v>0</v>
      </c>
      <c r="L700" s="5" t="n">
        <v>0</v>
      </c>
      <c r="M700" s="5" t="n">
        <v>1</v>
      </c>
      <c r="N700" s="5" t="n">
        <v>0</v>
      </c>
      <c r="O700" s="5" t="n">
        <v>0</v>
      </c>
      <c r="P700" s="5" t="n">
        <v>1</v>
      </c>
      <c r="Q700" s="5" t="n">
        <v>0</v>
      </c>
      <c r="R700" s="5" t="n">
        <v>1</v>
      </c>
      <c r="S700" s="5" t="n">
        <v>0</v>
      </c>
      <c r="T700" s="5" t="n">
        <v>0</v>
      </c>
      <c r="U700" s="5" t="inlineStr">
        <is>
          <t>training</t>
        </is>
      </c>
      <c r="V700" s="5" t="n">
        <v>1</v>
      </c>
    </row>
    <row r="701">
      <c r="A701" s="5" t="n">
        <v>697</v>
      </c>
      <c r="B701" s="5" t="n">
        <v>0</v>
      </c>
      <c r="C701" s="6" t="n">
        <v>-0.7357010147163632</v>
      </c>
      <c r="D701" s="6" t="n">
        <v>-0.75146314197506</v>
      </c>
      <c r="E701" s="6" t="n">
        <v>-0.5688035553649698</v>
      </c>
      <c r="F701" s="6" t="n">
        <v>0.9185437189662378</v>
      </c>
      <c r="G701" s="5" t="n">
        <v>0</v>
      </c>
      <c r="H701" s="5" t="n">
        <v>1</v>
      </c>
      <c r="I701" s="5" t="n">
        <v>0</v>
      </c>
      <c r="J701" s="5" t="n">
        <v>0</v>
      </c>
      <c r="K701" s="5" t="n">
        <v>0</v>
      </c>
      <c r="L701" s="5" t="n">
        <v>0</v>
      </c>
      <c r="M701" s="5" t="n">
        <v>0</v>
      </c>
      <c r="N701" s="5" t="n">
        <v>0</v>
      </c>
      <c r="O701" s="5" t="n">
        <v>0</v>
      </c>
      <c r="P701" s="5" t="n">
        <v>0</v>
      </c>
      <c r="Q701" s="5" t="n">
        <v>0</v>
      </c>
      <c r="R701" s="5" t="n">
        <v>0</v>
      </c>
      <c r="S701" s="5" t="n">
        <v>1</v>
      </c>
      <c r="T701" s="5" t="n">
        <v>0</v>
      </c>
      <c r="U701" s="5" t="inlineStr">
        <is>
          <t>training</t>
        </is>
      </c>
      <c r="V701" s="5" t="n">
        <v>0</v>
      </c>
    </row>
    <row r="702">
      <c r="A702" s="5" t="n">
        <v>698</v>
      </c>
      <c r="B702" s="5" t="n">
        <v>0</v>
      </c>
      <c r="C702" s="6" t="n">
        <v>-0.7357010147163632</v>
      </c>
      <c r="D702" s="6" t="n">
        <v>-0.8133941572696648</v>
      </c>
      <c r="E702" s="6" t="n">
        <v>0.2139536309170988</v>
      </c>
      <c r="F702" s="6" t="n">
        <v>-1.786844513613144</v>
      </c>
      <c r="G702" s="5" t="n">
        <v>0</v>
      </c>
      <c r="H702" s="5" t="n">
        <v>0</v>
      </c>
      <c r="I702" s="5" t="n">
        <v>0</v>
      </c>
      <c r="J702" s="5" t="n">
        <v>1</v>
      </c>
      <c r="K702" s="5" t="n">
        <v>0</v>
      </c>
      <c r="L702" s="5" t="n">
        <v>0</v>
      </c>
      <c r="M702" s="5" t="n">
        <v>0</v>
      </c>
      <c r="N702" s="5" t="n">
        <v>0</v>
      </c>
      <c r="O702" s="5" t="n">
        <v>0</v>
      </c>
      <c r="P702" s="5" t="n">
        <v>0</v>
      </c>
      <c r="Q702" s="5" t="n">
        <v>0</v>
      </c>
      <c r="R702" s="5" t="n">
        <v>1</v>
      </c>
      <c r="S702" s="5" t="n">
        <v>0</v>
      </c>
      <c r="T702" s="5" t="n">
        <v>0</v>
      </c>
      <c r="U702" s="5" t="inlineStr">
        <is>
          <t>training</t>
        </is>
      </c>
      <c r="V702" s="5" t="n">
        <v>0</v>
      </c>
    </row>
    <row r="703">
      <c r="A703" s="5" t="n">
        <v>699</v>
      </c>
      <c r="B703" s="5" t="n">
        <v>0</v>
      </c>
      <c r="C703" s="6" t="n">
        <v>-0.2301473069597001</v>
      </c>
      <c r="D703" s="6" t="n">
        <v>-0.5075879009561928</v>
      </c>
      <c r="E703" s="6" t="n">
        <v>-1.003668658855008</v>
      </c>
      <c r="F703" s="6" t="n">
        <v>0.9185437189662378</v>
      </c>
      <c r="G703" s="5" t="n">
        <v>0</v>
      </c>
      <c r="H703" s="5" t="n">
        <v>0</v>
      </c>
      <c r="I703" s="5" t="n">
        <v>0</v>
      </c>
      <c r="J703" s="5" t="n">
        <v>1</v>
      </c>
      <c r="K703" s="5" t="n">
        <v>0</v>
      </c>
      <c r="L703" s="5" t="n">
        <v>0</v>
      </c>
      <c r="M703" s="5" t="n">
        <v>0</v>
      </c>
      <c r="N703" s="5" t="n">
        <v>0</v>
      </c>
      <c r="O703" s="5" t="n">
        <v>0</v>
      </c>
      <c r="P703" s="5" t="n">
        <v>0</v>
      </c>
      <c r="Q703" s="5" t="n">
        <v>0</v>
      </c>
      <c r="R703" s="5" t="n">
        <v>0</v>
      </c>
      <c r="S703" s="5" t="n">
        <v>1</v>
      </c>
      <c r="T703" s="5" t="n">
        <v>0</v>
      </c>
      <c r="U703" s="5" t="inlineStr">
        <is>
          <t>training</t>
        </is>
      </c>
      <c r="V703" s="5" t="n">
        <v>0</v>
      </c>
    </row>
    <row r="704">
      <c r="A704" s="5" t="n">
        <v>700</v>
      </c>
      <c r="B704" s="5" t="n">
        <v>0</v>
      </c>
      <c r="C704" s="6" t="n">
        <v>-0.4829241608380317</v>
      </c>
      <c r="D704" s="6" t="n">
        <v>-0.4708491630695628</v>
      </c>
      <c r="E704" s="6" t="n">
        <v>0.3878996723131141</v>
      </c>
      <c r="F704" s="6" t="n">
        <v>0.9185437189662378</v>
      </c>
      <c r="G704" s="5" t="n">
        <v>0</v>
      </c>
      <c r="H704" s="5" t="n">
        <v>0</v>
      </c>
      <c r="I704" s="5" t="n">
        <v>1</v>
      </c>
      <c r="J704" s="5" t="n">
        <v>0</v>
      </c>
      <c r="K704" s="5" t="n">
        <v>0</v>
      </c>
      <c r="L704" s="5" t="n">
        <v>0</v>
      </c>
      <c r="M704" s="5" t="n">
        <v>0</v>
      </c>
      <c r="N704" s="5" t="n">
        <v>0</v>
      </c>
      <c r="O704" s="5" t="n">
        <v>0</v>
      </c>
      <c r="P704" s="5" t="n">
        <v>1</v>
      </c>
      <c r="Q704" s="5" t="n">
        <v>0</v>
      </c>
      <c r="R704" s="5" t="n">
        <v>0</v>
      </c>
      <c r="S704" s="5" t="n">
        <v>0</v>
      </c>
      <c r="T704" s="5" t="n">
        <v>0</v>
      </c>
      <c r="U704" s="5" t="inlineStr">
        <is>
          <t>testing</t>
        </is>
      </c>
      <c r="V704" s="5" t="n">
        <v>0</v>
      </c>
    </row>
    <row r="705">
      <c r="A705" s="5" t="n">
        <v>701</v>
      </c>
      <c r="B705" s="5" t="n">
        <v>1</v>
      </c>
      <c r="C705" s="6" t="n">
        <v>-0.7357010147163632</v>
      </c>
      <c r="D705" s="6" t="n">
        <v>-0.7444652871395114</v>
      </c>
      <c r="E705" s="6" t="n">
        <v>-0.5688035553649698</v>
      </c>
      <c r="F705" s="6" t="n">
        <v>0.9185437189662378</v>
      </c>
      <c r="G705" s="5" t="n">
        <v>0</v>
      </c>
      <c r="H705" s="5" t="n">
        <v>0</v>
      </c>
      <c r="I705" s="5" t="n">
        <v>0</v>
      </c>
      <c r="J705" s="5" t="n">
        <v>0</v>
      </c>
      <c r="K705" s="5" t="n">
        <v>0</v>
      </c>
      <c r="L705" s="5" t="n">
        <v>0</v>
      </c>
      <c r="M705" s="5" t="n">
        <v>1</v>
      </c>
      <c r="N705" s="5" t="n">
        <v>0</v>
      </c>
      <c r="O705" s="5" t="n">
        <v>0</v>
      </c>
      <c r="P705" s="5" t="n">
        <v>1</v>
      </c>
      <c r="Q705" s="5" t="n">
        <v>0</v>
      </c>
      <c r="R705" s="5" t="n">
        <v>0</v>
      </c>
      <c r="S705" s="5" t="n">
        <v>0</v>
      </c>
      <c r="T705" s="5" t="n">
        <v>1</v>
      </c>
      <c r="U705" s="5" t="inlineStr">
        <is>
          <t>training</t>
        </is>
      </c>
      <c r="V705" s="5" t="n">
        <v>1</v>
      </c>
    </row>
    <row r="706">
      <c r="A706" s="5" t="n">
        <v>702</v>
      </c>
      <c r="B706" s="5" t="n">
        <v>1</v>
      </c>
      <c r="C706" s="6" t="n">
        <v>2.297621231823615</v>
      </c>
      <c r="D706" s="6" t="n">
        <v>1.077776112037333</v>
      </c>
      <c r="E706" s="6" t="n">
        <v>0.9097377965011599</v>
      </c>
      <c r="F706" s="6" t="n">
        <v>0.9185437189662378</v>
      </c>
      <c r="G706" s="5" t="n">
        <v>1</v>
      </c>
      <c r="H706" s="5" t="n">
        <v>0</v>
      </c>
      <c r="I706" s="5" t="n">
        <v>0</v>
      </c>
      <c r="J706" s="5" t="n">
        <v>1</v>
      </c>
      <c r="K706" s="5" t="n">
        <v>0</v>
      </c>
      <c r="L706" s="5" t="n">
        <v>0</v>
      </c>
      <c r="M706" s="5" t="n">
        <v>0</v>
      </c>
      <c r="N706" s="5" t="n">
        <v>0</v>
      </c>
      <c r="O706" s="5" t="n">
        <v>0</v>
      </c>
      <c r="P706" s="5" t="n">
        <v>0</v>
      </c>
      <c r="Q706" s="5" t="n">
        <v>1</v>
      </c>
      <c r="R706" s="5" t="n">
        <v>1</v>
      </c>
      <c r="S706" s="5" t="n">
        <v>0</v>
      </c>
      <c r="T706" s="5" t="n">
        <v>0</v>
      </c>
      <c r="U706" s="5" t="inlineStr">
        <is>
          <t>training</t>
        </is>
      </c>
      <c r="V706" s="5" t="n">
        <v>1</v>
      </c>
    </row>
    <row r="707">
      <c r="A707" s="5" t="n">
        <v>703</v>
      </c>
      <c r="B707" s="5" t="n">
        <v>0</v>
      </c>
      <c r="C707" s="6" t="n">
        <v>0.275406400796963</v>
      </c>
      <c r="D707" s="6" t="n">
        <v>-0.6555925307280448</v>
      </c>
      <c r="E707" s="6" t="n">
        <v>0.9967108171991675</v>
      </c>
      <c r="F707" s="6" t="n">
        <v>0.9185437189662378</v>
      </c>
      <c r="G707" s="5" t="n">
        <v>0</v>
      </c>
      <c r="H707" s="5" t="n">
        <v>0</v>
      </c>
      <c r="I707" s="5" t="n">
        <v>1</v>
      </c>
      <c r="J707" s="5" t="n">
        <v>0</v>
      </c>
      <c r="K707" s="5" t="n">
        <v>0</v>
      </c>
      <c r="L707" s="5" t="n">
        <v>0</v>
      </c>
      <c r="M707" s="5" t="n">
        <v>1</v>
      </c>
      <c r="N707" s="5" t="n">
        <v>0</v>
      </c>
      <c r="O707" s="5" t="n">
        <v>0</v>
      </c>
      <c r="P707" s="5" t="n">
        <v>0</v>
      </c>
      <c r="Q707" s="5" t="n">
        <v>1</v>
      </c>
      <c r="R707" s="5" t="n">
        <v>0</v>
      </c>
      <c r="S707" s="5" t="n">
        <v>1</v>
      </c>
      <c r="T707" s="5" t="n">
        <v>0</v>
      </c>
      <c r="U707" s="5" t="inlineStr">
        <is>
          <t>training</t>
        </is>
      </c>
      <c r="V707" s="5" t="n">
        <v>0</v>
      </c>
    </row>
    <row r="708">
      <c r="A708" s="5" t="n">
        <v>704</v>
      </c>
      <c r="B708" s="5" t="n">
        <v>0</v>
      </c>
      <c r="C708" s="6" t="n">
        <v>0.7809601085536261</v>
      </c>
      <c r="D708" s="6" t="n">
        <v>-0.2616133034866609</v>
      </c>
      <c r="E708" s="6" t="n">
        <v>0.4748726930111218</v>
      </c>
      <c r="F708" s="6" t="n">
        <v>0.9185437189662378</v>
      </c>
      <c r="G708" s="5" t="n">
        <v>0</v>
      </c>
      <c r="H708" s="5" t="n">
        <v>1</v>
      </c>
      <c r="I708" s="5" t="n">
        <v>0</v>
      </c>
      <c r="J708" s="5" t="n">
        <v>0</v>
      </c>
      <c r="K708" s="5" t="n">
        <v>1</v>
      </c>
      <c r="L708" s="5" t="n">
        <v>0</v>
      </c>
      <c r="M708" s="5" t="n">
        <v>1</v>
      </c>
      <c r="N708" s="5" t="n">
        <v>0</v>
      </c>
      <c r="O708" s="5" t="n">
        <v>0</v>
      </c>
      <c r="P708" s="5" t="n">
        <v>0</v>
      </c>
      <c r="Q708" s="5" t="n">
        <v>0</v>
      </c>
      <c r="R708" s="5" t="n">
        <v>0</v>
      </c>
      <c r="S708" s="5" t="n">
        <v>0</v>
      </c>
      <c r="T708" s="5" t="n">
        <v>0</v>
      </c>
      <c r="U708" s="5" t="inlineStr">
        <is>
          <t>training</t>
        </is>
      </c>
      <c r="V708" s="5" t="n">
        <v>0</v>
      </c>
    </row>
    <row r="709">
      <c r="A709" s="5" t="n">
        <v>705</v>
      </c>
      <c r="B709" s="5" t="n">
        <v>0</v>
      </c>
      <c r="C709" s="6" t="n">
        <v>0.5281832546752946</v>
      </c>
      <c r="D709" s="6" t="n">
        <v>-0.2528659849422252</v>
      </c>
      <c r="E709" s="6" t="n">
        <v>-0.307884493270947</v>
      </c>
      <c r="F709" s="6" t="n">
        <v>0.9185437189662378</v>
      </c>
      <c r="G709" s="5" t="n">
        <v>0</v>
      </c>
      <c r="H709" s="5" t="n">
        <v>1</v>
      </c>
      <c r="I709" s="5" t="n">
        <v>0</v>
      </c>
      <c r="J709" s="5" t="n">
        <v>0</v>
      </c>
      <c r="K709" s="5" t="n">
        <v>0</v>
      </c>
      <c r="L709" s="5" t="n">
        <v>0</v>
      </c>
      <c r="M709" s="5" t="n">
        <v>0</v>
      </c>
      <c r="N709" s="5" t="n">
        <v>0</v>
      </c>
      <c r="O709" s="5" t="n">
        <v>0</v>
      </c>
      <c r="P709" s="5" t="n">
        <v>0</v>
      </c>
      <c r="Q709" s="5" t="n">
        <v>0</v>
      </c>
      <c r="R709" s="5" t="n">
        <v>0</v>
      </c>
      <c r="S709" s="5" t="n">
        <v>0</v>
      </c>
      <c r="T709" s="5" t="n">
        <v>0</v>
      </c>
      <c r="U709" s="5" t="inlineStr">
        <is>
          <t>training</t>
        </is>
      </c>
      <c r="V709" s="5" t="n">
        <v>1</v>
      </c>
    </row>
    <row r="710">
      <c r="A710" s="5" t="n">
        <v>706</v>
      </c>
      <c r="B710" s="5" t="n">
        <v>0</v>
      </c>
      <c r="C710" s="6" t="n">
        <v>-0.4829241608380317</v>
      </c>
      <c r="D710" s="6" t="n">
        <v>0.7254341210674633</v>
      </c>
      <c r="E710" s="6" t="n">
        <v>-0.04696543117692405</v>
      </c>
      <c r="F710" s="6" t="n">
        <v>-1.786844513613144</v>
      </c>
      <c r="G710" s="5" t="n">
        <v>0</v>
      </c>
      <c r="H710" s="5" t="n">
        <v>0</v>
      </c>
      <c r="I710" s="5" t="n">
        <v>0</v>
      </c>
      <c r="J710" s="5" t="n">
        <v>0</v>
      </c>
      <c r="K710" s="5" t="n">
        <v>0</v>
      </c>
      <c r="L710" s="5" t="n">
        <v>0</v>
      </c>
      <c r="M710" s="5" t="n">
        <v>1</v>
      </c>
      <c r="N710" s="5" t="n">
        <v>0</v>
      </c>
      <c r="O710" s="5" t="n">
        <v>0</v>
      </c>
      <c r="P710" s="5" t="n">
        <v>0</v>
      </c>
      <c r="Q710" s="5" t="n">
        <v>1</v>
      </c>
      <c r="R710" s="5" t="n">
        <v>1</v>
      </c>
      <c r="S710" s="5" t="n">
        <v>0</v>
      </c>
      <c r="T710" s="5" t="n">
        <v>0</v>
      </c>
      <c r="U710" s="5" t="inlineStr">
        <is>
          <t>training</t>
        </is>
      </c>
      <c r="V710" s="5" t="n">
        <v>0</v>
      </c>
    </row>
    <row r="711">
      <c r="A711" s="5" t="n">
        <v>707</v>
      </c>
      <c r="B711" s="5" t="n">
        <v>1</v>
      </c>
      <c r="C711" s="6" t="n">
        <v>2.297621231823615</v>
      </c>
      <c r="D711" s="6" t="n">
        <v>1.157901549904364</v>
      </c>
      <c r="E711" s="6" t="n">
        <v>-1.003668658855008</v>
      </c>
      <c r="F711" s="6" t="n">
        <v>0.01674764143977723</v>
      </c>
      <c r="G711" s="5" t="n">
        <v>0</v>
      </c>
      <c r="H711" s="5" t="n">
        <v>1</v>
      </c>
      <c r="I711" s="5" t="n">
        <v>0</v>
      </c>
      <c r="J711" s="5" t="n">
        <v>0</v>
      </c>
      <c r="K711" s="5" t="n">
        <v>0</v>
      </c>
      <c r="L711" s="5" t="n">
        <v>0</v>
      </c>
      <c r="M711" s="5" t="n">
        <v>1</v>
      </c>
      <c r="N711" s="5" t="n">
        <v>0</v>
      </c>
      <c r="O711" s="5" t="n">
        <v>0</v>
      </c>
      <c r="P711" s="5" t="n">
        <v>0</v>
      </c>
      <c r="Q711" s="5" t="n">
        <v>0</v>
      </c>
      <c r="R711" s="5" t="n">
        <v>1</v>
      </c>
      <c r="S711" s="5" t="n">
        <v>0</v>
      </c>
      <c r="T711" s="5" t="n">
        <v>0</v>
      </c>
      <c r="U711" s="5" t="inlineStr">
        <is>
          <t>testing</t>
        </is>
      </c>
      <c r="V711" s="5" t="n">
        <v>0</v>
      </c>
    </row>
    <row r="712">
      <c r="A712" s="5" t="n">
        <v>708</v>
      </c>
      <c r="B712" s="5" t="n">
        <v>1</v>
      </c>
      <c r="C712" s="6" t="n">
        <v>-0.7357010147163632</v>
      </c>
      <c r="D712" s="6" t="n">
        <v>-0.09856328581837948</v>
      </c>
      <c r="E712" s="6" t="n">
        <v>-0.9166956381570004</v>
      </c>
      <c r="F712" s="6" t="n">
        <v>0.9185437189662378</v>
      </c>
      <c r="G712" s="5" t="n">
        <v>0</v>
      </c>
      <c r="H712" s="5" t="n">
        <v>1</v>
      </c>
      <c r="I712" s="5" t="n">
        <v>0</v>
      </c>
      <c r="J712" s="5" t="n">
        <v>0</v>
      </c>
      <c r="K712" s="5" t="n">
        <v>0</v>
      </c>
      <c r="L712" s="5" t="n">
        <v>1</v>
      </c>
      <c r="M712" s="5" t="n">
        <v>0</v>
      </c>
      <c r="N712" s="5" t="n">
        <v>0</v>
      </c>
      <c r="O712" s="5" t="n">
        <v>0</v>
      </c>
      <c r="P712" s="5" t="n">
        <v>1</v>
      </c>
      <c r="Q712" s="5" t="n">
        <v>0</v>
      </c>
      <c r="R712" s="5" t="n">
        <v>0</v>
      </c>
      <c r="S712" s="5" t="n">
        <v>0</v>
      </c>
      <c r="T712" s="5" t="n">
        <v>1</v>
      </c>
      <c r="U712" s="5" t="inlineStr">
        <is>
          <t>training</t>
        </is>
      </c>
      <c r="V712" s="5" t="n">
        <v>1</v>
      </c>
    </row>
    <row r="713">
      <c r="A713" s="5" t="n">
        <v>709</v>
      </c>
      <c r="B713" s="5" t="n">
        <v>0</v>
      </c>
      <c r="C713" s="6" t="n">
        <v>-0.9884778685946948</v>
      </c>
      <c r="D713" s="6" t="n">
        <v>-0.7154241895719849</v>
      </c>
      <c r="E713" s="6" t="n">
        <v>-0.9166956381570004</v>
      </c>
      <c r="F713" s="6" t="n">
        <v>0.9185437189662378</v>
      </c>
      <c r="G713" s="5" t="n">
        <v>0</v>
      </c>
      <c r="H713" s="5" t="n">
        <v>1</v>
      </c>
      <c r="I713" s="5" t="n">
        <v>0</v>
      </c>
      <c r="J713" s="5" t="n">
        <v>0</v>
      </c>
      <c r="K713" s="5" t="n">
        <v>0</v>
      </c>
      <c r="L713" s="5" t="n">
        <v>0</v>
      </c>
      <c r="M713" s="5" t="n">
        <v>0</v>
      </c>
      <c r="N713" s="5" t="n">
        <v>0</v>
      </c>
      <c r="O713" s="5" t="n">
        <v>0</v>
      </c>
      <c r="P713" s="5" t="n">
        <v>0</v>
      </c>
      <c r="Q713" s="5" t="n">
        <v>0</v>
      </c>
      <c r="R713" s="5" t="n">
        <v>0</v>
      </c>
      <c r="S713" s="5" t="n">
        <v>1</v>
      </c>
      <c r="T713" s="5" t="n">
        <v>0</v>
      </c>
      <c r="U713" s="5" t="inlineStr">
        <is>
          <t>training</t>
        </is>
      </c>
      <c r="V713" s="5" t="n">
        <v>0</v>
      </c>
    </row>
    <row r="714">
      <c r="A714" s="5" t="n">
        <v>710</v>
      </c>
      <c r="B714" s="5" t="n">
        <v>0</v>
      </c>
      <c r="C714" s="6" t="n">
        <v>-0.9884778685946948</v>
      </c>
      <c r="D714" s="6" t="n">
        <v>-0.3963220090709706</v>
      </c>
      <c r="E714" s="6" t="n">
        <v>0.1269806102190912</v>
      </c>
      <c r="F714" s="6" t="n">
        <v>-0.8850484360866833</v>
      </c>
      <c r="G714" s="5" t="n">
        <v>0</v>
      </c>
      <c r="H714" s="5" t="n">
        <v>1</v>
      </c>
      <c r="I714" s="5" t="n">
        <v>0</v>
      </c>
      <c r="J714" s="5" t="n">
        <v>0</v>
      </c>
      <c r="K714" s="5" t="n">
        <v>0</v>
      </c>
      <c r="L714" s="5" t="n">
        <v>0</v>
      </c>
      <c r="M714" s="5" t="n">
        <v>0</v>
      </c>
      <c r="N714" s="5" t="n">
        <v>0</v>
      </c>
      <c r="O714" s="5" t="n">
        <v>0</v>
      </c>
      <c r="P714" s="5" t="n">
        <v>0</v>
      </c>
      <c r="Q714" s="5" t="n">
        <v>0</v>
      </c>
      <c r="R714" s="5" t="n">
        <v>0</v>
      </c>
      <c r="S714" s="5" t="n">
        <v>1</v>
      </c>
      <c r="T714" s="5" t="n">
        <v>0</v>
      </c>
      <c r="U714" s="5" t="inlineStr">
        <is>
          <t>testing</t>
        </is>
      </c>
      <c r="V714" s="5" t="n">
        <v>0</v>
      </c>
    </row>
    <row r="715">
      <c r="A715" s="5" t="n">
        <v>711</v>
      </c>
      <c r="B715" s="5" t="n">
        <v>0</v>
      </c>
      <c r="C715" s="6" t="n">
        <v>-0.2301473069597001</v>
      </c>
      <c r="D715" s="6" t="n">
        <v>-0.9173123015775608</v>
      </c>
      <c r="E715" s="6" t="n">
        <v>-0.307884493270947</v>
      </c>
      <c r="F715" s="6" t="n">
        <v>0.9185437189662378</v>
      </c>
      <c r="G715" s="5" t="n">
        <v>0</v>
      </c>
      <c r="H715" s="5" t="n">
        <v>0</v>
      </c>
      <c r="I715" s="5" t="n">
        <v>0</v>
      </c>
      <c r="J715" s="5" t="n">
        <v>1</v>
      </c>
      <c r="K715" s="5" t="n">
        <v>0</v>
      </c>
      <c r="L715" s="5" t="n">
        <v>0</v>
      </c>
      <c r="M715" s="5" t="n">
        <v>1</v>
      </c>
      <c r="N715" s="5" t="n">
        <v>0</v>
      </c>
      <c r="O715" s="5" t="n">
        <v>0</v>
      </c>
      <c r="P715" s="5" t="n">
        <v>0</v>
      </c>
      <c r="Q715" s="5" t="n">
        <v>0</v>
      </c>
      <c r="R715" s="5" t="n">
        <v>0</v>
      </c>
      <c r="S715" s="5" t="n">
        <v>1</v>
      </c>
      <c r="T715" s="5" t="n">
        <v>0</v>
      </c>
      <c r="U715" s="5" t="inlineStr">
        <is>
          <t>training</t>
        </is>
      </c>
      <c r="V715" s="5" t="n">
        <v>0</v>
      </c>
    </row>
    <row r="716">
      <c r="A716" s="5" t="n">
        <v>712</v>
      </c>
      <c r="B716" s="5" t="n">
        <v>1</v>
      </c>
      <c r="C716" s="6" t="n">
        <v>-1.241254722473026</v>
      </c>
      <c r="D716" s="6" t="n">
        <v>-0.7182233315062043</v>
      </c>
      <c r="E716" s="6" t="n">
        <v>-0.04696543117692405</v>
      </c>
      <c r="F716" s="6" t="n">
        <v>0.9185437189662378</v>
      </c>
      <c r="G716" s="5" t="n">
        <v>1</v>
      </c>
      <c r="H716" s="5" t="n">
        <v>0</v>
      </c>
      <c r="I716" s="5" t="n">
        <v>0</v>
      </c>
      <c r="J716" s="5" t="n">
        <v>0</v>
      </c>
      <c r="K716" s="5" t="n">
        <v>0</v>
      </c>
      <c r="L716" s="5" t="n">
        <v>1</v>
      </c>
      <c r="M716" s="5" t="n">
        <v>0</v>
      </c>
      <c r="N716" s="5" t="n">
        <v>0</v>
      </c>
      <c r="O716" s="5" t="n">
        <v>0</v>
      </c>
      <c r="P716" s="5" t="n">
        <v>0</v>
      </c>
      <c r="Q716" s="5" t="n">
        <v>1</v>
      </c>
      <c r="R716" s="5" t="n">
        <v>0</v>
      </c>
      <c r="S716" s="5" t="n">
        <v>0</v>
      </c>
      <c r="T716" s="5" t="n">
        <v>0</v>
      </c>
      <c r="U716" s="5" t="inlineStr">
        <is>
          <t>training</t>
        </is>
      </c>
      <c r="V716" s="5" t="n">
        <v>1</v>
      </c>
    </row>
    <row r="717">
      <c r="A717" s="5" t="n">
        <v>713</v>
      </c>
      <c r="B717" s="5" t="n">
        <v>0</v>
      </c>
      <c r="C717" s="6" t="n">
        <v>0.02262954691863145</v>
      </c>
      <c r="D717" s="6" t="n">
        <v>-0.2710604075146514</v>
      </c>
      <c r="E717" s="6" t="n">
        <v>0.9097377965011599</v>
      </c>
      <c r="F717" s="6" t="n">
        <v>0.9185437189662378</v>
      </c>
      <c r="G717" s="5" t="n">
        <v>0</v>
      </c>
      <c r="H717" s="5" t="n">
        <v>0</v>
      </c>
      <c r="I717" s="5" t="n">
        <v>0</v>
      </c>
      <c r="J717" s="5" t="n">
        <v>0</v>
      </c>
      <c r="K717" s="5" t="n">
        <v>0</v>
      </c>
      <c r="L717" s="5" t="n">
        <v>0</v>
      </c>
      <c r="M717" s="5" t="n">
        <v>0</v>
      </c>
      <c r="N717" s="5" t="n">
        <v>0</v>
      </c>
      <c r="O717" s="5" t="n">
        <v>1</v>
      </c>
      <c r="P717" s="5" t="n">
        <v>0</v>
      </c>
      <c r="Q717" s="5" t="n">
        <v>0</v>
      </c>
      <c r="R717" s="5" t="n">
        <v>1</v>
      </c>
      <c r="S717" s="5" t="n">
        <v>0</v>
      </c>
      <c r="T717" s="5" t="n">
        <v>0</v>
      </c>
      <c r="U717" s="5" t="inlineStr">
        <is>
          <t>training</t>
        </is>
      </c>
      <c r="V717" s="5" t="n">
        <v>1</v>
      </c>
    </row>
    <row r="718">
      <c r="A718" s="5" t="n">
        <v>714</v>
      </c>
      <c r="B718" s="5" t="n">
        <v>0</v>
      </c>
      <c r="C718" s="6" t="n">
        <v>-0.9884778685946948</v>
      </c>
      <c r="D718" s="6" t="n">
        <v>-0.73921689601285</v>
      </c>
      <c r="E718" s="6" t="n">
        <v>-0.9166956381570004</v>
      </c>
      <c r="F718" s="6" t="n">
        <v>0.9185437189662378</v>
      </c>
      <c r="G718" s="5" t="n">
        <v>1</v>
      </c>
      <c r="H718" s="5" t="n">
        <v>0</v>
      </c>
      <c r="I718" s="5" t="n">
        <v>0</v>
      </c>
      <c r="J718" s="5" t="n">
        <v>1</v>
      </c>
      <c r="K718" s="5" t="n">
        <v>0</v>
      </c>
      <c r="L718" s="5" t="n">
        <v>0</v>
      </c>
      <c r="M718" s="5" t="n">
        <v>0</v>
      </c>
      <c r="N718" s="5" t="n">
        <v>0</v>
      </c>
      <c r="O718" s="5" t="n">
        <v>0</v>
      </c>
      <c r="P718" s="5" t="n">
        <v>0</v>
      </c>
      <c r="Q718" s="5" t="n">
        <v>0</v>
      </c>
      <c r="R718" s="5" t="n">
        <v>0</v>
      </c>
      <c r="S718" s="5" t="n">
        <v>1</v>
      </c>
      <c r="T718" s="5" t="n">
        <v>0</v>
      </c>
      <c r="U718" s="5" t="inlineStr">
        <is>
          <t>training</t>
        </is>
      </c>
      <c r="V718" s="5" t="n">
        <v>1</v>
      </c>
    </row>
    <row r="719">
      <c r="A719" s="5" t="n">
        <v>715</v>
      </c>
      <c r="B719" s="5" t="n">
        <v>1</v>
      </c>
      <c r="C719" s="6" t="n">
        <v>3.308728647336942</v>
      </c>
      <c r="D719" s="6" t="n">
        <v>3.770550652756419</v>
      </c>
      <c r="E719" s="6" t="n">
        <v>-0.7427495967609852</v>
      </c>
      <c r="F719" s="6" t="n">
        <v>0.9185437189662378</v>
      </c>
      <c r="G719" s="5" t="n">
        <v>0</v>
      </c>
      <c r="H719" s="5" t="n">
        <v>1</v>
      </c>
      <c r="I719" s="5" t="n">
        <v>0</v>
      </c>
      <c r="J719" s="5" t="n">
        <v>0</v>
      </c>
      <c r="K719" s="5" t="n">
        <v>0</v>
      </c>
      <c r="L719" s="5" t="n">
        <v>0</v>
      </c>
      <c r="M719" s="5" t="n">
        <v>0</v>
      </c>
      <c r="N719" s="5" t="n">
        <v>0</v>
      </c>
      <c r="O719" s="5" t="n">
        <v>0</v>
      </c>
      <c r="P719" s="5" t="n">
        <v>0</v>
      </c>
      <c r="Q719" s="5" t="n">
        <v>0</v>
      </c>
      <c r="R719" s="5" t="n">
        <v>1</v>
      </c>
      <c r="S719" s="5" t="n">
        <v>0</v>
      </c>
      <c r="T719" s="5" t="n">
        <v>0</v>
      </c>
      <c r="U719" s="5" t="inlineStr">
        <is>
          <t>testing</t>
        </is>
      </c>
      <c r="V719" s="5" t="n">
        <v>0</v>
      </c>
    </row>
    <row r="720">
      <c r="A720" s="5" t="n">
        <v>716</v>
      </c>
      <c r="B720" s="5" t="n">
        <v>0</v>
      </c>
      <c r="C720" s="6" t="n">
        <v>0.7809601085536261</v>
      </c>
      <c r="D720" s="6" t="n">
        <v>1.52039043038578</v>
      </c>
      <c r="E720" s="6" t="n">
        <v>2.38827914836729</v>
      </c>
      <c r="F720" s="6" t="n">
        <v>-1.786844513613144</v>
      </c>
      <c r="G720" s="5" t="n">
        <v>0</v>
      </c>
      <c r="H720" s="5" t="n">
        <v>0</v>
      </c>
      <c r="I720" s="5" t="n">
        <v>0</v>
      </c>
      <c r="J720" s="5" t="n">
        <v>1</v>
      </c>
      <c r="K720" s="5" t="n">
        <v>0</v>
      </c>
      <c r="L720" s="5" t="n">
        <v>0</v>
      </c>
      <c r="M720" s="5" t="n">
        <v>0</v>
      </c>
      <c r="N720" s="5" t="n">
        <v>0</v>
      </c>
      <c r="O720" s="5" t="n">
        <v>1</v>
      </c>
      <c r="P720" s="5" t="n">
        <v>0</v>
      </c>
      <c r="Q720" s="5" t="n">
        <v>0</v>
      </c>
      <c r="R720" s="5" t="n">
        <v>1</v>
      </c>
      <c r="S720" s="5" t="n">
        <v>0</v>
      </c>
      <c r="T720" s="5" t="n">
        <v>0</v>
      </c>
      <c r="U720" s="5" t="inlineStr">
        <is>
          <t>training</t>
        </is>
      </c>
      <c r="V720" s="5" t="n">
        <v>0</v>
      </c>
    </row>
    <row r="721">
      <c r="A721" s="5" t="n">
        <v>717</v>
      </c>
      <c r="B721" s="5" t="n">
        <v>0</v>
      </c>
      <c r="C721" s="6" t="n">
        <v>0.7809601085536261</v>
      </c>
      <c r="D721" s="6" t="n">
        <v>-0.06077486970641726</v>
      </c>
      <c r="E721" s="6" t="n">
        <v>0.3878996723131141</v>
      </c>
      <c r="F721" s="6" t="n">
        <v>0.01674764143977723</v>
      </c>
      <c r="G721" s="5" t="n">
        <v>0</v>
      </c>
      <c r="H721" s="5" t="n">
        <v>0</v>
      </c>
      <c r="I721" s="5" t="n">
        <v>0</v>
      </c>
      <c r="J721" s="5" t="n">
        <v>1</v>
      </c>
      <c r="K721" s="5" t="n">
        <v>0</v>
      </c>
      <c r="L721" s="5" t="n">
        <v>0</v>
      </c>
      <c r="M721" s="5" t="n">
        <v>0</v>
      </c>
      <c r="N721" s="5" t="n">
        <v>0</v>
      </c>
      <c r="O721" s="5" t="n">
        <v>1</v>
      </c>
      <c r="P721" s="5" t="n">
        <v>0</v>
      </c>
      <c r="Q721" s="5" t="n">
        <v>0</v>
      </c>
      <c r="R721" s="5" t="n">
        <v>0</v>
      </c>
      <c r="S721" s="5" t="n">
        <v>1</v>
      </c>
      <c r="T721" s="5" t="n">
        <v>0</v>
      </c>
      <c r="U721" s="5" t="inlineStr">
        <is>
          <t>testing</t>
        </is>
      </c>
      <c r="V721" s="5" t="n">
        <v>0</v>
      </c>
    </row>
    <row r="722">
      <c r="A722" s="5" t="n">
        <v>718</v>
      </c>
      <c r="B722" s="5" t="n">
        <v>0</v>
      </c>
      <c r="C722" s="6" t="n">
        <v>-0.2301473069597001</v>
      </c>
      <c r="D722" s="6" t="n">
        <v>-0.6108062597805339</v>
      </c>
      <c r="E722" s="6" t="n">
        <v>-0.307884493270947</v>
      </c>
      <c r="F722" s="6" t="n">
        <v>0.9185437189662378</v>
      </c>
      <c r="G722" s="5" t="n">
        <v>0</v>
      </c>
      <c r="H722" s="5" t="n">
        <v>0</v>
      </c>
      <c r="I722" s="5" t="n">
        <v>0</v>
      </c>
      <c r="J722" s="5" t="n">
        <v>0</v>
      </c>
      <c r="K722" s="5" t="n">
        <v>0</v>
      </c>
      <c r="L722" s="5" t="n">
        <v>0</v>
      </c>
      <c r="M722" s="5" t="n">
        <v>0</v>
      </c>
      <c r="N722" s="5" t="n">
        <v>0</v>
      </c>
      <c r="O722" s="5" t="n">
        <v>0</v>
      </c>
      <c r="P722" s="5" t="n">
        <v>0</v>
      </c>
      <c r="Q722" s="5" t="n">
        <v>1</v>
      </c>
      <c r="R722" s="5" t="n">
        <v>0</v>
      </c>
      <c r="S722" s="5" t="n">
        <v>1</v>
      </c>
      <c r="T722" s="5" t="n">
        <v>0</v>
      </c>
      <c r="U722" s="5" t="inlineStr">
        <is>
          <t>training</t>
        </is>
      </c>
      <c r="V722" s="5" t="n">
        <v>0</v>
      </c>
    </row>
    <row r="723">
      <c r="A723" s="5" t="n">
        <v>719</v>
      </c>
      <c r="B723" s="5" t="n">
        <v>0</v>
      </c>
      <c r="C723" s="6" t="n">
        <v>0.275406400796963</v>
      </c>
      <c r="D723" s="6" t="n">
        <v>-0.03593248504021988</v>
      </c>
      <c r="E723" s="6" t="n">
        <v>-0.3948575139689546</v>
      </c>
      <c r="F723" s="6" t="n">
        <v>0.01674764143977723</v>
      </c>
      <c r="G723" s="5" t="n">
        <v>0</v>
      </c>
      <c r="H723" s="5" t="n">
        <v>0</v>
      </c>
      <c r="I723" s="5" t="n">
        <v>1</v>
      </c>
      <c r="J723" s="5" t="n">
        <v>1</v>
      </c>
      <c r="K723" s="5" t="n">
        <v>0</v>
      </c>
      <c r="L723" s="5" t="n">
        <v>0</v>
      </c>
      <c r="M723" s="5" t="n">
        <v>0</v>
      </c>
      <c r="N723" s="5" t="n">
        <v>0</v>
      </c>
      <c r="O723" s="5" t="n">
        <v>1</v>
      </c>
      <c r="P723" s="5" t="n">
        <v>0</v>
      </c>
      <c r="Q723" s="5" t="n">
        <v>0</v>
      </c>
      <c r="R723" s="5" t="n">
        <v>0</v>
      </c>
      <c r="S723" s="5" t="n">
        <v>1</v>
      </c>
      <c r="T723" s="5" t="n">
        <v>0</v>
      </c>
      <c r="U723" s="5" t="inlineStr">
        <is>
          <t>training</t>
        </is>
      </c>
      <c r="V723" s="5" t="n">
        <v>0</v>
      </c>
    </row>
    <row r="724">
      <c r="A724" s="5" t="n">
        <v>720</v>
      </c>
      <c r="B724" s="5" t="n">
        <v>0</v>
      </c>
      <c r="C724" s="6" t="n">
        <v>-0.06162940437414574</v>
      </c>
      <c r="D724" s="6" t="n">
        <v>1.013745740292064</v>
      </c>
      <c r="E724" s="6" t="n">
        <v>-0.3948575139689546</v>
      </c>
      <c r="F724" s="6" t="n">
        <v>0.01674764143977723</v>
      </c>
      <c r="G724" s="5" t="n">
        <v>0</v>
      </c>
      <c r="H724" s="5" t="n">
        <v>1</v>
      </c>
      <c r="I724" s="5" t="n">
        <v>0</v>
      </c>
      <c r="J724" s="5" t="n">
        <v>0</v>
      </c>
      <c r="K724" s="5" t="n">
        <v>0</v>
      </c>
      <c r="L724" s="5" t="n">
        <v>1</v>
      </c>
      <c r="M724" s="5" t="n">
        <v>1</v>
      </c>
      <c r="N724" s="5" t="n">
        <v>0</v>
      </c>
      <c r="O724" s="5" t="n">
        <v>0</v>
      </c>
      <c r="P724" s="5" t="n">
        <v>0</v>
      </c>
      <c r="Q724" s="5" t="n">
        <v>0</v>
      </c>
      <c r="R724" s="5" t="n">
        <v>1</v>
      </c>
      <c r="S724" s="5" t="n">
        <v>0</v>
      </c>
      <c r="T724" s="5" t="n">
        <v>0</v>
      </c>
      <c r="U724" s="5" t="inlineStr">
        <is>
          <t>training</t>
        </is>
      </c>
      <c r="V724" s="5" t="n">
        <v>0</v>
      </c>
    </row>
    <row r="725">
      <c r="A725" s="5" t="n">
        <v>721</v>
      </c>
      <c r="B725" s="5" t="n">
        <v>1</v>
      </c>
      <c r="C725" s="6" t="n">
        <v>-0.9884778685946948</v>
      </c>
      <c r="D725" s="6" t="n">
        <v>-0.6695882403991419</v>
      </c>
      <c r="E725" s="6" t="n">
        <v>-0.1339384518749317</v>
      </c>
      <c r="F725" s="6" t="n">
        <v>0.9185437189662378</v>
      </c>
      <c r="G725" s="5" t="n">
        <v>0</v>
      </c>
      <c r="H725" s="5" t="n">
        <v>0</v>
      </c>
      <c r="I725" s="5" t="n">
        <v>1</v>
      </c>
      <c r="J725" s="5" t="n">
        <v>0</v>
      </c>
      <c r="K725" s="5" t="n">
        <v>0</v>
      </c>
      <c r="L725" s="5" t="n">
        <v>1</v>
      </c>
      <c r="M725" s="5" t="n">
        <v>0</v>
      </c>
      <c r="N725" s="5" t="n">
        <v>0</v>
      </c>
      <c r="O725" s="5" t="n">
        <v>0</v>
      </c>
      <c r="P725" s="5" t="n">
        <v>0</v>
      </c>
      <c r="Q725" s="5" t="n">
        <v>0</v>
      </c>
      <c r="R725" s="5" t="n">
        <v>0</v>
      </c>
      <c r="S725" s="5" t="n">
        <v>1</v>
      </c>
      <c r="T725" s="5" t="n">
        <v>0</v>
      </c>
      <c r="U725" s="5" t="inlineStr">
        <is>
          <t>training</t>
        </is>
      </c>
      <c r="V725" s="5" t="n">
        <v>1</v>
      </c>
    </row>
    <row r="726">
      <c r="A726" s="5" t="n">
        <v>722</v>
      </c>
      <c r="B726" s="5" t="n">
        <v>1</v>
      </c>
      <c r="C726" s="6" t="n">
        <v>-1.241254722473026</v>
      </c>
      <c r="D726" s="6" t="n">
        <v>-0.9858912789659368</v>
      </c>
      <c r="E726" s="6" t="n">
        <v>-1.003668658855008</v>
      </c>
      <c r="F726" s="6" t="n">
        <v>0.9185437189662378</v>
      </c>
      <c r="G726" s="5" t="n">
        <v>0</v>
      </c>
      <c r="H726" s="5" t="n">
        <v>1</v>
      </c>
      <c r="I726" s="5" t="n">
        <v>0</v>
      </c>
      <c r="J726" s="5" t="n">
        <v>0</v>
      </c>
      <c r="K726" s="5" t="n">
        <v>0</v>
      </c>
      <c r="L726" s="5" t="n">
        <v>1</v>
      </c>
      <c r="M726" s="5" t="n">
        <v>0</v>
      </c>
      <c r="N726" s="5" t="n">
        <v>1</v>
      </c>
      <c r="O726" s="5" t="n">
        <v>0</v>
      </c>
      <c r="P726" s="5" t="n">
        <v>1</v>
      </c>
      <c r="Q726" s="5" t="n">
        <v>0</v>
      </c>
      <c r="R726" s="5" t="n">
        <v>0</v>
      </c>
      <c r="S726" s="5" t="n">
        <v>0</v>
      </c>
      <c r="T726" s="5" t="n">
        <v>0</v>
      </c>
      <c r="U726" s="5" t="inlineStr">
        <is>
          <t>testing</t>
        </is>
      </c>
      <c r="V726" s="5" t="n">
        <v>0</v>
      </c>
    </row>
    <row r="727">
      <c r="A727" s="5" t="n">
        <v>723</v>
      </c>
      <c r="B727" s="5" t="n">
        <v>1</v>
      </c>
      <c r="C727" s="6" t="n">
        <v>-0.7357010147163632</v>
      </c>
      <c r="D727" s="6" t="n">
        <v>-0.7077265492528815</v>
      </c>
      <c r="E727" s="6" t="n">
        <v>-1.003668658855008</v>
      </c>
      <c r="F727" s="6" t="n">
        <v>0.9185437189662378</v>
      </c>
      <c r="G727" s="5" t="n">
        <v>1</v>
      </c>
      <c r="H727" s="5" t="n">
        <v>0</v>
      </c>
      <c r="I727" s="5" t="n">
        <v>0</v>
      </c>
      <c r="J727" s="5" t="n">
        <v>0</v>
      </c>
      <c r="K727" s="5" t="n">
        <v>0</v>
      </c>
      <c r="L727" s="5" t="n">
        <v>0</v>
      </c>
      <c r="M727" s="5" t="n">
        <v>0</v>
      </c>
      <c r="N727" s="5" t="n">
        <v>0</v>
      </c>
      <c r="O727" s="5" t="n">
        <v>0</v>
      </c>
      <c r="P727" s="5" t="n">
        <v>0</v>
      </c>
      <c r="Q727" s="5" t="n">
        <v>0</v>
      </c>
      <c r="R727" s="5" t="n">
        <v>1</v>
      </c>
      <c r="S727" s="5" t="n">
        <v>0</v>
      </c>
      <c r="T727" s="5" t="n">
        <v>0</v>
      </c>
      <c r="U727" s="5" t="inlineStr">
        <is>
          <t>training</t>
        </is>
      </c>
      <c r="V727" s="5" t="n">
        <v>1</v>
      </c>
    </row>
    <row r="728">
      <c r="A728" s="5" t="n">
        <v>724</v>
      </c>
      <c r="B728" s="5" t="n">
        <v>0</v>
      </c>
      <c r="C728" s="6" t="n">
        <v>-0.9884778685946948</v>
      </c>
      <c r="D728" s="6" t="n">
        <v>-0.8609795701513949</v>
      </c>
      <c r="E728" s="6" t="n">
        <v>2.649198210461313</v>
      </c>
      <c r="F728" s="6" t="n">
        <v>0.9185437189662378</v>
      </c>
      <c r="G728" s="5" t="n">
        <v>0</v>
      </c>
      <c r="H728" s="5" t="n">
        <v>1</v>
      </c>
      <c r="I728" s="5" t="n">
        <v>0</v>
      </c>
      <c r="J728" s="5" t="n">
        <v>0</v>
      </c>
      <c r="K728" s="5" t="n">
        <v>0</v>
      </c>
      <c r="L728" s="5" t="n">
        <v>0</v>
      </c>
      <c r="M728" s="5" t="n">
        <v>1</v>
      </c>
      <c r="N728" s="5" t="n">
        <v>0</v>
      </c>
      <c r="O728" s="5" t="n">
        <v>0</v>
      </c>
      <c r="P728" s="5" t="n">
        <v>0</v>
      </c>
      <c r="Q728" s="5" t="n">
        <v>0</v>
      </c>
      <c r="R728" s="5" t="n">
        <v>0</v>
      </c>
      <c r="S728" s="5" t="n">
        <v>1</v>
      </c>
      <c r="T728" s="5" t="n">
        <v>0</v>
      </c>
      <c r="U728" s="5" t="inlineStr">
        <is>
          <t>training</t>
        </is>
      </c>
      <c r="V728" s="5" t="n">
        <v>0</v>
      </c>
    </row>
    <row r="729">
      <c r="A729" s="5" t="n">
        <v>725</v>
      </c>
      <c r="B729" s="5" t="n">
        <v>1</v>
      </c>
      <c r="C729" s="6" t="n">
        <v>0.5281832546752946</v>
      </c>
      <c r="D729" s="6" t="n">
        <v>-0.2381704897875732</v>
      </c>
      <c r="E729" s="6" t="n">
        <v>-1.264587720949031</v>
      </c>
      <c r="F729" s="6" t="n">
        <v>0.01674764143977723</v>
      </c>
      <c r="G729" s="5" t="n">
        <v>0</v>
      </c>
      <c r="H729" s="5" t="n">
        <v>0</v>
      </c>
      <c r="I729" s="5" t="n">
        <v>0</v>
      </c>
      <c r="J729" s="5" t="n">
        <v>0</v>
      </c>
      <c r="K729" s="5" t="n">
        <v>0</v>
      </c>
      <c r="L729" s="5" t="n">
        <v>0</v>
      </c>
      <c r="M729" s="5" t="n">
        <v>0</v>
      </c>
      <c r="N729" s="5" t="n">
        <v>0</v>
      </c>
      <c r="O729" s="5" t="n">
        <v>0</v>
      </c>
      <c r="P729" s="5" t="n">
        <v>1</v>
      </c>
      <c r="Q729" s="5" t="n">
        <v>0</v>
      </c>
      <c r="R729" s="5" t="n">
        <v>1</v>
      </c>
      <c r="S729" s="5" t="n">
        <v>0</v>
      </c>
      <c r="T729" s="5" t="n">
        <v>0</v>
      </c>
      <c r="U729" s="5" t="inlineStr">
        <is>
          <t>training</t>
        </is>
      </c>
      <c r="V729" s="5" t="n">
        <v>1</v>
      </c>
    </row>
    <row r="730">
      <c r="A730" s="5" t="n">
        <v>726</v>
      </c>
      <c r="B730" s="5" t="n">
        <v>0</v>
      </c>
      <c r="C730" s="6" t="n">
        <v>-1.241254722473026</v>
      </c>
      <c r="D730" s="6" t="n">
        <v>-1.049921650711206</v>
      </c>
      <c r="E730" s="6" t="n">
        <v>0.4748726930111218</v>
      </c>
      <c r="F730" s="6" t="n">
        <v>-0.8850484360866833</v>
      </c>
      <c r="G730" s="5" t="n">
        <v>0</v>
      </c>
      <c r="H730" s="5" t="n">
        <v>0</v>
      </c>
      <c r="I730" s="5" t="n">
        <v>0</v>
      </c>
      <c r="J730" s="5" t="n">
        <v>1</v>
      </c>
      <c r="K730" s="5" t="n">
        <v>0</v>
      </c>
      <c r="L730" s="5" t="n">
        <v>0</v>
      </c>
      <c r="M730" s="5" t="n">
        <v>0</v>
      </c>
      <c r="N730" s="5" t="n">
        <v>1</v>
      </c>
      <c r="O730" s="5" t="n">
        <v>0</v>
      </c>
      <c r="P730" s="5" t="n">
        <v>0</v>
      </c>
      <c r="Q730" s="5" t="n">
        <v>0</v>
      </c>
      <c r="R730" s="5" t="n">
        <v>1</v>
      </c>
      <c r="S730" s="5" t="n">
        <v>0</v>
      </c>
      <c r="T730" s="5" t="n">
        <v>0</v>
      </c>
      <c r="U730" s="5" t="inlineStr">
        <is>
          <t>training</t>
        </is>
      </c>
      <c r="V730" s="5" t="n">
        <v>0</v>
      </c>
    </row>
    <row r="731">
      <c r="A731" s="5" t="n">
        <v>727</v>
      </c>
      <c r="B731" s="5" t="n">
        <v>0</v>
      </c>
      <c r="C731" s="6" t="n">
        <v>-0.4829241608380317</v>
      </c>
      <c r="D731" s="6" t="n">
        <v>-0.6769359879764679</v>
      </c>
      <c r="E731" s="6" t="n">
        <v>0.9967108171991675</v>
      </c>
      <c r="F731" s="6" t="n">
        <v>-0.8850484360866833</v>
      </c>
      <c r="G731" s="5" t="n">
        <v>0</v>
      </c>
      <c r="H731" s="5" t="n">
        <v>0</v>
      </c>
      <c r="I731" s="5" t="n">
        <v>0</v>
      </c>
      <c r="J731" s="5" t="n">
        <v>1</v>
      </c>
      <c r="K731" s="5" t="n">
        <v>0</v>
      </c>
      <c r="L731" s="5" t="n">
        <v>0</v>
      </c>
      <c r="M731" s="5" t="n">
        <v>1</v>
      </c>
      <c r="N731" s="5" t="n">
        <v>0</v>
      </c>
      <c r="O731" s="5" t="n">
        <v>0</v>
      </c>
      <c r="P731" s="5" t="n">
        <v>0</v>
      </c>
      <c r="Q731" s="5" t="n">
        <v>0</v>
      </c>
      <c r="R731" s="5" t="n">
        <v>0</v>
      </c>
      <c r="S731" s="5" t="n">
        <v>1</v>
      </c>
      <c r="T731" s="5" t="n">
        <v>0</v>
      </c>
      <c r="U731" s="5" t="inlineStr">
        <is>
          <t>training</t>
        </is>
      </c>
      <c r="V731" s="5" t="n">
        <v>1</v>
      </c>
    </row>
    <row r="732">
      <c r="A732" s="5" t="n">
        <v>728</v>
      </c>
      <c r="B732" s="5" t="n">
        <v>1</v>
      </c>
      <c r="C732" s="6" t="n">
        <v>-0.2301473069597001</v>
      </c>
      <c r="D732" s="6" t="n">
        <v>-0.4788966961304437</v>
      </c>
      <c r="E732" s="6" t="n">
        <v>-0.9166956381570004</v>
      </c>
      <c r="F732" s="6" t="n">
        <v>0.9185437189662378</v>
      </c>
      <c r="G732" s="5" t="n">
        <v>1</v>
      </c>
      <c r="H732" s="5" t="n">
        <v>0</v>
      </c>
      <c r="I732" s="5" t="n">
        <v>0</v>
      </c>
      <c r="J732" s="5" t="n">
        <v>0</v>
      </c>
      <c r="K732" s="5" t="n">
        <v>0</v>
      </c>
      <c r="L732" s="5" t="n">
        <v>0</v>
      </c>
      <c r="M732" s="5" t="n">
        <v>0</v>
      </c>
      <c r="N732" s="5" t="n">
        <v>0</v>
      </c>
      <c r="O732" s="5" t="n">
        <v>0</v>
      </c>
      <c r="P732" s="5" t="n">
        <v>1</v>
      </c>
      <c r="Q732" s="5" t="n">
        <v>0</v>
      </c>
      <c r="R732" s="5" t="n">
        <v>0</v>
      </c>
      <c r="S732" s="5" t="n">
        <v>1</v>
      </c>
      <c r="T732" s="5" t="n">
        <v>0</v>
      </c>
      <c r="U732" s="5" t="inlineStr">
        <is>
          <t>training</t>
        </is>
      </c>
      <c r="V732" s="5" t="n">
        <v>1</v>
      </c>
    </row>
    <row r="733">
      <c r="A733" s="5" t="n">
        <v>729</v>
      </c>
      <c r="B733" s="5" t="n">
        <v>1</v>
      </c>
      <c r="C733" s="6" t="n">
        <v>2.297621231823615</v>
      </c>
      <c r="D733" s="6" t="n">
        <v>1.107516995088415</v>
      </c>
      <c r="E733" s="6" t="n">
        <v>2.040387065575259</v>
      </c>
      <c r="F733" s="6" t="n">
        <v>0.9185437189662378</v>
      </c>
      <c r="G733" s="5" t="n">
        <v>0</v>
      </c>
      <c r="H733" s="5" t="n">
        <v>1</v>
      </c>
      <c r="I733" s="5" t="n">
        <v>0</v>
      </c>
      <c r="J733" s="5" t="n">
        <v>0</v>
      </c>
      <c r="K733" s="5" t="n">
        <v>0</v>
      </c>
      <c r="L733" s="5" t="n">
        <v>1</v>
      </c>
      <c r="M733" s="5" t="n">
        <v>0</v>
      </c>
      <c r="N733" s="5" t="n">
        <v>0</v>
      </c>
      <c r="O733" s="5" t="n">
        <v>0</v>
      </c>
      <c r="P733" s="5" t="n">
        <v>1</v>
      </c>
      <c r="Q733" s="5" t="n">
        <v>0</v>
      </c>
      <c r="R733" s="5" t="n">
        <v>0</v>
      </c>
      <c r="S733" s="5" t="n">
        <v>0</v>
      </c>
      <c r="T733" s="5" t="n">
        <v>0</v>
      </c>
      <c r="U733" s="5" t="inlineStr">
        <is>
          <t>testing</t>
        </is>
      </c>
      <c r="V733" s="5" t="n">
        <v>0</v>
      </c>
    </row>
    <row r="734">
      <c r="A734" s="5" t="n">
        <v>730</v>
      </c>
      <c r="B734" s="5" t="n">
        <v>0</v>
      </c>
      <c r="C734" s="6" t="n">
        <v>0.275406400796963</v>
      </c>
      <c r="D734" s="6" t="n">
        <v>-0.6912815903893424</v>
      </c>
      <c r="E734" s="6" t="n">
        <v>0.04000758952108359</v>
      </c>
      <c r="F734" s="6" t="n">
        <v>-0.8850484360866833</v>
      </c>
      <c r="G734" s="5" t="n">
        <v>0</v>
      </c>
      <c r="H734" s="5" t="n">
        <v>0</v>
      </c>
      <c r="I734" s="5" t="n">
        <v>1</v>
      </c>
      <c r="J734" s="5" t="n">
        <v>1</v>
      </c>
      <c r="K734" s="5" t="n">
        <v>0</v>
      </c>
      <c r="L734" s="5" t="n">
        <v>0</v>
      </c>
      <c r="M734" s="5" t="n">
        <v>0</v>
      </c>
      <c r="N734" s="5" t="n">
        <v>1</v>
      </c>
      <c r="O734" s="5" t="n">
        <v>0</v>
      </c>
      <c r="P734" s="5" t="n">
        <v>0</v>
      </c>
      <c r="Q734" s="5" t="n">
        <v>0</v>
      </c>
      <c r="R734" s="5" t="n">
        <v>0</v>
      </c>
      <c r="S734" s="5" t="n">
        <v>0</v>
      </c>
      <c r="T734" s="5" t="n">
        <v>0</v>
      </c>
      <c r="U734" s="5" t="inlineStr">
        <is>
          <t>training</t>
        </is>
      </c>
      <c r="V734" s="5" t="n">
        <v>0</v>
      </c>
    </row>
    <row r="735">
      <c r="A735" s="5" t="n">
        <v>731</v>
      </c>
      <c r="B735" s="5" t="n">
        <v>0</v>
      </c>
      <c r="C735" s="6" t="n">
        <v>0.275406400796963</v>
      </c>
      <c r="D735" s="6" t="n">
        <v>1.102968389445308</v>
      </c>
      <c r="E735" s="6" t="n">
        <v>-0.2209114725729393</v>
      </c>
      <c r="F735" s="6" t="n">
        <v>-1.786844513613144</v>
      </c>
      <c r="G735" s="5" t="n">
        <v>0</v>
      </c>
      <c r="H735" s="5" t="n">
        <v>1</v>
      </c>
      <c r="I735" s="5" t="n">
        <v>0</v>
      </c>
      <c r="J735" s="5" t="n">
        <v>0</v>
      </c>
      <c r="K735" s="5" t="n">
        <v>1</v>
      </c>
      <c r="L735" s="5" t="n">
        <v>0</v>
      </c>
      <c r="M735" s="5" t="n">
        <v>0</v>
      </c>
      <c r="N735" s="5" t="n">
        <v>0</v>
      </c>
      <c r="O735" s="5" t="n">
        <v>0</v>
      </c>
      <c r="P735" s="5" t="n">
        <v>0</v>
      </c>
      <c r="Q735" s="5" t="n">
        <v>0</v>
      </c>
      <c r="R735" s="5" t="n">
        <v>0</v>
      </c>
      <c r="S735" s="5" t="n">
        <v>1</v>
      </c>
      <c r="T735" s="5" t="n">
        <v>0</v>
      </c>
      <c r="U735" s="5" t="inlineStr">
        <is>
          <t>training</t>
        </is>
      </c>
      <c r="V735" s="5" t="n">
        <v>1</v>
      </c>
    </row>
    <row r="736">
      <c r="A736" s="5" t="n">
        <v>732</v>
      </c>
      <c r="B736" s="5" t="n">
        <v>1</v>
      </c>
      <c r="C736" s="6" t="n">
        <v>0.275406400796963</v>
      </c>
      <c r="D736" s="6" t="n">
        <v>-0.4421579582438137</v>
      </c>
      <c r="E736" s="6" t="n">
        <v>-1.264587720949031</v>
      </c>
      <c r="F736" s="6" t="n">
        <v>-0.8850484360866833</v>
      </c>
      <c r="G736" s="5" t="n">
        <v>1</v>
      </c>
      <c r="H736" s="5" t="n">
        <v>0</v>
      </c>
      <c r="I736" s="5" t="n">
        <v>0</v>
      </c>
      <c r="J736" s="5" t="n">
        <v>0</v>
      </c>
      <c r="K736" s="5" t="n">
        <v>0</v>
      </c>
      <c r="L736" s="5" t="n">
        <v>0</v>
      </c>
      <c r="M736" s="5" t="n">
        <v>0</v>
      </c>
      <c r="N736" s="5" t="n">
        <v>0</v>
      </c>
      <c r="O736" s="5" t="n">
        <v>0</v>
      </c>
      <c r="P736" s="5" t="n">
        <v>1</v>
      </c>
      <c r="Q736" s="5" t="n">
        <v>0</v>
      </c>
      <c r="R736" s="5" t="n">
        <v>0</v>
      </c>
      <c r="S736" s="5" t="n">
        <v>1</v>
      </c>
      <c r="T736" s="5" t="n">
        <v>0</v>
      </c>
      <c r="U736" s="5" t="inlineStr">
        <is>
          <t>testing</t>
        </is>
      </c>
      <c r="V736" s="5" t="n">
        <v>0</v>
      </c>
    </row>
    <row r="737">
      <c r="A737" s="5" t="n">
        <v>733</v>
      </c>
      <c r="B737" s="5" t="n">
        <v>0</v>
      </c>
      <c r="C737" s="6" t="n">
        <v>-1.072736819887472</v>
      </c>
      <c r="D737" s="6" t="n">
        <v>-0.8714763524047178</v>
      </c>
      <c r="E737" s="6" t="n">
        <v>0.7357917551051447</v>
      </c>
      <c r="F737" s="6" t="n">
        <v>0.9185437189662378</v>
      </c>
      <c r="G737" s="5" t="n">
        <v>0</v>
      </c>
      <c r="H737" s="5" t="n">
        <v>1</v>
      </c>
      <c r="I737" s="5" t="n">
        <v>0</v>
      </c>
      <c r="J737" s="5" t="n">
        <v>0</v>
      </c>
      <c r="K737" s="5" t="n">
        <v>0</v>
      </c>
      <c r="L737" s="5" t="n">
        <v>0</v>
      </c>
      <c r="M737" s="5" t="n">
        <v>0</v>
      </c>
      <c r="N737" s="5" t="n">
        <v>0</v>
      </c>
      <c r="O737" s="5" t="n">
        <v>0</v>
      </c>
      <c r="P737" s="5" t="n">
        <v>0</v>
      </c>
      <c r="Q737" s="5" t="n">
        <v>0</v>
      </c>
      <c r="R737" s="5" t="n">
        <v>0</v>
      </c>
      <c r="S737" s="5" t="n">
        <v>1</v>
      </c>
      <c r="T737" s="5" t="n">
        <v>0</v>
      </c>
      <c r="U737" s="5" t="inlineStr">
        <is>
          <t>training</t>
        </is>
      </c>
      <c r="V737" s="5" t="n">
        <v>0</v>
      </c>
    </row>
    <row r="738">
      <c r="A738" s="5" t="n">
        <v>734</v>
      </c>
      <c r="B738" s="5" t="n">
        <v>0</v>
      </c>
      <c r="C738" s="6" t="n">
        <v>0.275406400796963</v>
      </c>
      <c r="D738" s="6" t="n">
        <v>-0.2266240293089181</v>
      </c>
      <c r="E738" s="6" t="n">
        <v>-0.6557765760629775</v>
      </c>
      <c r="F738" s="6" t="n">
        <v>-0.8850484360866833</v>
      </c>
      <c r="G738" s="5" t="n">
        <v>0</v>
      </c>
      <c r="H738" s="5" t="n">
        <v>0</v>
      </c>
      <c r="I738" s="5" t="n">
        <v>0</v>
      </c>
      <c r="J738" s="5" t="n">
        <v>0</v>
      </c>
      <c r="K738" s="5" t="n">
        <v>0</v>
      </c>
      <c r="L738" s="5" t="n">
        <v>0</v>
      </c>
      <c r="M738" s="5" t="n">
        <v>0</v>
      </c>
      <c r="N738" s="5" t="n">
        <v>1</v>
      </c>
      <c r="O738" s="5" t="n">
        <v>0</v>
      </c>
      <c r="P738" s="5" t="n">
        <v>1</v>
      </c>
      <c r="Q738" s="5" t="n">
        <v>0</v>
      </c>
      <c r="R738" s="5" t="n">
        <v>1</v>
      </c>
      <c r="S738" s="5" t="n">
        <v>0</v>
      </c>
      <c r="T738" s="5" t="n">
        <v>0</v>
      </c>
      <c r="U738" s="5" t="inlineStr">
        <is>
          <t>testing</t>
        </is>
      </c>
      <c r="V738" s="5" t="n">
        <v>0</v>
      </c>
    </row>
    <row r="739">
      <c r="A739" s="5" t="n">
        <v>735</v>
      </c>
      <c r="B739" s="5" t="n">
        <v>0</v>
      </c>
      <c r="C739" s="6" t="n">
        <v>-1.409772625058581</v>
      </c>
      <c r="D739" s="6" t="n">
        <v>0.04524263105214341</v>
      </c>
      <c r="E739" s="6" t="n">
        <v>0.1269806102190912</v>
      </c>
      <c r="F739" s="6" t="n">
        <v>-1.786844513613144</v>
      </c>
      <c r="G739" s="5" t="n">
        <v>0</v>
      </c>
      <c r="H739" s="5" t="n">
        <v>0</v>
      </c>
      <c r="I739" s="5" t="n">
        <v>0</v>
      </c>
      <c r="J739" s="5" t="n">
        <v>1</v>
      </c>
      <c r="K739" s="5" t="n">
        <v>0</v>
      </c>
      <c r="L739" s="5" t="n">
        <v>0</v>
      </c>
      <c r="M739" s="5" t="n">
        <v>0</v>
      </c>
      <c r="N739" s="5" t="n">
        <v>0</v>
      </c>
      <c r="O739" s="5" t="n">
        <v>0</v>
      </c>
      <c r="P739" s="5" t="n">
        <v>0</v>
      </c>
      <c r="Q739" s="5" t="n">
        <v>0</v>
      </c>
      <c r="R739" s="5" t="n">
        <v>1</v>
      </c>
      <c r="S739" s="5" t="n">
        <v>0</v>
      </c>
      <c r="T739" s="5" t="n">
        <v>0</v>
      </c>
      <c r="U739" s="5" t="inlineStr">
        <is>
          <t>testing</t>
        </is>
      </c>
      <c r="V739" s="5" t="n">
        <v>0</v>
      </c>
    </row>
    <row r="740">
      <c r="A740" s="5" t="n">
        <v>736</v>
      </c>
      <c r="B740" s="5" t="n">
        <v>0</v>
      </c>
      <c r="C740" s="6" t="n">
        <v>1.286513816310289</v>
      </c>
      <c r="D740" s="6" t="n">
        <v>0.2586772035363745</v>
      </c>
      <c r="E740" s="6" t="n">
        <v>-0.5688035553649698</v>
      </c>
      <c r="F740" s="6" t="n">
        <v>0.01674764143977723</v>
      </c>
      <c r="G740" s="5" t="n">
        <v>0</v>
      </c>
      <c r="H740" s="5" t="n">
        <v>1</v>
      </c>
      <c r="I740" s="5" t="n">
        <v>0</v>
      </c>
      <c r="J740" s="5" t="n">
        <v>0</v>
      </c>
      <c r="K740" s="5" t="n">
        <v>0</v>
      </c>
      <c r="L740" s="5" t="n">
        <v>1</v>
      </c>
      <c r="M740" s="5" t="n">
        <v>0</v>
      </c>
      <c r="N740" s="5" t="n">
        <v>0</v>
      </c>
      <c r="O740" s="5" t="n">
        <v>1</v>
      </c>
      <c r="P740" s="5" t="n">
        <v>0</v>
      </c>
      <c r="Q740" s="5" t="n">
        <v>0</v>
      </c>
      <c r="R740" s="5" t="n">
        <v>0</v>
      </c>
      <c r="S740" s="5" t="n">
        <v>0</v>
      </c>
      <c r="T740" s="5" t="n">
        <v>0</v>
      </c>
      <c r="U740" s="5" t="inlineStr">
        <is>
          <t>training</t>
        </is>
      </c>
      <c r="V740" s="5" t="n">
        <v>1</v>
      </c>
    </row>
    <row r="741">
      <c r="A741" s="5" t="n">
        <v>737</v>
      </c>
      <c r="B741" s="5" t="n">
        <v>1</v>
      </c>
      <c r="C741" s="6" t="n">
        <v>0.275406400796963</v>
      </c>
      <c r="D741" s="6" t="n">
        <v>2.907365258791504</v>
      </c>
      <c r="E741" s="6" t="n">
        <v>-1.090641679553016</v>
      </c>
      <c r="F741" s="6" t="n">
        <v>-1.786844513613144</v>
      </c>
      <c r="G741" s="5" t="n">
        <v>0</v>
      </c>
      <c r="H741" s="5" t="n">
        <v>1</v>
      </c>
      <c r="I741" s="5" t="n">
        <v>0</v>
      </c>
      <c r="J741" s="5" t="n">
        <v>0</v>
      </c>
      <c r="K741" s="5" t="n">
        <v>0</v>
      </c>
      <c r="L741" s="5" t="n">
        <v>0</v>
      </c>
      <c r="M741" s="5" t="n">
        <v>0</v>
      </c>
      <c r="N741" s="5" t="n">
        <v>0</v>
      </c>
      <c r="O741" s="5" t="n">
        <v>0</v>
      </c>
      <c r="P741" s="5" t="n">
        <v>1</v>
      </c>
      <c r="Q741" s="5" t="n">
        <v>0</v>
      </c>
      <c r="R741" s="5" t="n">
        <v>1</v>
      </c>
      <c r="S741" s="5" t="n">
        <v>0</v>
      </c>
      <c r="T741" s="5" t="n">
        <v>0</v>
      </c>
      <c r="U741" s="5" t="inlineStr">
        <is>
          <t>testing</t>
        </is>
      </c>
      <c r="V741" s="5" t="n">
        <v>0</v>
      </c>
    </row>
    <row r="742">
      <c r="A742" s="5" t="n">
        <v>738</v>
      </c>
      <c r="B742" s="5" t="n">
        <v>0</v>
      </c>
      <c r="C742" s="6" t="n">
        <v>-0.2301473069597001</v>
      </c>
      <c r="D742" s="6" t="n">
        <v>0.3951353728295713</v>
      </c>
      <c r="E742" s="6" t="n">
        <v>-0.04696543117692405</v>
      </c>
      <c r="F742" s="6" t="n">
        <v>0.01674764143977723</v>
      </c>
      <c r="G742" s="5" t="n">
        <v>1</v>
      </c>
      <c r="H742" s="5" t="n">
        <v>0</v>
      </c>
      <c r="I742" s="5" t="n">
        <v>0</v>
      </c>
      <c r="J742" s="5" t="n">
        <v>0</v>
      </c>
      <c r="K742" s="5" t="n">
        <v>0</v>
      </c>
      <c r="L742" s="5" t="n">
        <v>0</v>
      </c>
      <c r="M742" s="5" t="n">
        <v>1</v>
      </c>
      <c r="N742" s="5" t="n">
        <v>0</v>
      </c>
      <c r="O742" s="5" t="n">
        <v>0</v>
      </c>
      <c r="P742" s="5" t="n">
        <v>0</v>
      </c>
      <c r="Q742" s="5" t="n">
        <v>0</v>
      </c>
      <c r="R742" s="5" t="n">
        <v>1</v>
      </c>
      <c r="S742" s="5" t="n">
        <v>0</v>
      </c>
      <c r="T742" s="5" t="n">
        <v>0</v>
      </c>
      <c r="U742" s="5" t="inlineStr">
        <is>
          <t>testing</t>
        </is>
      </c>
      <c r="V742" s="5" t="n">
        <v>0</v>
      </c>
    </row>
    <row r="743">
      <c r="A743" s="5" t="n">
        <v>739</v>
      </c>
      <c r="B743" s="5" t="n">
        <v>0</v>
      </c>
      <c r="C743" s="6" t="n">
        <v>-1.241254722473026</v>
      </c>
      <c r="D743" s="6" t="n">
        <v>1.228229991001627</v>
      </c>
      <c r="E743" s="6" t="n">
        <v>0.8227647758031523</v>
      </c>
      <c r="F743" s="6" t="n">
        <v>-1.786844513613144</v>
      </c>
      <c r="G743" s="5" t="n">
        <v>0</v>
      </c>
      <c r="H743" s="5" t="n">
        <v>0</v>
      </c>
      <c r="I743" s="5" t="n">
        <v>0</v>
      </c>
      <c r="J743" s="5" t="n">
        <v>1</v>
      </c>
      <c r="K743" s="5" t="n">
        <v>0</v>
      </c>
      <c r="L743" s="5" t="n">
        <v>0</v>
      </c>
      <c r="M743" s="5" t="n">
        <v>0</v>
      </c>
      <c r="N743" s="5" t="n">
        <v>0</v>
      </c>
      <c r="O743" s="5" t="n">
        <v>0</v>
      </c>
      <c r="P743" s="5" t="n">
        <v>0</v>
      </c>
      <c r="Q743" s="5" t="n">
        <v>0</v>
      </c>
      <c r="R743" s="5" t="n">
        <v>1</v>
      </c>
      <c r="S743" s="5" t="n">
        <v>0</v>
      </c>
      <c r="T743" s="5" t="n">
        <v>0</v>
      </c>
      <c r="U743" s="5" t="inlineStr">
        <is>
          <t>training</t>
        </is>
      </c>
      <c r="V743" s="5" t="n">
        <v>0</v>
      </c>
    </row>
    <row r="744">
      <c r="A744" s="5" t="n">
        <v>740</v>
      </c>
      <c r="B744" s="5" t="n">
        <v>1</v>
      </c>
      <c r="C744" s="6" t="n">
        <v>0.7809601085536261</v>
      </c>
      <c r="D744" s="6" t="n">
        <v>0.3601460986518286</v>
      </c>
      <c r="E744" s="6" t="n">
        <v>-0.8297226174589928</v>
      </c>
      <c r="F744" s="6" t="n">
        <v>0.9185437189662378</v>
      </c>
      <c r="G744" s="5" t="n">
        <v>0</v>
      </c>
      <c r="H744" s="5" t="n">
        <v>1</v>
      </c>
      <c r="I744" s="5" t="n">
        <v>0</v>
      </c>
      <c r="J744" s="5" t="n">
        <v>0</v>
      </c>
      <c r="K744" s="5" t="n">
        <v>0</v>
      </c>
      <c r="L744" s="5" t="n">
        <v>1</v>
      </c>
      <c r="M744" s="5" t="n">
        <v>1</v>
      </c>
      <c r="N744" s="5" t="n">
        <v>0</v>
      </c>
      <c r="O744" s="5" t="n">
        <v>0</v>
      </c>
      <c r="P744" s="5" t="n">
        <v>1</v>
      </c>
      <c r="Q744" s="5" t="n">
        <v>0</v>
      </c>
      <c r="R744" s="5" t="n">
        <v>0</v>
      </c>
      <c r="S744" s="5" t="n">
        <v>0</v>
      </c>
      <c r="T744" s="5" t="n">
        <v>0</v>
      </c>
      <c r="U744" s="5" t="inlineStr">
        <is>
          <t>training</t>
        </is>
      </c>
      <c r="V744" s="5" t="n">
        <v>1</v>
      </c>
    </row>
    <row r="745">
      <c r="A745" s="5" t="n">
        <v>741</v>
      </c>
      <c r="B745" s="5" t="n">
        <v>0</v>
      </c>
      <c r="C745" s="6" t="n">
        <v>0.275406400796963</v>
      </c>
      <c r="D745" s="6" t="n">
        <v>-0.3238942115230431</v>
      </c>
      <c r="E745" s="6" t="n">
        <v>-0.307884493270947</v>
      </c>
      <c r="F745" s="6" t="n">
        <v>-0.8850484360866833</v>
      </c>
      <c r="G745" s="5" t="n">
        <v>1</v>
      </c>
      <c r="H745" s="5" t="n">
        <v>0</v>
      </c>
      <c r="I745" s="5" t="n">
        <v>0</v>
      </c>
      <c r="J745" s="5" t="n">
        <v>0</v>
      </c>
      <c r="K745" s="5" t="n">
        <v>0</v>
      </c>
      <c r="L745" s="5" t="n">
        <v>1</v>
      </c>
      <c r="M745" s="5" t="n">
        <v>1</v>
      </c>
      <c r="N745" s="5" t="n">
        <v>0</v>
      </c>
      <c r="O745" s="5" t="n">
        <v>0</v>
      </c>
      <c r="P745" s="5" t="n">
        <v>0</v>
      </c>
      <c r="Q745" s="5" t="n">
        <v>0</v>
      </c>
      <c r="R745" s="5" t="n">
        <v>1</v>
      </c>
      <c r="S745" s="5" t="n">
        <v>0</v>
      </c>
      <c r="T745" s="5" t="n">
        <v>0</v>
      </c>
      <c r="U745" s="5" t="inlineStr">
        <is>
          <t>training</t>
        </is>
      </c>
      <c r="V745" s="5" t="n">
        <v>0</v>
      </c>
    </row>
    <row r="746">
      <c r="A746" s="5" t="n">
        <v>742</v>
      </c>
      <c r="B746" s="5" t="n">
        <v>0</v>
      </c>
      <c r="C746" s="6" t="n">
        <v>-0.9042189173019176</v>
      </c>
      <c r="D746" s="6" t="n">
        <v>-0.7707072427728185</v>
      </c>
      <c r="E746" s="6" t="n">
        <v>-1.090641679553016</v>
      </c>
      <c r="F746" s="6" t="n">
        <v>0.9185437189662378</v>
      </c>
      <c r="G746" s="5" t="n">
        <v>0</v>
      </c>
      <c r="H746" s="5" t="n">
        <v>1</v>
      </c>
      <c r="I746" s="5" t="n">
        <v>0</v>
      </c>
      <c r="J746" s="5" t="n">
        <v>0</v>
      </c>
      <c r="K746" s="5" t="n">
        <v>0</v>
      </c>
      <c r="L746" s="5" t="n">
        <v>1</v>
      </c>
      <c r="M746" s="5" t="n">
        <v>0</v>
      </c>
      <c r="N746" s="5" t="n">
        <v>0</v>
      </c>
      <c r="O746" s="5" t="n">
        <v>0</v>
      </c>
      <c r="P746" s="5" t="n">
        <v>0</v>
      </c>
      <c r="Q746" s="5" t="n">
        <v>0</v>
      </c>
      <c r="R746" s="5" t="n">
        <v>0</v>
      </c>
      <c r="S746" s="5" t="n">
        <v>1</v>
      </c>
      <c r="T746" s="5" t="n">
        <v>0</v>
      </c>
      <c r="U746" s="5" t="inlineStr">
        <is>
          <t>testing</t>
        </is>
      </c>
      <c r="V746" s="5" t="n">
        <v>0</v>
      </c>
    </row>
    <row r="747">
      <c r="A747" s="5" t="n">
        <v>743</v>
      </c>
      <c r="B747" s="5" t="n">
        <v>0</v>
      </c>
      <c r="C747" s="6" t="n">
        <v>0.02262954691863145</v>
      </c>
      <c r="D747" s="6" t="n">
        <v>-0.03173377213889074</v>
      </c>
      <c r="E747" s="6" t="n">
        <v>0.4748726930111218</v>
      </c>
      <c r="F747" s="6" t="n">
        <v>0.9185437189662378</v>
      </c>
      <c r="G747" s="5" t="n">
        <v>0</v>
      </c>
      <c r="H747" s="5" t="n">
        <v>0</v>
      </c>
      <c r="I747" s="5" t="n">
        <v>0</v>
      </c>
      <c r="J747" s="5" t="n">
        <v>0</v>
      </c>
      <c r="K747" s="5" t="n">
        <v>0</v>
      </c>
      <c r="L747" s="5" t="n">
        <v>0</v>
      </c>
      <c r="M747" s="5" t="n">
        <v>0</v>
      </c>
      <c r="N747" s="5" t="n">
        <v>0</v>
      </c>
      <c r="O747" s="5" t="n">
        <v>1</v>
      </c>
      <c r="P747" s="5" t="n">
        <v>0</v>
      </c>
      <c r="Q747" s="5" t="n">
        <v>0</v>
      </c>
      <c r="R747" s="5" t="n">
        <v>0</v>
      </c>
      <c r="S747" s="5" t="n">
        <v>1</v>
      </c>
      <c r="T747" s="5" t="n">
        <v>0</v>
      </c>
      <c r="U747" s="5" t="inlineStr">
        <is>
          <t>testing</t>
        </is>
      </c>
      <c r="V747" s="5" t="n">
        <v>0</v>
      </c>
    </row>
    <row r="748">
      <c r="A748" s="5" t="n">
        <v>744</v>
      </c>
      <c r="B748" s="5" t="n">
        <v>0</v>
      </c>
      <c r="C748" s="6" t="n">
        <v>0.275406400796963</v>
      </c>
      <c r="D748" s="6" t="n">
        <v>-0.2686111583222094</v>
      </c>
      <c r="E748" s="6" t="n">
        <v>-1.177614700251023</v>
      </c>
      <c r="F748" s="6" t="n">
        <v>0.9185437189662378</v>
      </c>
      <c r="G748" s="5" t="n">
        <v>1</v>
      </c>
      <c r="H748" s="5" t="n">
        <v>0</v>
      </c>
      <c r="I748" s="5" t="n">
        <v>0</v>
      </c>
      <c r="J748" s="5" t="n">
        <v>0</v>
      </c>
      <c r="K748" s="5" t="n">
        <v>0</v>
      </c>
      <c r="L748" s="5" t="n">
        <v>1</v>
      </c>
      <c r="M748" s="5" t="n">
        <v>1</v>
      </c>
      <c r="N748" s="5" t="n">
        <v>0</v>
      </c>
      <c r="O748" s="5" t="n">
        <v>0</v>
      </c>
      <c r="P748" s="5" t="n">
        <v>0</v>
      </c>
      <c r="Q748" s="5" t="n">
        <v>0</v>
      </c>
      <c r="R748" s="5" t="n">
        <v>0</v>
      </c>
      <c r="S748" s="5" t="n">
        <v>0</v>
      </c>
      <c r="T748" s="5" t="n">
        <v>1</v>
      </c>
      <c r="U748" s="5" t="inlineStr">
        <is>
          <t>training</t>
        </is>
      </c>
      <c r="V748" s="5" t="n">
        <v>1</v>
      </c>
    </row>
    <row r="749">
      <c r="A749" s="5" t="n">
        <v>745</v>
      </c>
      <c r="B749" s="5" t="n">
        <v>0</v>
      </c>
      <c r="C749" s="6" t="n">
        <v>1.539290670188621</v>
      </c>
      <c r="D749" s="6" t="n">
        <v>3.823734349506588</v>
      </c>
      <c r="E749" s="6" t="n">
        <v>-0.4818305346669622</v>
      </c>
      <c r="F749" s="6" t="n">
        <v>0.9185437189662378</v>
      </c>
      <c r="G749" s="5" t="n">
        <v>1</v>
      </c>
      <c r="H749" s="5" t="n">
        <v>0</v>
      </c>
      <c r="I749" s="5" t="n">
        <v>0</v>
      </c>
      <c r="J749" s="5" t="n">
        <v>1</v>
      </c>
      <c r="K749" s="5" t="n">
        <v>0</v>
      </c>
      <c r="L749" s="5" t="n">
        <v>0</v>
      </c>
      <c r="M749" s="5" t="n">
        <v>0</v>
      </c>
      <c r="N749" s="5" t="n">
        <v>0</v>
      </c>
      <c r="O749" s="5" t="n">
        <v>1</v>
      </c>
      <c r="P749" s="5" t="n">
        <v>0</v>
      </c>
      <c r="Q749" s="5" t="n">
        <v>0</v>
      </c>
      <c r="R749" s="5" t="n">
        <v>0</v>
      </c>
      <c r="S749" s="5" t="n">
        <v>0</v>
      </c>
      <c r="T749" s="5" t="n">
        <v>1</v>
      </c>
      <c r="U749" s="5" t="inlineStr">
        <is>
          <t>training</t>
        </is>
      </c>
      <c r="V749" s="5" t="n">
        <v>0</v>
      </c>
    </row>
    <row r="750">
      <c r="A750" s="5" t="n">
        <v>746</v>
      </c>
      <c r="B750" s="5" t="n">
        <v>0</v>
      </c>
      <c r="C750" s="6" t="n">
        <v>-0.651442063423586</v>
      </c>
      <c r="D750" s="6" t="n">
        <v>-0.5086375791815251</v>
      </c>
      <c r="E750" s="6" t="n">
        <v>-0.6557765760629775</v>
      </c>
      <c r="F750" s="6" t="n">
        <v>0.01674764143977723</v>
      </c>
      <c r="G750" s="5" t="n">
        <v>1</v>
      </c>
      <c r="H750" s="5" t="n">
        <v>0</v>
      </c>
      <c r="I750" s="5" t="n">
        <v>0</v>
      </c>
      <c r="J750" s="5" t="n">
        <v>1</v>
      </c>
      <c r="K750" s="5" t="n">
        <v>0</v>
      </c>
      <c r="L750" s="5" t="n">
        <v>0</v>
      </c>
      <c r="M750" s="5" t="n">
        <v>0</v>
      </c>
      <c r="N750" s="5" t="n">
        <v>0</v>
      </c>
      <c r="O750" s="5" t="n">
        <v>0</v>
      </c>
      <c r="P750" s="5" t="n">
        <v>0</v>
      </c>
      <c r="Q750" s="5" t="n">
        <v>0</v>
      </c>
      <c r="R750" s="5" t="n">
        <v>0</v>
      </c>
      <c r="S750" s="5" t="n">
        <v>0</v>
      </c>
      <c r="T750" s="5" t="n">
        <v>0</v>
      </c>
      <c r="U750" s="5" t="inlineStr">
        <is>
          <t>training</t>
        </is>
      </c>
      <c r="V750" s="5" t="n">
        <v>0</v>
      </c>
    </row>
    <row r="751">
      <c r="A751" s="5" t="n">
        <v>747</v>
      </c>
      <c r="B751" s="5" t="n">
        <v>0</v>
      </c>
      <c r="C751" s="6" t="n">
        <v>-0.4829241608380317</v>
      </c>
      <c r="D751" s="6" t="n">
        <v>-0.2588141615524415</v>
      </c>
      <c r="E751" s="6" t="n">
        <v>-1.090641679553016</v>
      </c>
      <c r="F751" s="6" t="n">
        <v>-1.786844513613144</v>
      </c>
      <c r="G751" s="5" t="n">
        <v>1</v>
      </c>
      <c r="H751" s="5" t="n">
        <v>0</v>
      </c>
      <c r="I751" s="5" t="n">
        <v>0</v>
      </c>
      <c r="J751" s="5" t="n">
        <v>0</v>
      </c>
      <c r="K751" s="5" t="n">
        <v>0</v>
      </c>
      <c r="L751" s="5" t="n">
        <v>0</v>
      </c>
      <c r="M751" s="5" t="n">
        <v>0</v>
      </c>
      <c r="N751" s="5" t="n">
        <v>0</v>
      </c>
      <c r="O751" s="5" t="n">
        <v>0</v>
      </c>
      <c r="P751" s="5" t="n">
        <v>1</v>
      </c>
      <c r="Q751" s="5" t="n">
        <v>0</v>
      </c>
      <c r="R751" s="5" t="n">
        <v>1</v>
      </c>
      <c r="S751" s="5" t="n">
        <v>0</v>
      </c>
      <c r="T751" s="5" t="n">
        <v>0</v>
      </c>
      <c r="U751" s="5" t="inlineStr">
        <is>
          <t>training</t>
        </is>
      </c>
      <c r="V751" s="5" t="n">
        <v>1</v>
      </c>
    </row>
    <row r="752">
      <c r="A752" s="5" t="n">
        <v>748</v>
      </c>
      <c r="B752" s="5" t="n">
        <v>1</v>
      </c>
      <c r="C752" s="6" t="n">
        <v>-0.7357010147163632</v>
      </c>
      <c r="D752" s="6" t="n">
        <v>-0.6916314831311199</v>
      </c>
      <c r="E752" s="6" t="n">
        <v>0.1269806102190912</v>
      </c>
      <c r="F752" s="6" t="n">
        <v>0.01674764143977723</v>
      </c>
      <c r="G752" s="5" t="n">
        <v>1</v>
      </c>
      <c r="H752" s="5" t="n">
        <v>0</v>
      </c>
      <c r="I752" s="5" t="n">
        <v>0</v>
      </c>
      <c r="J752" s="5" t="n">
        <v>0</v>
      </c>
      <c r="K752" s="5" t="n">
        <v>0</v>
      </c>
      <c r="L752" s="5" t="n">
        <v>0</v>
      </c>
      <c r="M752" s="5" t="n">
        <v>0</v>
      </c>
      <c r="N752" s="5" t="n">
        <v>0</v>
      </c>
      <c r="O752" s="5" t="n">
        <v>0</v>
      </c>
      <c r="P752" s="5" t="n">
        <v>0</v>
      </c>
      <c r="Q752" s="5" t="n">
        <v>0</v>
      </c>
      <c r="R752" s="5" t="n">
        <v>1</v>
      </c>
      <c r="S752" s="5" t="n">
        <v>0</v>
      </c>
      <c r="T752" s="5" t="n">
        <v>0</v>
      </c>
      <c r="U752" s="5" t="inlineStr">
        <is>
          <t>training</t>
        </is>
      </c>
      <c r="V752" s="5" t="n">
        <v>1</v>
      </c>
    </row>
    <row r="753">
      <c r="A753" s="5" t="n">
        <v>749</v>
      </c>
      <c r="B753" s="5" t="n">
        <v>0</v>
      </c>
      <c r="C753" s="6" t="n">
        <v>0.02262954691863145</v>
      </c>
      <c r="D753" s="6" t="n">
        <v>0.6988422726923789</v>
      </c>
      <c r="E753" s="6" t="n">
        <v>-0.8297226174589928</v>
      </c>
      <c r="F753" s="6" t="n">
        <v>-1.786844513613144</v>
      </c>
      <c r="G753" s="5" t="n">
        <v>0</v>
      </c>
      <c r="H753" s="5" t="n">
        <v>0</v>
      </c>
      <c r="I753" s="5" t="n">
        <v>0</v>
      </c>
      <c r="J753" s="5" t="n">
        <v>0</v>
      </c>
      <c r="K753" s="5" t="n">
        <v>0</v>
      </c>
      <c r="L753" s="5" t="n">
        <v>0</v>
      </c>
      <c r="M753" s="5" t="n">
        <v>0</v>
      </c>
      <c r="N753" s="5" t="n">
        <v>0</v>
      </c>
      <c r="O753" s="5" t="n">
        <v>1</v>
      </c>
      <c r="P753" s="5" t="n">
        <v>0</v>
      </c>
      <c r="Q753" s="5" t="n">
        <v>0</v>
      </c>
      <c r="R753" s="5" t="n">
        <v>1</v>
      </c>
      <c r="S753" s="5" t="n">
        <v>0</v>
      </c>
      <c r="T753" s="5" t="n">
        <v>0</v>
      </c>
      <c r="U753" s="5" t="inlineStr">
        <is>
          <t>testing</t>
        </is>
      </c>
      <c r="V753" s="5" t="n">
        <v>0</v>
      </c>
    </row>
    <row r="754">
      <c r="A754" s="5" t="n">
        <v>750</v>
      </c>
      <c r="B754" s="5" t="n">
        <v>0</v>
      </c>
      <c r="C754" s="6" t="n">
        <v>-0.4829241608380317</v>
      </c>
      <c r="D754" s="6" t="n">
        <v>-0.0775697213117338</v>
      </c>
      <c r="E754" s="6" t="n">
        <v>-0.2209114725729393</v>
      </c>
      <c r="F754" s="6" t="n">
        <v>-0.8850484360866833</v>
      </c>
      <c r="G754" s="5" t="n">
        <v>0</v>
      </c>
      <c r="H754" s="5" t="n">
        <v>0</v>
      </c>
      <c r="I754" s="5" t="n">
        <v>0</v>
      </c>
      <c r="J754" s="5" t="n">
        <v>0</v>
      </c>
      <c r="K754" s="5" t="n">
        <v>0</v>
      </c>
      <c r="L754" s="5" t="n">
        <v>0</v>
      </c>
      <c r="M754" s="5" t="n">
        <v>0</v>
      </c>
      <c r="N754" s="5" t="n">
        <v>0</v>
      </c>
      <c r="O754" s="5" t="n">
        <v>0</v>
      </c>
      <c r="P754" s="5" t="n">
        <v>0</v>
      </c>
      <c r="Q754" s="5" t="n">
        <v>0</v>
      </c>
      <c r="R754" s="5" t="n">
        <v>1</v>
      </c>
      <c r="S754" s="5" t="n">
        <v>0</v>
      </c>
      <c r="T754" s="5" t="n">
        <v>0</v>
      </c>
      <c r="U754" s="5" t="inlineStr">
        <is>
          <t>training</t>
        </is>
      </c>
      <c r="V754" s="5" t="n">
        <v>1</v>
      </c>
    </row>
    <row r="755">
      <c r="A755" s="5" t="n">
        <v>751</v>
      </c>
      <c r="B755" s="5" t="n">
        <v>0</v>
      </c>
      <c r="C755" s="6" t="n">
        <v>-1.241254722473026</v>
      </c>
      <c r="D755" s="6" t="n">
        <v>-0.9876407426748239</v>
      </c>
      <c r="E755" s="6" t="n">
        <v>1.170656858595183</v>
      </c>
      <c r="F755" s="6" t="n">
        <v>-0.8850484360866833</v>
      </c>
      <c r="G755" s="5" t="n">
        <v>1</v>
      </c>
      <c r="H755" s="5" t="n">
        <v>0</v>
      </c>
      <c r="I755" s="5" t="n">
        <v>0</v>
      </c>
      <c r="J755" s="5" t="n">
        <v>0</v>
      </c>
      <c r="K755" s="5" t="n">
        <v>0</v>
      </c>
      <c r="L755" s="5" t="n">
        <v>0</v>
      </c>
      <c r="M755" s="5" t="n">
        <v>0</v>
      </c>
      <c r="N755" s="5" t="n">
        <v>0</v>
      </c>
      <c r="O755" s="5" t="n">
        <v>0</v>
      </c>
      <c r="P755" s="5" t="n">
        <v>0</v>
      </c>
      <c r="Q755" s="5" t="n">
        <v>0</v>
      </c>
      <c r="R755" s="5" t="n">
        <v>0</v>
      </c>
      <c r="S755" s="5" t="n">
        <v>0</v>
      </c>
      <c r="T755" s="5" t="n">
        <v>1</v>
      </c>
      <c r="U755" s="5" t="inlineStr">
        <is>
          <t>testing</t>
        </is>
      </c>
      <c r="V755" s="5" t="n">
        <v>0</v>
      </c>
    </row>
    <row r="756">
      <c r="A756" s="5" t="n">
        <v>752</v>
      </c>
      <c r="B756" s="5" t="n">
        <v>1</v>
      </c>
      <c r="C756" s="6" t="n">
        <v>-0.2301473069597001</v>
      </c>
      <c r="D756" s="6" t="n">
        <v>-0.7958995201807934</v>
      </c>
      <c r="E756" s="6" t="n">
        <v>-1.090641679553016</v>
      </c>
      <c r="F756" s="6" t="n">
        <v>-1.786844513613144</v>
      </c>
      <c r="G756" s="5" t="n">
        <v>1</v>
      </c>
      <c r="H756" s="5" t="n">
        <v>0</v>
      </c>
      <c r="I756" s="5" t="n">
        <v>0</v>
      </c>
      <c r="J756" s="5" t="n">
        <v>0</v>
      </c>
      <c r="K756" s="5" t="n">
        <v>0</v>
      </c>
      <c r="L756" s="5" t="n">
        <v>0</v>
      </c>
      <c r="M756" s="5" t="n">
        <v>0</v>
      </c>
      <c r="N756" s="5" t="n">
        <v>0</v>
      </c>
      <c r="O756" s="5" t="n">
        <v>0</v>
      </c>
      <c r="P756" s="5" t="n">
        <v>0</v>
      </c>
      <c r="Q756" s="5" t="n">
        <v>0</v>
      </c>
      <c r="R756" s="5" t="n">
        <v>1</v>
      </c>
      <c r="S756" s="5" t="n">
        <v>0</v>
      </c>
      <c r="T756" s="5" t="n">
        <v>0</v>
      </c>
      <c r="U756" s="5" t="inlineStr">
        <is>
          <t>testing</t>
        </is>
      </c>
      <c r="V756" s="5" t="n">
        <v>0</v>
      </c>
    </row>
    <row r="757">
      <c r="A757" s="5" t="n">
        <v>753</v>
      </c>
      <c r="B757" s="5" t="n">
        <v>0</v>
      </c>
      <c r="C757" s="6" t="n">
        <v>-0.7357010147163632</v>
      </c>
      <c r="D757" s="6" t="n">
        <v>-0.8431350403207462</v>
      </c>
      <c r="E757" s="6" t="n">
        <v>-1.090641679553016</v>
      </c>
      <c r="F757" s="6" t="n">
        <v>-0.8850484360866833</v>
      </c>
      <c r="G757" s="5" t="n">
        <v>0</v>
      </c>
      <c r="H757" s="5" t="n">
        <v>1</v>
      </c>
      <c r="I757" s="5" t="n">
        <v>0</v>
      </c>
      <c r="J757" s="5" t="n">
        <v>0</v>
      </c>
      <c r="K757" s="5" t="n">
        <v>0</v>
      </c>
      <c r="L757" s="5" t="n">
        <v>0</v>
      </c>
      <c r="M757" s="5" t="n">
        <v>1</v>
      </c>
      <c r="N757" s="5" t="n">
        <v>0</v>
      </c>
      <c r="O757" s="5" t="n">
        <v>0</v>
      </c>
      <c r="P757" s="5" t="n">
        <v>1</v>
      </c>
      <c r="Q757" s="5" t="n">
        <v>0</v>
      </c>
      <c r="R757" s="5" t="n">
        <v>0</v>
      </c>
      <c r="S757" s="5" t="n">
        <v>0</v>
      </c>
      <c r="T757" s="5" t="n">
        <v>0</v>
      </c>
      <c r="U757" s="5" t="inlineStr">
        <is>
          <t>training</t>
        </is>
      </c>
      <c r="V757" s="5" t="n">
        <v>1</v>
      </c>
    </row>
    <row r="758">
      <c r="A758" s="5" t="n">
        <v>754</v>
      </c>
      <c r="B758" s="5" t="n">
        <v>0</v>
      </c>
      <c r="C758" s="6" t="n">
        <v>0.7809601085536261</v>
      </c>
      <c r="D758" s="6" t="n">
        <v>0.8818361766419737</v>
      </c>
      <c r="E758" s="6" t="n">
        <v>-0.9166956381570004</v>
      </c>
      <c r="F758" s="6" t="n">
        <v>0.9185437189662378</v>
      </c>
      <c r="G758" s="5" t="n">
        <v>0</v>
      </c>
      <c r="H758" s="5" t="n">
        <v>0</v>
      </c>
      <c r="I758" s="5" t="n">
        <v>0</v>
      </c>
      <c r="J758" s="5" t="n">
        <v>1</v>
      </c>
      <c r="K758" s="5" t="n">
        <v>0</v>
      </c>
      <c r="L758" s="5" t="n">
        <v>0</v>
      </c>
      <c r="M758" s="5" t="n">
        <v>0</v>
      </c>
      <c r="N758" s="5" t="n">
        <v>0</v>
      </c>
      <c r="O758" s="5" t="n">
        <v>0</v>
      </c>
      <c r="P758" s="5" t="n">
        <v>0</v>
      </c>
      <c r="Q758" s="5" t="n">
        <v>0</v>
      </c>
      <c r="R758" s="5" t="n">
        <v>0</v>
      </c>
      <c r="S758" s="5" t="n">
        <v>1</v>
      </c>
      <c r="T758" s="5" t="n">
        <v>0</v>
      </c>
      <c r="U758" s="5" t="inlineStr">
        <is>
          <t>testing</t>
        </is>
      </c>
      <c r="V758" s="5" t="n">
        <v>0</v>
      </c>
    </row>
    <row r="759">
      <c r="A759" s="5" t="n">
        <v>755</v>
      </c>
      <c r="B759" s="5" t="n">
        <v>1</v>
      </c>
      <c r="C759" s="6" t="n">
        <v>-0.7357010147163632</v>
      </c>
      <c r="D759" s="6" t="n">
        <v>-0.5933116226916626</v>
      </c>
      <c r="E759" s="6" t="n">
        <v>1.692494982783229</v>
      </c>
      <c r="F759" s="6" t="n">
        <v>0.9185437189662378</v>
      </c>
      <c r="G759" s="5" t="n">
        <v>0</v>
      </c>
      <c r="H759" s="5" t="n">
        <v>0</v>
      </c>
      <c r="I759" s="5" t="n">
        <v>0</v>
      </c>
      <c r="J759" s="5" t="n">
        <v>0</v>
      </c>
      <c r="K759" s="5" t="n">
        <v>1</v>
      </c>
      <c r="L759" s="5" t="n">
        <v>0</v>
      </c>
      <c r="M759" s="5" t="n">
        <v>0</v>
      </c>
      <c r="N759" s="5" t="n">
        <v>1</v>
      </c>
      <c r="O759" s="5" t="n">
        <v>0</v>
      </c>
      <c r="P759" s="5" t="n">
        <v>0</v>
      </c>
      <c r="Q759" s="5" t="n">
        <v>1</v>
      </c>
      <c r="R759" s="5" t="n">
        <v>0</v>
      </c>
      <c r="S759" s="5" t="n">
        <v>0</v>
      </c>
      <c r="T759" s="5" t="n">
        <v>0</v>
      </c>
      <c r="U759" s="5" t="inlineStr">
        <is>
          <t>training</t>
        </is>
      </c>
      <c r="V759" s="5" t="n">
        <v>1</v>
      </c>
    </row>
    <row r="760">
      <c r="A760" s="5" t="n">
        <v>756</v>
      </c>
      <c r="B760" s="5" t="n">
        <v>1</v>
      </c>
      <c r="C760" s="6" t="n">
        <v>0.275406400796963</v>
      </c>
      <c r="D760" s="6" t="n">
        <v>-0.6877826629715681</v>
      </c>
      <c r="E760" s="6" t="n">
        <v>-0.307884493270947</v>
      </c>
      <c r="F760" s="6" t="n">
        <v>0.9185437189662378</v>
      </c>
      <c r="G760" s="5" t="n">
        <v>1</v>
      </c>
      <c r="H760" s="5" t="n">
        <v>0</v>
      </c>
      <c r="I760" s="5" t="n">
        <v>0</v>
      </c>
      <c r="J760" s="5" t="n">
        <v>0</v>
      </c>
      <c r="K760" s="5" t="n">
        <v>0</v>
      </c>
      <c r="L760" s="5" t="n">
        <v>0</v>
      </c>
      <c r="M760" s="5" t="n">
        <v>0</v>
      </c>
      <c r="N760" s="5" t="n">
        <v>0</v>
      </c>
      <c r="O760" s="5" t="n">
        <v>1</v>
      </c>
      <c r="P760" s="5" t="n">
        <v>1</v>
      </c>
      <c r="Q760" s="5" t="n">
        <v>0</v>
      </c>
      <c r="R760" s="5" t="n">
        <v>1</v>
      </c>
      <c r="S760" s="5" t="n">
        <v>0</v>
      </c>
      <c r="T760" s="5" t="n">
        <v>0</v>
      </c>
      <c r="U760" s="5" t="inlineStr">
        <is>
          <t>training</t>
        </is>
      </c>
      <c r="V760" s="5" t="n">
        <v>1</v>
      </c>
    </row>
    <row r="761">
      <c r="A761" s="5" t="n">
        <v>757</v>
      </c>
      <c r="B761" s="5" t="n">
        <v>0</v>
      </c>
      <c r="C761" s="6" t="n">
        <v>-1.241254722473026</v>
      </c>
      <c r="D761" s="6" t="n">
        <v>-0.6828841645866841</v>
      </c>
      <c r="E761" s="6" t="n">
        <v>3.344982376045374</v>
      </c>
      <c r="F761" s="6" t="n">
        <v>-1.786844513613144</v>
      </c>
      <c r="G761" s="5" t="n">
        <v>0</v>
      </c>
      <c r="H761" s="5" t="n">
        <v>0</v>
      </c>
      <c r="I761" s="5" t="n">
        <v>1</v>
      </c>
      <c r="J761" s="5" t="n">
        <v>1</v>
      </c>
      <c r="K761" s="5" t="n">
        <v>0</v>
      </c>
      <c r="L761" s="5" t="n">
        <v>0</v>
      </c>
      <c r="M761" s="5" t="n">
        <v>0</v>
      </c>
      <c r="N761" s="5" t="n">
        <v>0</v>
      </c>
      <c r="O761" s="5" t="n">
        <v>0</v>
      </c>
      <c r="P761" s="5" t="n">
        <v>0</v>
      </c>
      <c r="Q761" s="5" t="n">
        <v>0</v>
      </c>
      <c r="R761" s="5" t="n">
        <v>1</v>
      </c>
      <c r="S761" s="5" t="n">
        <v>0</v>
      </c>
      <c r="T761" s="5" t="n">
        <v>0</v>
      </c>
      <c r="U761" s="5" t="inlineStr">
        <is>
          <t>training</t>
        </is>
      </c>
      <c r="V761" s="5" t="n">
        <v>1</v>
      </c>
    </row>
    <row r="762">
      <c r="A762" s="5" t="n">
        <v>758</v>
      </c>
      <c r="B762" s="5" t="n">
        <v>1</v>
      </c>
      <c r="C762" s="6" t="n">
        <v>-0.4829241608380317</v>
      </c>
      <c r="D762" s="6" t="n">
        <v>-0.6926811613564521</v>
      </c>
      <c r="E762" s="6" t="n">
        <v>0.3009266516151065</v>
      </c>
      <c r="F762" s="6" t="n">
        <v>0.01674764143977723</v>
      </c>
      <c r="G762" s="5" t="n">
        <v>0</v>
      </c>
      <c r="H762" s="5" t="n">
        <v>0</v>
      </c>
      <c r="I762" s="5" t="n">
        <v>1</v>
      </c>
      <c r="J762" s="5" t="n">
        <v>1</v>
      </c>
      <c r="K762" s="5" t="n">
        <v>0</v>
      </c>
      <c r="L762" s="5" t="n">
        <v>0</v>
      </c>
      <c r="M762" s="5" t="n">
        <v>0</v>
      </c>
      <c r="N762" s="5" t="n">
        <v>0</v>
      </c>
      <c r="O762" s="5" t="n">
        <v>1</v>
      </c>
      <c r="P762" s="5" t="n">
        <v>0</v>
      </c>
      <c r="Q762" s="5" t="n">
        <v>1</v>
      </c>
      <c r="R762" s="5" t="n">
        <v>0</v>
      </c>
      <c r="S762" s="5" t="n">
        <v>1</v>
      </c>
      <c r="T762" s="5" t="n">
        <v>0</v>
      </c>
      <c r="U762" s="5" t="inlineStr">
        <is>
          <t>training</t>
        </is>
      </c>
      <c r="V762" s="5" t="n">
        <v>1</v>
      </c>
    </row>
    <row r="763">
      <c r="A763" s="5" t="n">
        <v>759</v>
      </c>
      <c r="B763" s="5" t="n">
        <v>0</v>
      </c>
      <c r="C763" s="6" t="n">
        <v>0.275406400796963</v>
      </c>
      <c r="D763" s="6" t="n">
        <v>-0.6499942468596059</v>
      </c>
      <c r="E763" s="6" t="n">
        <v>-0.3948575139689546</v>
      </c>
      <c r="F763" s="6" t="n">
        <v>-0.8850484360866833</v>
      </c>
      <c r="G763" s="5" t="n">
        <v>0</v>
      </c>
      <c r="H763" s="5" t="n">
        <v>0</v>
      </c>
      <c r="I763" s="5" t="n">
        <v>0</v>
      </c>
      <c r="J763" s="5" t="n">
        <v>0</v>
      </c>
      <c r="K763" s="5" t="n">
        <v>0</v>
      </c>
      <c r="L763" s="5" t="n">
        <v>0</v>
      </c>
      <c r="M763" s="5" t="n">
        <v>0</v>
      </c>
      <c r="N763" s="5" t="n">
        <v>0</v>
      </c>
      <c r="O763" s="5" t="n">
        <v>0</v>
      </c>
      <c r="P763" s="5" t="n">
        <v>0</v>
      </c>
      <c r="Q763" s="5" t="n">
        <v>0</v>
      </c>
      <c r="R763" s="5" t="n">
        <v>1</v>
      </c>
      <c r="S763" s="5" t="n">
        <v>0</v>
      </c>
      <c r="T763" s="5" t="n">
        <v>0</v>
      </c>
      <c r="U763" s="5" t="inlineStr">
        <is>
          <t>training</t>
        </is>
      </c>
      <c r="V763" s="5" t="n">
        <v>1</v>
      </c>
    </row>
    <row r="764">
      <c r="A764" s="5" t="n">
        <v>760</v>
      </c>
      <c r="B764" s="5" t="n">
        <v>1</v>
      </c>
      <c r="C764" s="6" t="n">
        <v>-0.7357010147163632</v>
      </c>
      <c r="D764" s="6" t="n">
        <v>-0.8956189515873604</v>
      </c>
      <c r="E764" s="6" t="n">
        <v>-0.04696543117692405</v>
      </c>
      <c r="F764" s="6" t="n">
        <v>0.9185437189662378</v>
      </c>
      <c r="G764" s="5" t="n">
        <v>1</v>
      </c>
      <c r="H764" s="5" t="n">
        <v>0</v>
      </c>
      <c r="I764" s="5" t="n">
        <v>0</v>
      </c>
      <c r="J764" s="5" t="n">
        <v>1</v>
      </c>
      <c r="K764" s="5" t="n">
        <v>0</v>
      </c>
      <c r="L764" s="5" t="n">
        <v>0</v>
      </c>
      <c r="M764" s="5" t="n">
        <v>0</v>
      </c>
      <c r="N764" s="5" t="n">
        <v>0</v>
      </c>
      <c r="O764" s="5" t="n">
        <v>0</v>
      </c>
      <c r="P764" s="5" t="n">
        <v>0</v>
      </c>
      <c r="Q764" s="5" t="n">
        <v>0</v>
      </c>
      <c r="R764" s="5" t="n">
        <v>1</v>
      </c>
      <c r="S764" s="5" t="n">
        <v>0</v>
      </c>
      <c r="T764" s="5" t="n">
        <v>0</v>
      </c>
      <c r="U764" s="5" t="inlineStr">
        <is>
          <t>testing</t>
        </is>
      </c>
      <c r="V764" s="5" t="n">
        <v>0</v>
      </c>
    </row>
    <row r="765">
      <c r="A765" s="5" t="n">
        <v>761</v>
      </c>
      <c r="B765" s="5" t="n">
        <v>0</v>
      </c>
      <c r="C765" s="6" t="n">
        <v>-0.4829241608380317</v>
      </c>
      <c r="D765" s="6" t="n">
        <v>0.6278140461115609</v>
      </c>
      <c r="E765" s="6" t="n">
        <v>2.040387065575259</v>
      </c>
      <c r="F765" s="6" t="n">
        <v>-1.786844513613144</v>
      </c>
      <c r="G765" s="5" t="n">
        <v>0</v>
      </c>
      <c r="H765" s="5" t="n">
        <v>0</v>
      </c>
      <c r="I765" s="5" t="n">
        <v>0</v>
      </c>
      <c r="J765" s="5" t="n">
        <v>1</v>
      </c>
      <c r="K765" s="5" t="n">
        <v>0</v>
      </c>
      <c r="L765" s="5" t="n">
        <v>0</v>
      </c>
      <c r="M765" s="5" t="n">
        <v>0</v>
      </c>
      <c r="N765" s="5" t="n">
        <v>0</v>
      </c>
      <c r="O765" s="5" t="n">
        <v>1</v>
      </c>
      <c r="P765" s="5" t="n">
        <v>0</v>
      </c>
      <c r="Q765" s="5" t="n">
        <v>0</v>
      </c>
      <c r="R765" s="5" t="n">
        <v>1</v>
      </c>
      <c r="S765" s="5" t="n">
        <v>0</v>
      </c>
      <c r="T765" s="5" t="n">
        <v>0</v>
      </c>
      <c r="U765" s="5" t="inlineStr">
        <is>
          <t>testing</t>
        </is>
      </c>
      <c r="V765" s="5" t="n">
        <v>0</v>
      </c>
    </row>
    <row r="766">
      <c r="A766" s="5" t="n">
        <v>762</v>
      </c>
      <c r="B766" s="5" t="n">
        <v>1</v>
      </c>
      <c r="C766" s="6" t="n">
        <v>-0.2301473069597001</v>
      </c>
      <c r="D766" s="6" t="n">
        <v>-0.3942226526203061</v>
      </c>
      <c r="E766" s="6" t="n">
        <v>-1.003668658855008</v>
      </c>
      <c r="F766" s="6" t="n">
        <v>0.9185437189662378</v>
      </c>
      <c r="G766" s="5" t="n">
        <v>1</v>
      </c>
      <c r="H766" s="5" t="n">
        <v>0</v>
      </c>
      <c r="I766" s="5" t="n">
        <v>0</v>
      </c>
      <c r="J766" s="5" t="n">
        <v>1</v>
      </c>
      <c r="K766" s="5" t="n">
        <v>0</v>
      </c>
      <c r="L766" s="5" t="n">
        <v>0</v>
      </c>
      <c r="M766" s="5" t="n">
        <v>0</v>
      </c>
      <c r="N766" s="5" t="n">
        <v>0</v>
      </c>
      <c r="O766" s="5" t="n">
        <v>0</v>
      </c>
      <c r="P766" s="5" t="n">
        <v>1</v>
      </c>
      <c r="Q766" s="5" t="n">
        <v>0</v>
      </c>
      <c r="R766" s="5" t="n">
        <v>0</v>
      </c>
      <c r="S766" s="5" t="n">
        <v>0</v>
      </c>
      <c r="T766" s="5" t="n">
        <v>1</v>
      </c>
      <c r="U766" s="5" t="inlineStr">
        <is>
          <t>testing</t>
        </is>
      </c>
      <c r="V766" s="5" t="n">
        <v>0</v>
      </c>
    </row>
    <row r="767">
      <c r="A767" s="5" t="n">
        <v>763</v>
      </c>
      <c r="B767" s="5" t="n">
        <v>0</v>
      </c>
      <c r="C767" s="6" t="n">
        <v>-0.7357010147163632</v>
      </c>
      <c r="D767" s="6" t="n">
        <v>-0.3627323058603376</v>
      </c>
      <c r="E767" s="6" t="n">
        <v>-1.003668658855008</v>
      </c>
      <c r="F767" s="6" t="n">
        <v>0.9185437189662378</v>
      </c>
      <c r="G767" s="5" t="n">
        <v>1</v>
      </c>
      <c r="H767" s="5" t="n">
        <v>0</v>
      </c>
      <c r="I767" s="5" t="n">
        <v>0</v>
      </c>
      <c r="J767" s="5" t="n">
        <v>0</v>
      </c>
      <c r="K767" s="5" t="n">
        <v>0</v>
      </c>
      <c r="L767" s="5" t="n">
        <v>0</v>
      </c>
      <c r="M767" s="5" t="n">
        <v>0</v>
      </c>
      <c r="N767" s="5" t="n">
        <v>0</v>
      </c>
      <c r="O767" s="5" t="n">
        <v>0</v>
      </c>
      <c r="P767" s="5" t="n">
        <v>0</v>
      </c>
      <c r="Q767" s="5" t="n">
        <v>0</v>
      </c>
      <c r="R767" s="5" t="n">
        <v>0</v>
      </c>
      <c r="S767" s="5" t="n">
        <v>1</v>
      </c>
      <c r="T767" s="5" t="n">
        <v>0</v>
      </c>
      <c r="U767" s="5" t="inlineStr">
        <is>
          <t>training</t>
        </is>
      </c>
      <c r="V767" s="5" t="n">
        <v>1</v>
      </c>
    </row>
    <row r="768">
      <c r="A768" s="5" t="n">
        <v>764</v>
      </c>
      <c r="B768" s="5" t="n">
        <v>1</v>
      </c>
      <c r="C768" s="6" t="n">
        <v>0.02262954691863145</v>
      </c>
      <c r="D768" s="6" t="n">
        <v>3.299245129582224</v>
      </c>
      <c r="E768" s="6" t="n">
        <v>-0.4818305346669622</v>
      </c>
      <c r="F768" s="6" t="n">
        <v>0.9185437189662378</v>
      </c>
      <c r="G768" s="5" t="n">
        <v>0</v>
      </c>
      <c r="H768" s="5" t="n">
        <v>0</v>
      </c>
      <c r="I768" s="5" t="n">
        <v>0</v>
      </c>
      <c r="J768" s="5" t="n">
        <v>1</v>
      </c>
      <c r="K768" s="5" t="n">
        <v>0</v>
      </c>
      <c r="L768" s="5" t="n">
        <v>0</v>
      </c>
      <c r="M768" s="5" t="n">
        <v>0</v>
      </c>
      <c r="N768" s="5" t="n">
        <v>0</v>
      </c>
      <c r="O768" s="5" t="n">
        <v>1</v>
      </c>
      <c r="P768" s="5" t="n">
        <v>0</v>
      </c>
      <c r="Q768" s="5" t="n">
        <v>1</v>
      </c>
      <c r="R768" s="5" t="n">
        <v>1</v>
      </c>
      <c r="S768" s="5" t="n">
        <v>0</v>
      </c>
      <c r="T768" s="5" t="n">
        <v>0</v>
      </c>
      <c r="U768" s="5" t="inlineStr">
        <is>
          <t>training</t>
        </is>
      </c>
      <c r="V768" s="5" t="n">
        <v>1</v>
      </c>
    </row>
    <row r="769">
      <c r="A769" s="5" t="n">
        <v>765</v>
      </c>
      <c r="B769" s="5" t="n">
        <v>0</v>
      </c>
      <c r="C769" s="6" t="n">
        <v>0.275406400796963</v>
      </c>
      <c r="D769" s="6" t="n">
        <v>-0.275609013157758</v>
      </c>
      <c r="E769" s="6" t="n">
        <v>-0.7427495967609852</v>
      </c>
      <c r="F769" s="6" t="n">
        <v>0.9185437189662378</v>
      </c>
      <c r="G769" s="5" t="n">
        <v>0</v>
      </c>
      <c r="H769" s="5" t="n">
        <v>0</v>
      </c>
      <c r="I769" s="5" t="n">
        <v>0</v>
      </c>
      <c r="J769" s="5" t="n">
        <v>1</v>
      </c>
      <c r="K769" s="5" t="n">
        <v>0</v>
      </c>
      <c r="L769" s="5" t="n">
        <v>0</v>
      </c>
      <c r="M769" s="5" t="n">
        <v>1</v>
      </c>
      <c r="N769" s="5" t="n">
        <v>0</v>
      </c>
      <c r="O769" s="5" t="n">
        <v>0</v>
      </c>
      <c r="P769" s="5" t="n">
        <v>0</v>
      </c>
      <c r="Q769" s="5" t="n">
        <v>0</v>
      </c>
      <c r="R769" s="5" t="n">
        <v>1</v>
      </c>
      <c r="S769" s="5" t="n">
        <v>0</v>
      </c>
      <c r="T769" s="5" t="n">
        <v>0</v>
      </c>
      <c r="U769" s="5" t="inlineStr">
        <is>
          <t>training</t>
        </is>
      </c>
      <c r="V769" s="5" t="n">
        <v>1</v>
      </c>
    </row>
    <row r="770">
      <c r="A770" s="5" t="n">
        <v>766</v>
      </c>
      <c r="B770" s="5" t="n">
        <v>0</v>
      </c>
      <c r="C770" s="6" t="n">
        <v>-0.7357010147163632</v>
      </c>
      <c r="D770" s="6" t="n">
        <v>-0.7332687194026337</v>
      </c>
      <c r="E770" s="6" t="n">
        <v>0.3878996723131141</v>
      </c>
      <c r="F770" s="6" t="n">
        <v>0.01674764143977723</v>
      </c>
      <c r="G770" s="5" t="n">
        <v>0</v>
      </c>
      <c r="H770" s="5" t="n">
        <v>1</v>
      </c>
      <c r="I770" s="5" t="n">
        <v>0</v>
      </c>
      <c r="J770" s="5" t="n">
        <v>0</v>
      </c>
      <c r="K770" s="5" t="n">
        <v>0</v>
      </c>
      <c r="L770" s="5" t="n">
        <v>0</v>
      </c>
      <c r="M770" s="5" t="n">
        <v>0</v>
      </c>
      <c r="N770" s="5" t="n">
        <v>0</v>
      </c>
      <c r="O770" s="5" t="n">
        <v>0</v>
      </c>
      <c r="P770" s="5" t="n">
        <v>0</v>
      </c>
      <c r="Q770" s="5" t="n">
        <v>0</v>
      </c>
      <c r="R770" s="5" t="n">
        <v>0</v>
      </c>
      <c r="S770" s="5" t="n">
        <v>1</v>
      </c>
      <c r="T770" s="5" t="n">
        <v>0</v>
      </c>
      <c r="U770" s="5" t="inlineStr">
        <is>
          <t>training</t>
        </is>
      </c>
      <c r="V770" s="5" t="n">
        <v>1</v>
      </c>
    </row>
    <row r="771">
      <c r="A771" s="5" t="n">
        <v>767</v>
      </c>
      <c r="B771" s="5" t="n">
        <v>1</v>
      </c>
      <c r="C771" s="6" t="n">
        <v>0.7809601085536261</v>
      </c>
      <c r="D771" s="6" t="n">
        <v>-0.04992819471131699</v>
      </c>
      <c r="E771" s="6" t="n">
        <v>-0.3948575139689546</v>
      </c>
      <c r="F771" s="6" t="n">
        <v>-0.8850484360866833</v>
      </c>
      <c r="G771" s="5" t="n">
        <v>1</v>
      </c>
      <c r="H771" s="5" t="n">
        <v>0</v>
      </c>
      <c r="I771" s="5" t="n">
        <v>0</v>
      </c>
      <c r="J771" s="5" t="n">
        <v>0</v>
      </c>
      <c r="K771" s="5" t="n">
        <v>0</v>
      </c>
      <c r="L771" s="5" t="n">
        <v>0</v>
      </c>
      <c r="M771" s="5" t="n">
        <v>0</v>
      </c>
      <c r="N771" s="5" t="n">
        <v>0</v>
      </c>
      <c r="O771" s="5" t="n">
        <v>0</v>
      </c>
      <c r="P771" s="5" t="n">
        <v>0</v>
      </c>
      <c r="Q771" s="5" t="n">
        <v>0</v>
      </c>
      <c r="R771" s="5" t="n">
        <v>0</v>
      </c>
      <c r="S771" s="5" t="n">
        <v>0</v>
      </c>
      <c r="T771" s="5" t="n">
        <v>1</v>
      </c>
      <c r="U771" s="5" t="inlineStr">
        <is>
          <t>training</t>
        </is>
      </c>
      <c r="V771" s="5" t="n">
        <v>1</v>
      </c>
    </row>
    <row r="772">
      <c r="A772" s="5" t="n">
        <v>768</v>
      </c>
      <c r="B772" s="5" t="n">
        <v>0</v>
      </c>
      <c r="C772" s="6" t="n">
        <v>-0.9042189173019176</v>
      </c>
      <c r="D772" s="6" t="n">
        <v>-0.1223559922592446</v>
      </c>
      <c r="E772" s="6" t="n">
        <v>-0.3948575139689546</v>
      </c>
      <c r="F772" s="6" t="n">
        <v>-1.786844513613144</v>
      </c>
      <c r="G772" s="5" t="n">
        <v>0</v>
      </c>
      <c r="H772" s="5" t="n">
        <v>0</v>
      </c>
      <c r="I772" s="5" t="n">
        <v>0</v>
      </c>
      <c r="J772" s="5" t="n">
        <v>0</v>
      </c>
      <c r="K772" s="5" t="n">
        <v>0</v>
      </c>
      <c r="L772" s="5" t="n">
        <v>0</v>
      </c>
      <c r="M772" s="5" t="n">
        <v>0</v>
      </c>
      <c r="N772" s="5" t="n">
        <v>0</v>
      </c>
      <c r="O772" s="5" t="n">
        <v>1</v>
      </c>
      <c r="P772" s="5" t="n">
        <v>1</v>
      </c>
      <c r="Q772" s="5" t="n">
        <v>0</v>
      </c>
      <c r="R772" s="5" t="n">
        <v>1</v>
      </c>
      <c r="S772" s="5" t="n">
        <v>0</v>
      </c>
      <c r="T772" s="5" t="n">
        <v>0</v>
      </c>
      <c r="U772" s="5" t="inlineStr">
        <is>
          <t>training</t>
        </is>
      </c>
      <c r="V772" s="5" t="n">
        <v>0</v>
      </c>
    </row>
    <row r="773">
      <c r="A773" s="5" t="n">
        <v>769</v>
      </c>
      <c r="B773" s="5" t="n">
        <v>0</v>
      </c>
      <c r="C773" s="6" t="n">
        <v>-0.7357010147163632</v>
      </c>
      <c r="D773" s="6" t="n">
        <v>0.1281672108533938</v>
      </c>
      <c r="E773" s="6" t="n">
        <v>-0.6557765760629775</v>
      </c>
      <c r="F773" s="6" t="n">
        <v>-1.786844513613144</v>
      </c>
      <c r="G773" s="5" t="n">
        <v>0</v>
      </c>
      <c r="H773" s="5" t="n">
        <v>1</v>
      </c>
      <c r="I773" s="5" t="n">
        <v>0</v>
      </c>
      <c r="J773" s="5" t="n">
        <v>1</v>
      </c>
      <c r="K773" s="5" t="n">
        <v>0</v>
      </c>
      <c r="L773" s="5" t="n">
        <v>0</v>
      </c>
      <c r="M773" s="5" t="n">
        <v>0</v>
      </c>
      <c r="N773" s="5" t="n">
        <v>0</v>
      </c>
      <c r="O773" s="5" t="n">
        <v>0</v>
      </c>
      <c r="P773" s="5" t="n">
        <v>1</v>
      </c>
      <c r="Q773" s="5" t="n">
        <v>0</v>
      </c>
      <c r="R773" s="5" t="n">
        <v>0</v>
      </c>
      <c r="S773" s="5" t="n">
        <v>0</v>
      </c>
      <c r="T773" s="5" t="n">
        <v>1</v>
      </c>
      <c r="U773" s="5" t="inlineStr">
        <is>
          <t>testing</t>
        </is>
      </c>
      <c r="V773" s="5" t="n">
        <v>0</v>
      </c>
    </row>
    <row r="774">
      <c r="A774" s="5" t="n">
        <v>770</v>
      </c>
      <c r="B774" s="5" t="n">
        <v>0</v>
      </c>
      <c r="C774" s="6" t="n">
        <v>-0.7357010147163632</v>
      </c>
      <c r="D774" s="6" t="n">
        <v>-0.5583223485139198</v>
      </c>
      <c r="E774" s="6" t="n">
        <v>2.38827914836729</v>
      </c>
      <c r="F774" s="6" t="n">
        <v>-0.8850484360866833</v>
      </c>
      <c r="G774" s="5" t="n">
        <v>0</v>
      </c>
      <c r="H774" s="5" t="n">
        <v>0</v>
      </c>
      <c r="I774" s="5" t="n">
        <v>0</v>
      </c>
      <c r="J774" s="5" t="n">
        <v>1</v>
      </c>
      <c r="K774" s="5" t="n">
        <v>0</v>
      </c>
      <c r="L774" s="5" t="n">
        <v>0</v>
      </c>
      <c r="M774" s="5" t="n">
        <v>0</v>
      </c>
      <c r="N774" s="5" t="n">
        <v>0</v>
      </c>
      <c r="O774" s="5" t="n">
        <v>0</v>
      </c>
      <c r="P774" s="5" t="n">
        <v>0</v>
      </c>
      <c r="Q774" s="5" t="n">
        <v>0</v>
      </c>
      <c r="R774" s="5" t="n">
        <v>0</v>
      </c>
      <c r="S774" s="5" t="n">
        <v>1</v>
      </c>
      <c r="T774" s="5" t="n">
        <v>0</v>
      </c>
      <c r="U774" s="5" t="inlineStr">
        <is>
          <t>training</t>
        </is>
      </c>
      <c r="V774" s="5" t="n">
        <v>0</v>
      </c>
    </row>
    <row r="775">
      <c r="A775" s="5" t="n">
        <v>771</v>
      </c>
      <c r="B775" s="5" t="n">
        <v>0</v>
      </c>
      <c r="C775" s="6" t="n">
        <v>0.275406400796963</v>
      </c>
      <c r="D775" s="6" t="n">
        <v>-0.1534964462774357</v>
      </c>
      <c r="E775" s="6" t="n">
        <v>-0.8297226174589928</v>
      </c>
      <c r="F775" s="6" t="n">
        <v>-0.8850484360866833</v>
      </c>
      <c r="G775" s="5" t="n">
        <v>1</v>
      </c>
      <c r="H775" s="5" t="n">
        <v>0</v>
      </c>
      <c r="I775" s="5" t="n">
        <v>0</v>
      </c>
      <c r="J775" s="5" t="n">
        <v>0</v>
      </c>
      <c r="K775" s="5" t="n">
        <v>0</v>
      </c>
      <c r="L775" s="5" t="n">
        <v>0</v>
      </c>
      <c r="M775" s="5" t="n">
        <v>0</v>
      </c>
      <c r="N775" s="5" t="n">
        <v>0</v>
      </c>
      <c r="O775" s="5" t="n">
        <v>1</v>
      </c>
      <c r="P775" s="5" t="n">
        <v>1</v>
      </c>
      <c r="Q775" s="5" t="n">
        <v>0</v>
      </c>
      <c r="R775" s="5" t="n">
        <v>1</v>
      </c>
      <c r="S775" s="5" t="n">
        <v>0</v>
      </c>
      <c r="T775" s="5" t="n">
        <v>0</v>
      </c>
      <c r="U775" s="5" t="inlineStr">
        <is>
          <t>training</t>
        </is>
      </c>
      <c r="V775" s="5" t="n">
        <v>0</v>
      </c>
    </row>
    <row r="776">
      <c r="A776" s="5" t="n">
        <v>772</v>
      </c>
      <c r="B776" s="5" t="n">
        <v>1</v>
      </c>
      <c r="C776" s="6" t="n">
        <v>1.286513816310289</v>
      </c>
      <c r="D776" s="6" t="n">
        <v>1.684490126279393</v>
      </c>
      <c r="E776" s="6" t="n">
        <v>-0.9166956381570004</v>
      </c>
      <c r="F776" s="6" t="n">
        <v>0.01674764143977723</v>
      </c>
      <c r="G776" s="5" t="n">
        <v>1</v>
      </c>
      <c r="H776" s="5" t="n">
        <v>0</v>
      </c>
      <c r="I776" s="5" t="n">
        <v>0</v>
      </c>
      <c r="J776" s="5" t="n">
        <v>1</v>
      </c>
      <c r="K776" s="5" t="n">
        <v>0</v>
      </c>
      <c r="L776" s="5" t="n">
        <v>0</v>
      </c>
      <c r="M776" s="5" t="n">
        <v>0</v>
      </c>
      <c r="N776" s="5" t="n">
        <v>0</v>
      </c>
      <c r="O776" s="5" t="n">
        <v>0</v>
      </c>
      <c r="P776" s="5" t="n">
        <v>0</v>
      </c>
      <c r="Q776" s="5" t="n">
        <v>0</v>
      </c>
      <c r="R776" s="5" t="n">
        <v>0</v>
      </c>
      <c r="S776" s="5" t="n">
        <v>0</v>
      </c>
      <c r="T776" s="5" t="n">
        <v>0</v>
      </c>
      <c r="U776" s="5" t="inlineStr">
        <is>
          <t>testing</t>
        </is>
      </c>
      <c r="V776" s="5" t="n">
        <v>0</v>
      </c>
    </row>
    <row r="777">
      <c r="A777" s="5" t="n">
        <v>773</v>
      </c>
      <c r="B777" s="5" t="n">
        <v>0</v>
      </c>
      <c r="C777" s="6" t="n">
        <v>0.02262954691863145</v>
      </c>
      <c r="D777" s="6" t="n">
        <v>0.008503893165513476</v>
      </c>
      <c r="E777" s="6" t="n">
        <v>0.04000758952108359</v>
      </c>
      <c r="F777" s="6" t="n">
        <v>-1.786844513613144</v>
      </c>
      <c r="G777" s="5" t="n">
        <v>0</v>
      </c>
      <c r="H777" s="5" t="n">
        <v>0</v>
      </c>
      <c r="I777" s="5" t="n">
        <v>0</v>
      </c>
      <c r="J777" s="5" t="n">
        <v>1</v>
      </c>
      <c r="K777" s="5" t="n">
        <v>0</v>
      </c>
      <c r="L777" s="5" t="n">
        <v>0</v>
      </c>
      <c r="M777" s="5" t="n">
        <v>0</v>
      </c>
      <c r="N777" s="5" t="n">
        <v>0</v>
      </c>
      <c r="O777" s="5" t="n">
        <v>0</v>
      </c>
      <c r="P777" s="5" t="n">
        <v>0</v>
      </c>
      <c r="Q777" s="5" t="n">
        <v>0</v>
      </c>
      <c r="R777" s="5" t="n">
        <v>1</v>
      </c>
      <c r="S777" s="5" t="n">
        <v>0</v>
      </c>
      <c r="T777" s="5" t="n">
        <v>0</v>
      </c>
      <c r="U777" s="5" t="inlineStr">
        <is>
          <t>testing</t>
        </is>
      </c>
      <c r="V777" s="5" t="n">
        <v>0</v>
      </c>
    </row>
    <row r="778">
      <c r="A778" s="5" t="n">
        <v>774</v>
      </c>
      <c r="B778" s="5" t="n">
        <v>0</v>
      </c>
      <c r="C778" s="6" t="n">
        <v>0.275406400796963</v>
      </c>
      <c r="D778" s="6" t="n">
        <v>-0.3595832711843407</v>
      </c>
      <c r="E778" s="6" t="n">
        <v>1.431575920689206</v>
      </c>
      <c r="F778" s="6" t="n">
        <v>0.9185437189662378</v>
      </c>
      <c r="G778" s="5" t="n">
        <v>0</v>
      </c>
      <c r="H778" s="5" t="n">
        <v>0</v>
      </c>
      <c r="I778" s="5" t="n">
        <v>0</v>
      </c>
      <c r="J778" s="5" t="n">
        <v>1</v>
      </c>
      <c r="K778" s="5" t="n">
        <v>0</v>
      </c>
      <c r="L778" s="5" t="n">
        <v>0</v>
      </c>
      <c r="M778" s="5" t="n">
        <v>1</v>
      </c>
      <c r="N778" s="5" t="n">
        <v>0</v>
      </c>
      <c r="O778" s="5" t="n">
        <v>0</v>
      </c>
      <c r="P778" s="5" t="n">
        <v>0</v>
      </c>
      <c r="Q778" s="5" t="n">
        <v>0</v>
      </c>
      <c r="R778" s="5" t="n">
        <v>0</v>
      </c>
      <c r="S778" s="5" t="n">
        <v>1</v>
      </c>
      <c r="T778" s="5" t="n">
        <v>0</v>
      </c>
      <c r="U778" s="5" t="inlineStr">
        <is>
          <t>training</t>
        </is>
      </c>
      <c r="V778" s="5" t="n">
        <v>1</v>
      </c>
    </row>
    <row r="779">
      <c r="A779" s="5" t="n">
        <v>775</v>
      </c>
      <c r="B779" s="5" t="n">
        <v>0</v>
      </c>
      <c r="C779" s="6" t="n">
        <v>-0.7357010147163632</v>
      </c>
      <c r="D779" s="6" t="n">
        <v>-0.6195535783249697</v>
      </c>
      <c r="E779" s="6" t="n">
        <v>2.649198210461313</v>
      </c>
      <c r="F779" s="6" t="n">
        <v>-0.8850484360866833</v>
      </c>
      <c r="G779" s="5" t="n">
        <v>0</v>
      </c>
      <c r="H779" s="5" t="n">
        <v>0</v>
      </c>
      <c r="I779" s="5" t="n">
        <v>1</v>
      </c>
      <c r="J779" s="5" t="n">
        <v>1</v>
      </c>
      <c r="K779" s="5" t="n">
        <v>0</v>
      </c>
      <c r="L779" s="5" t="n">
        <v>0</v>
      </c>
      <c r="M779" s="5" t="n">
        <v>1</v>
      </c>
      <c r="N779" s="5" t="n">
        <v>0</v>
      </c>
      <c r="O779" s="5" t="n">
        <v>0</v>
      </c>
      <c r="P779" s="5" t="n">
        <v>0</v>
      </c>
      <c r="Q779" s="5" t="n">
        <v>1</v>
      </c>
      <c r="R779" s="5" t="n">
        <v>1</v>
      </c>
      <c r="S779" s="5" t="n">
        <v>0</v>
      </c>
      <c r="T779" s="5" t="n">
        <v>0</v>
      </c>
      <c r="U779" s="5" t="inlineStr">
        <is>
          <t>training</t>
        </is>
      </c>
      <c r="V779" s="5" t="n">
        <v>0</v>
      </c>
    </row>
    <row r="780">
      <c r="A780" s="5" t="n">
        <v>776</v>
      </c>
      <c r="B780" s="5" t="n">
        <v>1</v>
      </c>
      <c r="C780" s="6" t="n">
        <v>0.275406400796963</v>
      </c>
      <c r="D780" s="6" t="n">
        <v>-0.6576918871787093</v>
      </c>
      <c r="E780" s="6" t="n">
        <v>-0.9166956381570004</v>
      </c>
      <c r="F780" s="6" t="n">
        <v>0.9185437189662378</v>
      </c>
      <c r="G780" s="5" t="n">
        <v>1</v>
      </c>
      <c r="H780" s="5" t="n">
        <v>0</v>
      </c>
      <c r="I780" s="5" t="n">
        <v>0</v>
      </c>
      <c r="J780" s="5" t="n">
        <v>0</v>
      </c>
      <c r="K780" s="5" t="n">
        <v>0</v>
      </c>
      <c r="L780" s="5" t="n">
        <v>0</v>
      </c>
      <c r="M780" s="5" t="n">
        <v>0</v>
      </c>
      <c r="N780" s="5" t="n">
        <v>0</v>
      </c>
      <c r="O780" s="5" t="n">
        <v>1</v>
      </c>
      <c r="P780" s="5" t="n">
        <v>1</v>
      </c>
      <c r="Q780" s="5" t="n">
        <v>0</v>
      </c>
      <c r="R780" s="5" t="n">
        <v>1</v>
      </c>
      <c r="S780" s="5" t="n">
        <v>0</v>
      </c>
      <c r="T780" s="5" t="n">
        <v>0</v>
      </c>
      <c r="U780" s="5" t="inlineStr">
        <is>
          <t>training</t>
        </is>
      </c>
      <c r="V780" s="5" t="n">
        <v>1</v>
      </c>
    </row>
    <row r="781">
      <c r="A781" s="5" t="n">
        <v>777</v>
      </c>
      <c r="B781" s="5" t="n">
        <v>0</v>
      </c>
      <c r="C781" s="6" t="n">
        <v>1.286513816310289</v>
      </c>
      <c r="D781" s="6" t="n">
        <v>0.09947600602764474</v>
      </c>
      <c r="E781" s="6" t="n">
        <v>0.1269806102190912</v>
      </c>
      <c r="F781" s="6" t="n">
        <v>0.9185437189662378</v>
      </c>
      <c r="G781" s="5" t="n">
        <v>0</v>
      </c>
      <c r="H781" s="5" t="n">
        <v>0</v>
      </c>
      <c r="I781" s="5" t="n">
        <v>0</v>
      </c>
      <c r="J781" s="5" t="n">
        <v>1</v>
      </c>
      <c r="K781" s="5" t="n">
        <v>0</v>
      </c>
      <c r="L781" s="5" t="n">
        <v>0</v>
      </c>
      <c r="M781" s="5" t="n">
        <v>0</v>
      </c>
      <c r="N781" s="5" t="n">
        <v>0</v>
      </c>
      <c r="O781" s="5" t="n">
        <v>0</v>
      </c>
      <c r="P781" s="5" t="n">
        <v>0</v>
      </c>
      <c r="Q781" s="5" t="n">
        <v>0</v>
      </c>
      <c r="R781" s="5" t="n">
        <v>1</v>
      </c>
      <c r="S781" s="5" t="n">
        <v>0</v>
      </c>
      <c r="T781" s="5" t="n">
        <v>0</v>
      </c>
      <c r="U781" s="5" t="inlineStr">
        <is>
          <t>testing</t>
        </is>
      </c>
      <c r="V781" s="5" t="n">
        <v>0</v>
      </c>
    </row>
    <row r="782">
      <c r="A782" s="5" t="n">
        <v>778</v>
      </c>
      <c r="B782" s="5" t="n">
        <v>0</v>
      </c>
      <c r="C782" s="6" t="n">
        <v>-0.2301473069597001</v>
      </c>
      <c r="D782" s="6" t="n">
        <v>0.09037879474143161</v>
      </c>
      <c r="E782" s="6" t="n">
        <v>-0.9166956381570004</v>
      </c>
      <c r="F782" s="6" t="n">
        <v>0.9185437189662378</v>
      </c>
      <c r="G782" s="5" t="n">
        <v>1</v>
      </c>
      <c r="H782" s="5" t="n">
        <v>0</v>
      </c>
      <c r="I782" s="5" t="n">
        <v>0</v>
      </c>
      <c r="J782" s="5" t="n">
        <v>0</v>
      </c>
      <c r="K782" s="5" t="n">
        <v>0</v>
      </c>
      <c r="L782" s="5" t="n">
        <v>0</v>
      </c>
      <c r="M782" s="5" t="n">
        <v>0</v>
      </c>
      <c r="N782" s="5" t="n">
        <v>0</v>
      </c>
      <c r="O782" s="5" t="n">
        <v>0</v>
      </c>
      <c r="P782" s="5" t="n">
        <v>0</v>
      </c>
      <c r="Q782" s="5" t="n">
        <v>0</v>
      </c>
      <c r="R782" s="5" t="n">
        <v>0</v>
      </c>
      <c r="S782" s="5" t="n">
        <v>1</v>
      </c>
      <c r="T782" s="5" t="n">
        <v>0</v>
      </c>
      <c r="U782" s="5" t="inlineStr">
        <is>
          <t>training</t>
        </is>
      </c>
      <c r="V782" s="5" t="n">
        <v>0</v>
      </c>
    </row>
    <row r="783">
      <c r="A783" s="5" t="n">
        <v>779</v>
      </c>
      <c r="B783" s="5" t="n">
        <v>0</v>
      </c>
      <c r="C783" s="6" t="n">
        <v>1.286513816310289</v>
      </c>
      <c r="D783" s="6" t="n">
        <v>0.860842612135328</v>
      </c>
      <c r="E783" s="6" t="n">
        <v>0.2139536309170988</v>
      </c>
      <c r="F783" s="6" t="n">
        <v>0.9185437189662378</v>
      </c>
      <c r="G783" s="5" t="n">
        <v>0</v>
      </c>
      <c r="H783" s="5" t="n">
        <v>0</v>
      </c>
      <c r="I783" s="5" t="n">
        <v>0</v>
      </c>
      <c r="J783" s="5" t="n">
        <v>1</v>
      </c>
      <c r="K783" s="5" t="n">
        <v>0</v>
      </c>
      <c r="L783" s="5" t="n">
        <v>0</v>
      </c>
      <c r="M783" s="5" t="n">
        <v>0</v>
      </c>
      <c r="N783" s="5" t="n">
        <v>1</v>
      </c>
      <c r="O783" s="5" t="n">
        <v>0</v>
      </c>
      <c r="P783" s="5" t="n">
        <v>0</v>
      </c>
      <c r="Q783" s="5" t="n">
        <v>0</v>
      </c>
      <c r="R783" s="5" t="n">
        <v>1</v>
      </c>
      <c r="S783" s="5" t="n">
        <v>0</v>
      </c>
      <c r="T783" s="5" t="n">
        <v>0</v>
      </c>
      <c r="U783" s="5" t="inlineStr">
        <is>
          <t>training</t>
        </is>
      </c>
      <c r="V783" s="5" t="n">
        <v>1</v>
      </c>
    </row>
    <row r="784">
      <c r="A784" s="5" t="n">
        <v>780</v>
      </c>
      <c r="B784" s="5" t="n">
        <v>0</v>
      </c>
      <c r="C784" s="6" t="n">
        <v>-0.2301473069597001</v>
      </c>
      <c r="D784" s="6" t="n">
        <v>0.217389860006638</v>
      </c>
      <c r="E784" s="6" t="n">
        <v>2.73617123115932</v>
      </c>
      <c r="F784" s="6" t="n">
        <v>-0.8850484360866833</v>
      </c>
      <c r="G784" s="5" t="n">
        <v>0</v>
      </c>
      <c r="H784" s="5" t="n">
        <v>1</v>
      </c>
      <c r="I784" s="5" t="n">
        <v>0</v>
      </c>
      <c r="J784" s="5" t="n">
        <v>0</v>
      </c>
      <c r="K784" s="5" t="n">
        <v>0</v>
      </c>
      <c r="L784" s="5" t="n">
        <v>0</v>
      </c>
      <c r="M784" s="5" t="n">
        <v>0</v>
      </c>
      <c r="N784" s="5" t="n">
        <v>0</v>
      </c>
      <c r="O784" s="5" t="n">
        <v>0</v>
      </c>
      <c r="P784" s="5" t="n">
        <v>0</v>
      </c>
      <c r="Q784" s="5" t="n">
        <v>0</v>
      </c>
      <c r="R784" s="5" t="n">
        <v>0</v>
      </c>
      <c r="S784" s="5" t="n">
        <v>0</v>
      </c>
      <c r="T784" s="5" t="n">
        <v>0</v>
      </c>
      <c r="U784" s="5" t="inlineStr">
        <is>
          <t>testing</t>
        </is>
      </c>
      <c r="V784" s="5" t="n">
        <v>0</v>
      </c>
    </row>
    <row r="785">
      <c r="A785" s="5" t="n">
        <v>781</v>
      </c>
      <c r="B785" s="5" t="n">
        <v>1</v>
      </c>
      <c r="C785" s="6" t="n">
        <v>1.539290670188621</v>
      </c>
      <c r="D785" s="6" t="n">
        <v>0.588626059032489</v>
      </c>
      <c r="E785" s="6" t="n">
        <v>-0.9166956381570004</v>
      </c>
      <c r="F785" s="6" t="n">
        <v>-0.8850484360866833</v>
      </c>
      <c r="G785" s="5" t="n">
        <v>0</v>
      </c>
      <c r="H785" s="5" t="n">
        <v>1</v>
      </c>
      <c r="I785" s="5" t="n">
        <v>0</v>
      </c>
      <c r="J785" s="5" t="n">
        <v>1</v>
      </c>
      <c r="K785" s="5" t="n">
        <v>0</v>
      </c>
      <c r="L785" s="5" t="n">
        <v>0</v>
      </c>
      <c r="M785" s="5" t="n">
        <v>0</v>
      </c>
      <c r="N785" s="5" t="n">
        <v>0</v>
      </c>
      <c r="O785" s="5" t="n">
        <v>0</v>
      </c>
      <c r="P785" s="5" t="n">
        <v>0</v>
      </c>
      <c r="Q785" s="5" t="n">
        <v>0</v>
      </c>
      <c r="R785" s="5" t="n">
        <v>0</v>
      </c>
      <c r="S785" s="5" t="n">
        <v>1</v>
      </c>
      <c r="T785" s="5" t="n">
        <v>0</v>
      </c>
      <c r="U785" s="5" t="inlineStr">
        <is>
          <t>training</t>
        </is>
      </c>
      <c r="V785" s="5" t="n">
        <v>1</v>
      </c>
    </row>
    <row r="786">
      <c r="A786" s="5" t="n">
        <v>782</v>
      </c>
      <c r="B786" s="5" t="n">
        <v>0</v>
      </c>
      <c r="C786" s="6" t="n">
        <v>0.275406400796963</v>
      </c>
      <c r="D786" s="6" t="n">
        <v>-0.4586029171073528</v>
      </c>
      <c r="E786" s="6" t="n">
        <v>2.127360086273267</v>
      </c>
      <c r="F786" s="6" t="n">
        <v>0.9185437189662378</v>
      </c>
      <c r="G786" s="5" t="n">
        <v>0</v>
      </c>
      <c r="H786" s="5" t="n">
        <v>0</v>
      </c>
      <c r="I786" s="5" t="n">
        <v>0</v>
      </c>
      <c r="J786" s="5" t="n">
        <v>1</v>
      </c>
      <c r="K786" s="5" t="n">
        <v>0</v>
      </c>
      <c r="L786" s="5" t="n">
        <v>0</v>
      </c>
      <c r="M786" s="5" t="n">
        <v>0</v>
      </c>
      <c r="N786" s="5" t="n">
        <v>1</v>
      </c>
      <c r="O786" s="5" t="n">
        <v>0</v>
      </c>
      <c r="P786" s="5" t="n">
        <v>0</v>
      </c>
      <c r="Q786" s="5" t="n">
        <v>0</v>
      </c>
      <c r="R786" s="5" t="n">
        <v>1</v>
      </c>
      <c r="S786" s="5" t="n">
        <v>0</v>
      </c>
      <c r="T786" s="5" t="n">
        <v>0</v>
      </c>
      <c r="U786" s="5" t="inlineStr">
        <is>
          <t>testing</t>
        </is>
      </c>
      <c r="V786" s="5" t="n">
        <v>0</v>
      </c>
    </row>
    <row r="787">
      <c r="A787" s="5" t="n">
        <v>783</v>
      </c>
      <c r="B787" s="5" t="n">
        <v>0</v>
      </c>
      <c r="C787" s="6" t="n">
        <v>-0.7357010147163632</v>
      </c>
      <c r="D787" s="6" t="n">
        <v>-0.6440460702493896</v>
      </c>
      <c r="E787" s="6" t="n">
        <v>-0.3948575139689546</v>
      </c>
      <c r="F787" s="6" t="n">
        <v>-0.8850484360866833</v>
      </c>
      <c r="G787" s="5" t="n">
        <v>0</v>
      </c>
      <c r="H787" s="5" t="n">
        <v>1</v>
      </c>
      <c r="I787" s="5" t="n">
        <v>0</v>
      </c>
      <c r="J787" s="5" t="n">
        <v>0</v>
      </c>
      <c r="K787" s="5" t="n">
        <v>0</v>
      </c>
      <c r="L787" s="5" t="n">
        <v>1</v>
      </c>
      <c r="M787" s="5" t="n">
        <v>0</v>
      </c>
      <c r="N787" s="5" t="n">
        <v>0</v>
      </c>
      <c r="O787" s="5" t="n">
        <v>0</v>
      </c>
      <c r="P787" s="5" t="n">
        <v>0</v>
      </c>
      <c r="Q787" s="5" t="n">
        <v>0</v>
      </c>
      <c r="R787" s="5" t="n">
        <v>0</v>
      </c>
      <c r="S787" s="5" t="n">
        <v>0</v>
      </c>
      <c r="T787" s="5" t="n">
        <v>0</v>
      </c>
      <c r="U787" s="5" t="inlineStr">
        <is>
          <t>training</t>
        </is>
      </c>
      <c r="V787" s="5" t="n">
        <v>1</v>
      </c>
    </row>
    <row r="788">
      <c r="A788" s="5" t="n">
        <v>784</v>
      </c>
      <c r="B788" s="5" t="n">
        <v>1</v>
      </c>
      <c r="C788" s="6" t="n">
        <v>-0.7357010147163632</v>
      </c>
      <c r="D788" s="6" t="n">
        <v>-0.8448845040296333</v>
      </c>
      <c r="E788" s="6" t="n">
        <v>-1.090641679553016</v>
      </c>
      <c r="F788" s="6" t="n">
        <v>0.9185437189662378</v>
      </c>
      <c r="G788" s="5" t="n">
        <v>0</v>
      </c>
      <c r="H788" s="5" t="n">
        <v>1</v>
      </c>
      <c r="I788" s="5" t="n">
        <v>0</v>
      </c>
      <c r="J788" s="5" t="n">
        <v>0</v>
      </c>
      <c r="K788" s="5" t="n">
        <v>0</v>
      </c>
      <c r="L788" s="5" t="n">
        <v>0</v>
      </c>
      <c r="M788" s="5" t="n">
        <v>1</v>
      </c>
      <c r="N788" s="5" t="n">
        <v>0</v>
      </c>
      <c r="O788" s="5" t="n">
        <v>0</v>
      </c>
      <c r="P788" s="5" t="n">
        <v>0</v>
      </c>
      <c r="Q788" s="5" t="n">
        <v>0</v>
      </c>
      <c r="R788" s="5" t="n">
        <v>1</v>
      </c>
      <c r="S788" s="5" t="n">
        <v>0</v>
      </c>
      <c r="T788" s="5" t="n">
        <v>0</v>
      </c>
      <c r="U788" s="5" t="inlineStr">
        <is>
          <t>training</t>
        </is>
      </c>
      <c r="V788" s="5" t="n">
        <v>1</v>
      </c>
    </row>
    <row r="789">
      <c r="A789" s="5" t="n">
        <v>785</v>
      </c>
      <c r="B789" s="5" t="n">
        <v>0</v>
      </c>
      <c r="C789" s="6" t="n">
        <v>-0.06162940437414574</v>
      </c>
      <c r="D789" s="6" t="n">
        <v>1.125711417660841</v>
      </c>
      <c r="E789" s="6" t="n">
        <v>2.127360086273267</v>
      </c>
      <c r="F789" s="6" t="n">
        <v>-1.786844513613144</v>
      </c>
      <c r="G789" s="5" t="n">
        <v>0</v>
      </c>
      <c r="H789" s="5" t="n">
        <v>1</v>
      </c>
      <c r="I789" s="5" t="n">
        <v>0</v>
      </c>
      <c r="J789" s="5" t="n">
        <v>0</v>
      </c>
      <c r="K789" s="5" t="n">
        <v>0</v>
      </c>
      <c r="L789" s="5" t="n">
        <v>0</v>
      </c>
      <c r="M789" s="5" t="n">
        <v>0</v>
      </c>
      <c r="N789" s="5" t="n">
        <v>0</v>
      </c>
      <c r="O789" s="5" t="n">
        <v>1</v>
      </c>
      <c r="P789" s="5" t="n">
        <v>0</v>
      </c>
      <c r="Q789" s="5" t="n">
        <v>0</v>
      </c>
      <c r="R789" s="5" t="n">
        <v>1</v>
      </c>
      <c r="S789" s="5" t="n">
        <v>0</v>
      </c>
      <c r="T789" s="5" t="n">
        <v>0</v>
      </c>
      <c r="U789" s="5" t="inlineStr">
        <is>
          <t>testing</t>
        </is>
      </c>
      <c r="V789" s="5" t="n">
        <v>0</v>
      </c>
    </row>
    <row r="790">
      <c r="A790" s="5" t="n">
        <v>786</v>
      </c>
      <c r="B790" s="5" t="n">
        <v>0</v>
      </c>
      <c r="C790" s="6" t="n">
        <v>-0.2301473069597001</v>
      </c>
      <c r="D790" s="6" t="n">
        <v>-0.4582530243655754</v>
      </c>
      <c r="E790" s="6" t="n">
        <v>-0.04696543117692405</v>
      </c>
      <c r="F790" s="6" t="n">
        <v>0.9185437189662378</v>
      </c>
      <c r="G790" s="5" t="n">
        <v>0</v>
      </c>
      <c r="H790" s="5" t="n">
        <v>1</v>
      </c>
      <c r="I790" s="5" t="n">
        <v>0</v>
      </c>
      <c r="J790" s="5" t="n">
        <v>0</v>
      </c>
      <c r="K790" s="5" t="n">
        <v>0</v>
      </c>
      <c r="L790" s="5" t="n">
        <v>0</v>
      </c>
      <c r="M790" s="5" t="n">
        <v>0</v>
      </c>
      <c r="N790" s="5" t="n">
        <v>1</v>
      </c>
      <c r="O790" s="5" t="n">
        <v>0</v>
      </c>
      <c r="P790" s="5" t="n">
        <v>0</v>
      </c>
      <c r="Q790" s="5" t="n">
        <v>0</v>
      </c>
      <c r="R790" s="5" t="n">
        <v>0</v>
      </c>
      <c r="S790" s="5" t="n">
        <v>0</v>
      </c>
      <c r="T790" s="5" t="n">
        <v>0</v>
      </c>
      <c r="U790" s="5" t="inlineStr">
        <is>
          <t>training</t>
        </is>
      </c>
      <c r="V790" s="5" t="n">
        <v>1</v>
      </c>
    </row>
    <row r="791">
      <c r="A791" s="5" t="n">
        <v>787</v>
      </c>
      <c r="B791" s="5" t="n">
        <v>0</v>
      </c>
      <c r="C791" s="6" t="n">
        <v>0.1068884982114086</v>
      </c>
      <c r="D791" s="6" t="n">
        <v>-0.2014317519009433</v>
      </c>
      <c r="E791" s="6" t="n">
        <v>0.3878996723131141</v>
      </c>
      <c r="F791" s="6" t="n">
        <v>0.01674764143977723</v>
      </c>
      <c r="G791" s="5" t="n">
        <v>0</v>
      </c>
      <c r="H791" s="5" t="n">
        <v>0</v>
      </c>
      <c r="I791" s="5" t="n">
        <v>0</v>
      </c>
      <c r="J791" s="5" t="n">
        <v>0</v>
      </c>
      <c r="K791" s="5" t="n">
        <v>0</v>
      </c>
      <c r="L791" s="5" t="n">
        <v>0</v>
      </c>
      <c r="M791" s="5" t="n">
        <v>1</v>
      </c>
      <c r="N791" s="5" t="n">
        <v>0</v>
      </c>
      <c r="O791" s="5" t="n">
        <v>0</v>
      </c>
      <c r="P791" s="5" t="n">
        <v>0</v>
      </c>
      <c r="Q791" s="5" t="n">
        <v>0</v>
      </c>
      <c r="R791" s="5" t="n">
        <v>0</v>
      </c>
      <c r="S791" s="5" t="n">
        <v>1</v>
      </c>
      <c r="T791" s="5" t="n">
        <v>0</v>
      </c>
      <c r="U791" s="5" t="inlineStr">
        <is>
          <t>training</t>
        </is>
      </c>
      <c r="V791" s="5" t="n">
        <v>1</v>
      </c>
    </row>
    <row r="792">
      <c r="A792" s="5" t="n">
        <v>788</v>
      </c>
      <c r="B792" s="5" t="n">
        <v>0</v>
      </c>
      <c r="C792" s="6" t="n">
        <v>2.297621231823615</v>
      </c>
      <c r="D792" s="6" t="n">
        <v>-0.1748399035258588</v>
      </c>
      <c r="E792" s="6" t="n">
        <v>0.2139536309170988</v>
      </c>
      <c r="F792" s="6" t="n">
        <v>0.9185437189662378</v>
      </c>
      <c r="G792" s="5" t="n">
        <v>0</v>
      </c>
      <c r="H792" s="5" t="n">
        <v>0</v>
      </c>
      <c r="I792" s="5" t="n">
        <v>0</v>
      </c>
      <c r="J792" s="5" t="n">
        <v>1</v>
      </c>
      <c r="K792" s="5" t="n">
        <v>0</v>
      </c>
      <c r="L792" s="5" t="n">
        <v>0</v>
      </c>
      <c r="M792" s="5" t="n">
        <v>0</v>
      </c>
      <c r="N792" s="5" t="n">
        <v>0</v>
      </c>
      <c r="O792" s="5" t="n">
        <v>1</v>
      </c>
      <c r="P792" s="5" t="n">
        <v>0</v>
      </c>
      <c r="Q792" s="5" t="n">
        <v>0</v>
      </c>
      <c r="R792" s="5" t="n">
        <v>1</v>
      </c>
      <c r="S792" s="5" t="n">
        <v>0</v>
      </c>
      <c r="T792" s="5" t="n">
        <v>0</v>
      </c>
      <c r="U792" s="5" t="inlineStr">
        <is>
          <t>training</t>
        </is>
      </c>
      <c r="V792" s="5" t="n">
        <v>0</v>
      </c>
    </row>
    <row r="793">
      <c r="A793" s="5" t="n">
        <v>789</v>
      </c>
      <c r="B793" s="5" t="n">
        <v>1</v>
      </c>
      <c r="C793" s="6" t="n">
        <v>2.297621231823615</v>
      </c>
      <c r="D793" s="6" t="n">
        <v>1.040337588667148</v>
      </c>
      <c r="E793" s="6" t="n">
        <v>1.257629879293191</v>
      </c>
      <c r="F793" s="6" t="n">
        <v>0.9185437189662378</v>
      </c>
      <c r="G793" s="5" t="n">
        <v>0</v>
      </c>
      <c r="H793" s="5" t="n">
        <v>1</v>
      </c>
      <c r="I793" s="5" t="n">
        <v>0</v>
      </c>
      <c r="J793" s="5" t="n">
        <v>0</v>
      </c>
      <c r="K793" s="5" t="n">
        <v>1</v>
      </c>
      <c r="L793" s="5" t="n">
        <v>0</v>
      </c>
      <c r="M793" s="5" t="n">
        <v>0</v>
      </c>
      <c r="N793" s="5" t="n">
        <v>0</v>
      </c>
      <c r="O793" s="5" t="n">
        <v>0</v>
      </c>
      <c r="P793" s="5" t="n">
        <v>0</v>
      </c>
      <c r="Q793" s="5" t="n">
        <v>1</v>
      </c>
      <c r="R793" s="5" t="n">
        <v>0</v>
      </c>
      <c r="S793" s="5" t="n">
        <v>0</v>
      </c>
      <c r="T793" s="5" t="n">
        <v>0</v>
      </c>
      <c r="U793" s="5" t="inlineStr">
        <is>
          <t>training</t>
        </is>
      </c>
      <c r="V793" s="5" t="n">
        <v>1</v>
      </c>
    </row>
    <row r="794">
      <c r="A794" s="5" t="n">
        <v>790</v>
      </c>
      <c r="B794" s="5" t="n">
        <v>1</v>
      </c>
      <c r="C794" s="6" t="n">
        <v>1.623549621481398</v>
      </c>
      <c r="D794" s="6" t="n">
        <v>0.9612618290254498</v>
      </c>
      <c r="E794" s="6" t="n">
        <v>-0.7427495967609852</v>
      </c>
      <c r="F794" s="6" t="n">
        <v>0.9185437189662378</v>
      </c>
      <c r="G794" s="5" t="n">
        <v>1</v>
      </c>
      <c r="H794" s="5" t="n">
        <v>0</v>
      </c>
      <c r="I794" s="5" t="n">
        <v>0</v>
      </c>
      <c r="J794" s="5" t="n">
        <v>1</v>
      </c>
      <c r="K794" s="5" t="n">
        <v>0</v>
      </c>
      <c r="L794" s="5" t="n">
        <v>0</v>
      </c>
      <c r="M794" s="5" t="n">
        <v>0</v>
      </c>
      <c r="N794" s="5" t="n">
        <v>0</v>
      </c>
      <c r="O794" s="5" t="n">
        <v>0</v>
      </c>
      <c r="P794" s="5" t="n">
        <v>0</v>
      </c>
      <c r="Q794" s="5" t="n">
        <v>0</v>
      </c>
      <c r="R794" s="5" t="n">
        <v>0</v>
      </c>
      <c r="S794" s="5" t="n">
        <v>0</v>
      </c>
      <c r="T794" s="5" t="n">
        <v>0</v>
      </c>
      <c r="U794" s="5" t="inlineStr">
        <is>
          <t>testing</t>
        </is>
      </c>
      <c r="V794" s="5" t="n">
        <v>0</v>
      </c>
    </row>
    <row r="795">
      <c r="A795" s="5" t="n">
        <v>791</v>
      </c>
      <c r="B795" s="5" t="n">
        <v>1</v>
      </c>
      <c r="C795" s="6" t="n">
        <v>0.02262954691863145</v>
      </c>
      <c r="D795" s="6" t="n">
        <v>-0.7217222589239787</v>
      </c>
      <c r="E795" s="6" t="n">
        <v>0.3009266516151065</v>
      </c>
      <c r="F795" s="6" t="n">
        <v>-0.8850484360866833</v>
      </c>
      <c r="G795" s="5" t="n">
        <v>0</v>
      </c>
      <c r="H795" s="5" t="n">
        <v>1</v>
      </c>
      <c r="I795" s="5" t="n">
        <v>0</v>
      </c>
      <c r="J795" s="5" t="n">
        <v>0</v>
      </c>
      <c r="K795" s="5" t="n">
        <v>0</v>
      </c>
      <c r="L795" s="5" t="n">
        <v>0</v>
      </c>
      <c r="M795" s="5" t="n">
        <v>0</v>
      </c>
      <c r="N795" s="5" t="n">
        <v>0</v>
      </c>
      <c r="O795" s="5" t="n">
        <v>0</v>
      </c>
      <c r="P795" s="5" t="n">
        <v>0</v>
      </c>
      <c r="Q795" s="5" t="n">
        <v>0</v>
      </c>
      <c r="R795" s="5" t="n">
        <v>0</v>
      </c>
      <c r="S795" s="5" t="n">
        <v>0</v>
      </c>
      <c r="T795" s="5" t="n">
        <v>0</v>
      </c>
      <c r="U795" s="5" t="inlineStr">
        <is>
          <t>training</t>
        </is>
      </c>
      <c r="V795" s="5" t="n">
        <v>1</v>
      </c>
    </row>
    <row r="796">
      <c r="A796" s="5" t="n">
        <v>792</v>
      </c>
      <c r="B796" s="5" t="n">
        <v>0</v>
      </c>
      <c r="C796" s="6" t="n">
        <v>0.275406400796963</v>
      </c>
      <c r="D796" s="6" t="n">
        <v>1.07147804268534</v>
      </c>
      <c r="E796" s="6" t="n">
        <v>0.4748726930111218</v>
      </c>
      <c r="F796" s="6" t="n">
        <v>0.01674764143977723</v>
      </c>
      <c r="G796" s="5" t="n">
        <v>0</v>
      </c>
      <c r="H796" s="5" t="n">
        <v>0</v>
      </c>
      <c r="I796" s="5" t="n">
        <v>0</v>
      </c>
      <c r="J796" s="5" t="n">
        <v>0</v>
      </c>
      <c r="K796" s="5" t="n">
        <v>0</v>
      </c>
      <c r="L796" s="5" t="n">
        <v>0</v>
      </c>
      <c r="M796" s="5" t="n">
        <v>0</v>
      </c>
      <c r="N796" s="5" t="n">
        <v>0</v>
      </c>
      <c r="O796" s="5" t="n">
        <v>1</v>
      </c>
      <c r="P796" s="5" t="n">
        <v>0</v>
      </c>
      <c r="Q796" s="5" t="n">
        <v>0</v>
      </c>
      <c r="R796" s="5" t="n">
        <v>1</v>
      </c>
      <c r="S796" s="5" t="n">
        <v>0</v>
      </c>
      <c r="T796" s="5" t="n">
        <v>0</v>
      </c>
      <c r="U796" s="5" t="inlineStr">
        <is>
          <t>testing</t>
        </is>
      </c>
      <c r="V796" s="5" t="n">
        <v>0</v>
      </c>
    </row>
    <row r="797">
      <c r="A797" s="5" t="n">
        <v>793</v>
      </c>
      <c r="B797" s="5" t="n">
        <v>0</v>
      </c>
      <c r="C797" s="6" t="n">
        <v>-1.241254722473026</v>
      </c>
      <c r="D797" s="6" t="n">
        <v>-0.7101757984453235</v>
      </c>
      <c r="E797" s="6" t="n">
        <v>-0.7427495967609852</v>
      </c>
      <c r="F797" s="6" t="n">
        <v>-1.786844513613144</v>
      </c>
      <c r="G797" s="5" t="n">
        <v>0</v>
      </c>
      <c r="H797" s="5" t="n">
        <v>0</v>
      </c>
      <c r="I797" s="5" t="n">
        <v>0</v>
      </c>
      <c r="J797" s="5" t="n">
        <v>1</v>
      </c>
      <c r="K797" s="5" t="n">
        <v>0</v>
      </c>
      <c r="L797" s="5" t="n">
        <v>0</v>
      </c>
      <c r="M797" s="5" t="n">
        <v>0</v>
      </c>
      <c r="N797" s="5" t="n">
        <v>0</v>
      </c>
      <c r="O797" s="5" t="n">
        <v>1</v>
      </c>
      <c r="P797" s="5" t="n">
        <v>0</v>
      </c>
      <c r="Q797" s="5" t="n">
        <v>0</v>
      </c>
      <c r="R797" s="5" t="n">
        <v>0</v>
      </c>
      <c r="S797" s="5" t="n">
        <v>0</v>
      </c>
      <c r="T797" s="5" t="n">
        <v>1</v>
      </c>
      <c r="U797" s="5" t="inlineStr">
        <is>
          <t>training</t>
        </is>
      </c>
      <c r="V797" s="5" t="n">
        <v>0</v>
      </c>
    </row>
    <row r="798">
      <c r="A798" s="5" t="n">
        <v>794</v>
      </c>
      <c r="B798" s="5" t="n">
        <v>0</v>
      </c>
      <c r="C798" s="6" t="n">
        <v>0.275406400796963</v>
      </c>
      <c r="D798" s="6" t="n">
        <v>-0.1255050269352414</v>
      </c>
      <c r="E798" s="6" t="n">
        <v>1.344602899991198</v>
      </c>
      <c r="F798" s="6" t="n">
        <v>0.01674764143977723</v>
      </c>
      <c r="G798" s="5" t="n">
        <v>0</v>
      </c>
      <c r="H798" s="5" t="n">
        <v>0</v>
      </c>
      <c r="I798" s="5" t="n">
        <v>1</v>
      </c>
      <c r="J798" s="5" t="n">
        <v>0</v>
      </c>
      <c r="K798" s="5" t="n">
        <v>0</v>
      </c>
      <c r="L798" s="5" t="n">
        <v>0</v>
      </c>
      <c r="M798" s="5" t="n">
        <v>0</v>
      </c>
      <c r="N798" s="5" t="n">
        <v>0</v>
      </c>
      <c r="O798" s="5" t="n">
        <v>0</v>
      </c>
      <c r="P798" s="5" t="n">
        <v>0</v>
      </c>
      <c r="Q798" s="5" t="n">
        <v>1</v>
      </c>
      <c r="R798" s="5" t="n">
        <v>0</v>
      </c>
      <c r="S798" s="5" t="n">
        <v>0</v>
      </c>
      <c r="T798" s="5" t="n">
        <v>1</v>
      </c>
      <c r="U798" s="5" t="inlineStr">
        <is>
          <t>training</t>
        </is>
      </c>
      <c r="V798" s="5" t="n">
        <v>0</v>
      </c>
    </row>
    <row r="799">
      <c r="A799" s="5" t="n">
        <v>795</v>
      </c>
      <c r="B799" s="5" t="n">
        <v>0</v>
      </c>
      <c r="C799" s="6" t="n">
        <v>0.275406400796963</v>
      </c>
      <c r="D799" s="6" t="n">
        <v>-0.06602326083307868</v>
      </c>
      <c r="E799" s="6" t="n">
        <v>-0.307884493270947</v>
      </c>
      <c r="F799" s="6" t="n">
        <v>0.9185437189662378</v>
      </c>
      <c r="G799" s="5" t="n">
        <v>0</v>
      </c>
      <c r="H799" s="5" t="n">
        <v>0</v>
      </c>
      <c r="I799" s="5" t="n">
        <v>0</v>
      </c>
      <c r="J799" s="5" t="n">
        <v>0</v>
      </c>
      <c r="K799" s="5" t="n">
        <v>0</v>
      </c>
      <c r="L799" s="5" t="n">
        <v>0</v>
      </c>
      <c r="M799" s="5" t="n">
        <v>1</v>
      </c>
      <c r="N799" s="5" t="n">
        <v>0</v>
      </c>
      <c r="O799" s="5" t="n">
        <v>0</v>
      </c>
      <c r="P799" s="5" t="n">
        <v>1</v>
      </c>
      <c r="Q799" s="5" t="n">
        <v>0</v>
      </c>
      <c r="R799" s="5" t="n">
        <v>0</v>
      </c>
      <c r="S799" s="5" t="n">
        <v>0</v>
      </c>
      <c r="T799" s="5" t="n">
        <v>1</v>
      </c>
      <c r="U799" s="5" t="inlineStr">
        <is>
          <t>training</t>
        </is>
      </c>
      <c r="V799" s="5" t="n">
        <v>0</v>
      </c>
    </row>
    <row r="800">
      <c r="A800" s="5" t="n">
        <v>796</v>
      </c>
      <c r="B800" s="5" t="n">
        <v>0</v>
      </c>
      <c r="C800" s="6" t="n">
        <v>-0.9884778685946948</v>
      </c>
      <c r="D800" s="6" t="n">
        <v>-0.3322916373257013</v>
      </c>
      <c r="E800" s="6" t="n">
        <v>-1.177614700251023</v>
      </c>
      <c r="F800" s="6" t="n">
        <v>-0.8850484360866833</v>
      </c>
      <c r="G800" s="5" t="n">
        <v>0</v>
      </c>
      <c r="H800" s="5" t="n">
        <v>0</v>
      </c>
      <c r="I800" s="5" t="n">
        <v>0</v>
      </c>
      <c r="J800" s="5" t="n">
        <v>0</v>
      </c>
      <c r="K800" s="5" t="n">
        <v>0</v>
      </c>
      <c r="L800" s="5" t="n">
        <v>0</v>
      </c>
      <c r="M800" s="5" t="n">
        <v>1</v>
      </c>
      <c r="N800" s="5" t="n">
        <v>0</v>
      </c>
      <c r="O800" s="5" t="n">
        <v>0</v>
      </c>
      <c r="P800" s="5" t="n">
        <v>1</v>
      </c>
      <c r="Q800" s="5" t="n">
        <v>0</v>
      </c>
      <c r="R800" s="5" t="n">
        <v>0</v>
      </c>
      <c r="S800" s="5" t="n">
        <v>0</v>
      </c>
      <c r="T800" s="5" t="n">
        <v>1</v>
      </c>
      <c r="U800" s="5" t="inlineStr">
        <is>
          <t>training</t>
        </is>
      </c>
      <c r="V800" s="5" t="n">
        <v>1</v>
      </c>
    </row>
    <row r="801">
      <c r="A801" s="5" t="n">
        <v>797</v>
      </c>
      <c r="B801" s="5" t="n">
        <v>1</v>
      </c>
      <c r="C801" s="6" t="n">
        <v>-0.2301473069597001</v>
      </c>
      <c r="D801" s="6" t="n">
        <v>1.490649547334698</v>
      </c>
      <c r="E801" s="6" t="n">
        <v>1.344602899991198</v>
      </c>
      <c r="F801" s="6" t="n">
        <v>-1.786844513613144</v>
      </c>
      <c r="G801" s="5" t="n">
        <v>1</v>
      </c>
      <c r="H801" s="5" t="n">
        <v>0</v>
      </c>
      <c r="I801" s="5" t="n">
        <v>0</v>
      </c>
      <c r="J801" s="5" t="n">
        <v>0</v>
      </c>
      <c r="K801" s="5" t="n">
        <v>0</v>
      </c>
      <c r="L801" s="5" t="n">
        <v>0</v>
      </c>
      <c r="M801" s="5" t="n">
        <v>0</v>
      </c>
      <c r="N801" s="5" t="n">
        <v>0</v>
      </c>
      <c r="O801" s="5" t="n">
        <v>1</v>
      </c>
      <c r="P801" s="5" t="n">
        <v>0</v>
      </c>
      <c r="Q801" s="5" t="n">
        <v>1</v>
      </c>
      <c r="R801" s="5" t="n">
        <v>1</v>
      </c>
      <c r="S801" s="5" t="n">
        <v>0</v>
      </c>
      <c r="T801" s="5" t="n">
        <v>0</v>
      </c>
      <c r="U801" s="5" t="inlineStr">
        <is>
          <t>training</t>
        </is>
      </c>
      <c r="V801" s="5" t="n">
        <v>1</v>
      </c>
    </row>
    <row r="802">
      <c r="A802" s="5" t="n">
        <v>798</v>
      </c>
      <c r="B802" s="5" t="n">
        <v>0</v>
      </c>
      <c r="C802" s="6" t="n">
        <v>-0.7357010147163632</v>
      </c>
      <c r="D802" s="6" t="n">
        <v>-0.6972297669995587</v>
      </c>
      <c r="E802" s="6" t="n">
        <v>-1.177614700251023</v>
      </c>
      <c r="F802" s="6" t="n">
        <v>-0.8850484360866833</v>
      </c>
      <c r="G802" s="5" t="n">
        <v>0</v>
      </c>
      <c r="H802" s="5" t="n">
        <v>0</v>
      </c>
      <c r="I802" s="5" t="n">
        <v>0</v>
      </c>
      <c r="J802" s="5" t="n">
        <v>1</v>
      </c>
      <c r="K802" s="5" t="n">
        <v>0</v>
      </c>
      <c r="L802" s="5" t="n">
        <v>0</v>
      </c>
      <c r="M802" s="5" t="n">
        <v>0</v>
      </c>
      <c r="N802" s="5" t="n">
        <v>0</v>
      </c>
      <c r="O802" s="5" t="n">
        <v>0</v>
      </c>
      <c r="P802" s="5" t="n">
        <v>1</v>
      </c>
      <c r="Q802" s="5" t="n">
        <v>0</v>
      </c>
      <c r="R802" s="5" t="n">
        <v>0</v>
      </c>
      <c r="S802" s="5" t="n">
        <v>0</v>
      </c>
      <c r="T802" s="5" t="n">
        <v>1</v>
      </c>
      <c r="U802" s="5" t="inlineStr">
        <is>
          <t>testing</t>
        </is>
      </c>
      <c r="V802" s="5" t="n">
        <v>0</v>
      </c>
    </row>
    <row r="803">
      <c r="A803" s="5" t="n">
        <v>799</v>
      </c>
      <c r="B803" s="5" t="n">
        <v>0</v>
      </c>
      <c r="C803" s="6" t="n">
        <v>0.275406400796963</v>
      </c>
      <c r="D803" s="6" t="n">
        <v>-0.8865217403011472</v>
      </c>
      <c r="E803" s="6" t="n">
        <v>1.605521962085221</v>
      </c>
      <c r="F803" s="6" t="n">
        <v>0.9185437189662378</v>
      </c>
      <c r="G803" s="5" t="n">
        <v>0</v>
      </c>
      <c r="H803" s="5" t="n">
        <v>0</v>
      </c>
      <c r="I803" s="5" t="n">
        <v>0</v>
      </c>
      <c r="J803" s="5" t="n">
        <v>0</v>
      </c>
      <c r="K803" s="5" t="n">
        <v>1</v>
      </c>
      <c r="L803" s="5" t="n">
        <v>0</v>
      </c>
      <c r="M803" s="5" t="n">
        <v>0</v>
      </c>
      <c r="N803" s="5" t="n">
        <v>0</v>
      </c>
      <c r="O803" s="5" t="n">
        <v>1</v>
      </c>
      <c r="P803" s="5" t="n">
        <v>0</v>
      </c>
      <c r="Q803" s="5" t="n">
        <v>0</v>
      </c>
      <c r="R803" s="5" t="n">
        <v>1</v>
      </c>
      <c r="S803" s="5" t="n">
        <v>0</v>
      </c>
      <c r="T803" s="5" t="n">
        <v>0</v>
      </c>
      <c r="U803" s="5" t="inlineStr">
        <is>
          <t>training</t>
        </is>
      </c>
      <c r="V803" s="5" t="n">
        <v>1</v>
      </c>
    </row>
    <row r="804">
      <c r="A804" s="5" t="n">
        <v>800</v>
      </c>
      <c r="B804" s="5" t="n">
        <v>0</v>
      </c>
      <c r="C804" s="6" t="n">
        <v>-0.9884778685946948</v>
      </c>
      <c r="D804" s="6" t="n">
        <v>-0.5954109791423272</v>
      </c>
      <c r="E804" s="6" t="n">
        <v>-0.04696543117692405</v>
      </c>
      <c r="F804" s="6" t="n">
        <v>0.9185437189662378</v>
      </c>
      <c r="G804" s="5" t="n">
        <v>0</v>
      </c>
      <c r="H804" s="5" t="n">
        <v>1</v>
      </c>
      <c r="I804" s="5" t="n">
        <v>0</v>
      </c>
      <c r="J804" s="5" t="n">
        <v>0</v>
      </c>
      <c r="K804" s="5" t="n">
        <v>0</v>
      </c>
      <c r="L804" s="5" t="n">
        <v>0</v>
      </c>
      <c r="M804" s="5" t="n">
        <v>0</v>
      </c>
      <c r="N804" s="5" t="n">
        <v>0</v>
      </c>
      <c r="O804" s="5" t="n">
        <v>1</v>
      </c>
      <c r="P804" s="5" t="n">
        <v>0</v>
      </c>
      <c r="Q804" s="5" t="n">
        <v>0</v>
      </c>
      <c r="R804" s="5" t="n">
        <v>1</v>
      </c>
      <c r="S804" s="5" t="n">
        <v>0</v>
      </c>
      <c r="T804" s="5" t="n">
        <v>0</v>
      </c>
      <c r="U804" s="5" t="inlineStr">
        <is>
          <t>training</t>
        </is>
      </c>
      <c r="V804" s="5" t="n">
        <v>0</v>
      </c>
    </row>
    <row r="805">
      <c r="A805" s="5" t="n">
        <v>801</v>
      </c>
      <c r="B805" s="5" t="n">
        <v>0</v>
      </c>
      <c r="C805" s="6" t="n">
        <v>0.275406400796963</v>
      </c>
      <c r="D805" s="6" t="n">
        <v>-0.5786161275370106</v>
      </c>
      <c r="E805" s="6" t="n">
        <v>1.605521962085221</v>
      </c>
      <c r="F805" s="6" t="n">
        <v>0.9185437189662378</v>
      </c>
      <c r="G805" s="5" t="n">
        <v>0</v>
      </c>
      <c r="H805" s="5" t="n">
        <v>0</v>
      </c>
      <c r="I805" s="5" t="n">
        <v>0</v>
      </c>
      <c r="J805" s="5" t="n">
        <v>1</v>
      </c>
      <c r="K805" s="5" t="n">
        <v>0</v>
      </c>
      <c r="L805" s="5" t="n">
        <v>0</v>
      </c>
      <c r="M805" s="5" t="n">
        <v>0</v>
      </c>
      <c r="N805" s="5" t="n">
        <v>0</v>
      </c>
      <c r="O805" s="5" t="n">
        <v>0</v>
      </c>
      <c r="P805" s="5" t="n">
        <v>0</v>
      </c>
      <c r="Q805" s="5" t="n">
        <v>1</v>
      </c>
      <c r="R805" s="5" t="n">
        <v>0</v>
      </c>
      <c r="S805" s="5" t="n">
        <v>0</v>
      </c>
      <c r="T805" s="5" t="n">
        <v>0</v>
      </c>
      <c r="U805" s="5" t="inlineStr">
        <is>
          <t>training</t>
        </is>
      </c>
      <c r="V805" s="5" t="n">
        <v>1</v>
      </c>
    </row>
    <row r="806">
      <c r="A806" s="5" t="n">
        <v>802</v>
      </c>
      <c r="B806" s="5" t="n">
        <v>0</v>
      </c>
      <c r="C806" s="6" t="n">
        <v>-0.2301473069597001</v>
      </c>
      <c r="D806" s="6" t="n">
        <v>-0.5093373646650798</v>
      </c>
      <c r="E806" s="6" t="n">
        <v>1.083683837897175</v>
      </c>
      <c r="F806" s="6" t="n">
        <v>0.01674764143977723</v>
      </c>
      <c r="G806" s="5" t="n">
        <v>0</v>
      </c>
      <c r="H806" s="5" t="n">
        <v>1</v>
      </c>
      <c r="I806" s="5" t="n">
        <v>0</v>
      </c>
      <c r="J806" s="5" t="n">
        <v>1</v>
      </c>
      <c r="K806" s="5" t="n">
        <v>0</v>
      </c>
      <c r="L806" s="5" t="n">
        <v>0</v>
      </c>
      <c r="M806" s="5" t="n">
        <v>0</v>
      </c>
      <c r="N806" s="5" t="n">
        <v>0</v>
      </c>
      <c r="O806" s="5" t="n">
        <v>0</v>
      </c>
      <c r="P806" s="5" t="n">
        <v>1</v>
      </c>
      <c r="Q806" s="5" t="n">
        <v>0</v>
      </c>
      <c r="R806" s="5" t="n">
        <v>0</v>
      </c>
      <c r="S806" s="5" t="n">
        <v>1</v>
      </c>
      <c r="T806" s="5" t="n">
        <v>0</v>
      </c>
      <c r="U806" s="5" t="inlineStr">
        <is>
          <t>testing</t>
        </is>
      </c>
      <c r="V806" s="5" t="n">
        <v>0</v>
      </c>
    </row>
    <row r="807">
      <c r="A807" s="5" t="n">
        <v>803</v>
      </c>
      <c r="B807" s="5" t="n">
        <v>0</v>
      </c>
      <c r="C807" s="6" t="n">
        <v>-0.06162940437414574</v>
      </c>
      <c r="D807" s="6" t="n">
        <v>0.3573469567176091</v>
      </c>
      <c r="E807" s="6" t="n">
        <v>-1.003668658855008</v>
      </c>
      <c r="F807" s="6" t="n">
        <v>-1.786844513613144</v>
      </c>
      <c r="G807" s="5" t="n">
        <v>1</v>
      </c>
      <c r="H807" s="5" t="n">
        <v>0</v>
      </c>
      <c r="I807" s="5" t="n">
        <v>0</v>
      </c>
      <c r="J807" s="5" t="n">
        <v>1</v>
      </c>
      <c r="K807" s="5" t="n">
        <v>0</v>
      </c>
      <c r="L807" s="5" t="n">
        <v>0</v>
      </c>
      <c r="M807" s="5" t="n">
        <v>0</v>
      </c>
      <c r="N807" s="5" t="n">
        <v>0</v>
      </c>
      <c r="O807" s="5" t="n">
        <v>0</v>
      </c>
      <c r="P807" s="5" t="n">
        <v>0</v>
      </c>
      <c r="Q807" s="5" t="n">
        <v>0</v>
      </c>
      <c r="R807" s="5" t="n">
        <v>0</v>
      </c>
      <c r="S807" s="5" t="n">
        <v>0</v>
      </c>
      <c r="T807" s="5" t="n">
        <v>1</v>
      </c>
      <c r="U807" s="5" t="inlineStr">
        <is>
          <t>training</t>
        </is>
      </c>
      <c r="V807" s="5" t="n">
        <v>0</v>
      </c>
    </row>
    <row r="808">
      <c r="A808" s="5" t="n">
        <v>804</v>
      </c>
      <c r="B808" s="5" t="n">
        <v>0</v>
      </c>
      <c r="C808" s="6" t="n">
        <v>-0.7357010147163632</v>
      </c>
      <c r="D808" s="6" t="n">
        <v>-0.7958995201807934</v>
      </c>
      <c r="E808" s="6" t="n">
        <v>-0.04696543117692405</v>
      </c>
      <c r="F808" s="6" t="n">
        <v>0.9185437189662378</v>
      </c>
      <c r="G808" s="5" t="n">
        <v>0</v>
      </c>
      <c r="H808" s="5" t="n">
        <v>0</v>
      </c>
      <c r="I808" s="5" t="n">
        <v>0</v>
      </c>
      <c r="J808" s="5" t="n">
        <v>1</v>
      </c>
      <c r="K808" s="5" t="n">
        <v>0</v>
      </c>
      <c r="L808" s="5" t="n">
        <v>0</v>
      </c>
      <c r="M808" s="5" t="n">
        <v>0</v>
      </c>
      <c r="N808" s="5" t="n">
        <v>0</v>
      </c>
      <c r="O808" s="5" t="n">
        <v>1</v>
      </c>
      <c r="P808" s="5" t="n">
        <v>0</v>
      </c>
      <c r="Q808" s="5" t="n">
        <v>0</v>
      </c>
      <c r="R808" s="5" t="n">
        <v>0</v>
      </c>
      <c r="S808" s="5" t="n">
        <v>1</v>
      </c>
      <c r="T808" s="5" t="n">
        <v>0</v>
      </c>
      <c r="U808" s="5" t="inlineStr">
        <is>
          <t>training</t>
        </is>
      </c>
      <c r="V808" s="5" t="n">
        <v>0</v>
      </c>
    </row>
    <row r="809">
      <c r="A809" s="5" t="n">
        <v>805</v>
      </c>
      <c r="B809" s="5" t="n">
        <v>0</v>
      </c>
      <c r="C809" s="6" t="n">
        <v>-0.7357010147163632</v>
      </c>
      <c r="D809" s="6" t="n">
        <v>1.477003730405379</v>
      </c>
      <c r="E809" s="6" t="n">
        <v>-1.003668658855008</v>
      </c>
      <c r="F809" s="6" t="n">
        <v>-1.786844513613144</v>
      </c>
      <c r="G809" s="5" t="n">
        <v>0</v>
      </c>
      <c r="H809" s="5" t="n">
        <v>1</v>
      </c>
      <c r="I809" s="5" t="n">
        <v>0</v>
      </c>
      <c r="J809" s="5" t="n">
        <v>0</v>
      </c>
      <c r="K809" s="5" t="n">
        <v>0</v>
      </c>
      <c r="L809" s="5" t="n">
        <v>0</v>
      </c>
      <c r="M809" s="5" t="n">
        <v>0</v>
      </c>
      <c r="N809" s="5" t="n">
        <v>0</v>
      </c>
      <c r="O809" s="5" t="n">
        <v>1</v>
      </c>
      <c r="P809" s="5" t="n">
        <v>1</v>
      </c>
      <c r="Q809" s="5" t="n">
        <v>0</v>
      </c>
      <c r="R809" s="5" t="n">
        <v>1</v>
      </c>
      <c r="S809" s="5" t="n">
        <v>0</v>
      </c>
      <c r="T809" s="5" t="n">
        <v>0</v>
      </c>
      <c r="U809" s="5" t="inlineStr">
        <is>
          <t>training</t>
        </is>
      </c>
      <c r="V809" s="5" t="n">
        <v>1</v>
      </c>
    </row>
    <row r="810">
      <c r="A810" s="5" t="n">
        <v>806</v>
      </c>
      <c r="B810" s="5" t="n">
        <v>1</v>
      </c>
      <c r="C810" s="6" t="n">
        <v>1.286513816310289</v>
      </c>
      <c r="D810" s="6" t="n">
        <v>2.106460772862972</v>
      </c>
      <c r="E810" s="6" t="n">
        <v>-1.003668658855008</v>
      </c>
      <c r="F810" s="6" t="n">
        <v>-0.8850484360866833</v>
      </c>
      <c r="G810" s="5" t="n">
        <v>1</v>
      </c>
      <c r="H810" s="5" t="n">
        <v>0</v>
      </c>
      <c r="I810" s="5" t="n">
        <v>0</v>
      </c>
      <c r="J810" s="5" t="n">
        <v>0</v>
      </c>
      <c r="K810" s="5" t="n">
        <v>0</v>
      </c>
      <c r="L810" s="5" t="n">
        <v>0</v>
      </c>
      <c r="M810" s="5" t="n">
        <v>0</v>
      </c>
      <c r="N810" s="5" t="n">
        <v>0</v>
      </c>
      <c r="O810" s="5" t="n">
        <v>0</v>
      </c>
      <c r="P810" s="5" t="n">
        <v>0</v>
      </c>
      <c r="Q810" s="5" t="n">
        <v>0</v>
      </c>
      <c r="R810" s="5" t="n">
        <v>1</v>
      </c>
      <c r="S810" s="5" t="n">
        <v>0</v>
      </c>
      <c r="T810" s="5" t="n">
        <v>0</v>
      </c>
      <c r="U810" s="5" t="inlineStr">
        <is>
          <t>training</t>
        </is>
      </c>
      <c r="V810" s="5" t="n">
        <v>1</v>
      </c>
    </row>
    <row r="811">
      <c r="A811" s="5" t="n">
        <v>807</v>
      </c>
      <c r="B811" s="5" t="n">
        <v>0</v>
      </c>
      <c r="C811" s="6" t="n">
        <v>-1.241254722473026</v>
      </c>
      <c r="D811" s="6" t="n">
        <v>-0.9309581185068806</v>
      </c>
      <c r="E811" s="6" t="n">
        <v>-0.8297226174589928</v>
      </c>
      <c r="F811" s="6" t="n">
        <v>0.01674764143977723</v>
      </c>
      <c r="G811" s="5" t="n">
        <v>0</v>
      </c>
      <c r="H811" s="5" t="n">
        <v>1</v>
      </c>
      <c r="I811" s="5" t="n">
        <v>0</v>
      </c>
      <c r="J811" s="5" t="n">
        <v>0</v>
      </c>
      <c r="K811" s="5" t="n">
        <v>0</v>
      </c>
      <c r="L811" s="5" t="n">
        <v>0</v>
      </c>
      <c r="M811" s="5" t="n">
        <v>0</v>
      </c>
      <c r="N811" s="5" t="n">
        <v>0</v>
      </c>
      <c r="O811" s="5" t="n">
        <v>0</v>
      </c>
      <c r="P811" s="5" t="n">
        <v>0</v>
      </c>
      <c r="Q811" s="5" t="n">
        <v>0</v>
      </c>
      <c r="R811" s="5" t="n">
        <v>0</v>
      </c>
      <c r="S811" s="5" t="n">
        <v>1</v>
      </c>
      <c r="T811" s="5" t="n">
        <v>0</v>
      </c>
      <c r="U811" s="5" t="inlineStr">
        <is>
          <t>training</t>
        </is>
      </c>
      <c r="V811" s="5" t="n">
        <v>0</v>
      </c>
    </row>
    <row r="812">
      <c r="A812" s="5" t="n">
        <v>808</v>
      </c>
      <c r="B812" s="5" t="n">
        <v>0</v>
      </c>
      <c r="C812" s="6" t="n">
        <v>-0.7357010147163632</v>
      </c>
      <c r="D812" s="6" t="n">
        <v>-0.8119945863025551</v>
      </c>
      <c r="E812" s="6" t="n">
        <v>2.562225189763305</v>
      </c>
      <c r="F812" s="6" t="n">
        <v>0.9185437189662378</v>
      </c>
      <c r="G812" s="5" t="n">
        <v>0</v>
      </c>
      <c r="H812" s="5" t="n">
        <v>0</v>
      </c>
      <c r="I812" s="5" t="n">
        <v>0</v>
      </c>
      <c r="J812" s="5" t="n">
        <v>1</v>
      </c>
      <c r="K812" s="5" t="n">
        <v>0</v>
      </c>
      <c r="L812" s="5" t="n">
        <v>0</v>
      </c>
      <c r="M812" s="5" t="n">
        <v>0</v>
      </c>
      <c r="N812" s="5" t="n">
        <v>0</v>
      </c>
      <c r="O812" s="5" t="n">
        <v>1</v>
      </c>
      <c r="P812" s="5" t="n">
        <v>0</v>
      </c>
      <c r="Q812" s="5" t="n">
        <v>0</v>
      </c>
      <c r="R812" s="5" t="n">
        <v>0</v>
      </c>
      <c r="S812" s="5" t="n">
        <v>1</v>
      </c>
      <c r="T812" s="5" t="n">
        <v>0</v>
      </c>
      <c r="U812" s="5" t="inlineStr">
        <is>
          <t>testing</t>
        </is>
      </c>
      <c r="V812" s="5" t="n">
        <v>0</v>
      </c>
    </row>
    <row r="813">
      <c r="A813" s="5" t="n">
        <v>809</v>
      </c>
      <c r="B813" s="5" t="n">
        <v>0</v>
      </c>
      <c r="C813" s="6" t="n">
        <v>1.792067524066952</v>
      </c>
      <c r="D813" s="6" t="n">
        <v>2.110659485764301</v>
      </c>
      <c r="E813" s="6" t="n">
        <v>1.692494982783229</v>
      </c>
      <c r="F813" s="6" t="n">
        <v>-1.786844513613144</v>
      </c>
      <c r="G813" s="5" t="n">
        <v>0</v>
      </c>
      <c r="H813" s="5" t="n">
        <v>1</v>
      </c>
      <c r="I813" s="5" t="n">
        <v>0</v>
      </c>
      <c r="J813" s="5" t="n">
        <v>0</v>
      </c>
      <c r="K813" s="5" t="n">
        <v>0</v>
      </c>
      <c r="L813" s="5" t="n">
        <v>1</v>
      </c>
      <c r="M813" s="5" t="n">
        <v>0</v>
      </c>
      <c r="N813" s="5" t="n">
        <v>0</v>
      </c>
      <c r="O813" s="5" t="n">
        <v>0</v>
      </c>
      <c r="P813" s="5" t="n">
        <v>0</v>
      </c>
      <c r="Q813" s="5" t="n">
        <v>1</v>
      </c>
      <c r="R813" s="5" t="n">
        <v>1</v>
      </c>
      <c r="S813" s="5" t="n">
        <v>0</v>
      </c>
      <c r="T813" s="5" t="n">
        <v>0</v>
      </c>
      <c r="U813" s="5" t="inlineStr">
        <is>
          <t>testing</t>
        </is>
      </c>
      <c r="V813" s="5" t="n">
        <v>0</v>
      </c>
    </row>
    <row r="814">
      <c r="A814" s="5" t="n">
        <v>810</v>
      </c>
      <c r="B814" s="5" t="n">
        <v>1</v>
      </c>
      <c r="C814" s="6" t="n">
        <v>-0.4829241608380317</v>
      </c>
      <c r="D814" s="6" t="n">
        <v>-0.5152855412752961</v>
      </c>
      <c r="E814" s="6" t="n">
        <v>-0.8297226174589928</v>
      </c>
      <c r="F814" s="6" t="n">
        <v>-0.8850484360866833</v>
      </c>
      <c r="G814" s="5" t="n">
        <v>0</v>
      </c>
      <c r="H814" s="5" t="n">
        <v>1</v>
      </c>
      <c r="I814" s="5" t="n">
        <v>0</v>
      </c>
      <c r="J814" s="5" t="n">
        <v>0</v>
      </c>
      <c r="K814" s="5" t="n">
        <v>0</v>
      </c>
      <c r="L814" s="5" t="n">
        <v>1</v>
      </c>
      <c r="M814" s="5" t="n">
        <v>0</v>
      </c>
      <c r="N814" s="5" t="n">
        <v>0</v>
      </c>
      <c r="O814" s="5" t="n">
        <v>0</v>
      </c>
      <c r="P814" s="5" t="n">
        <v>1</v>
      </c>
      <c r="Q814" s="5" t="n">
        <v>0</v>
      </c>
      <c r="R814" s="5" t="n">
        <v>1</v>
      </c>
      <c r="S814" s="5" t="n">
        <v>0</v>
      </c>
      <c r="T814" s="5" t="n">
        <v>0</v>
      </c>
      <c r="U814" s="5" t="inlineStr">
        <is>
          <t>training</t>
        </is>
      </c>
      <c r="V814" s="5" t="n">
        <v>1</v>
      </c>
    </row>
    <row r="815">
      <c r="A815" s="5" t="n">
        <v>811</v>
      </c>
      <c r="B815" s="5" t="n">
        <v>0</v>
      </c>
      <c r="C815" s="6" t="n">
        <v>-1.072736819887472</v>
      </c>
      <c r="D815" s="6" t="n">
        <v>-0.8200421193634359</v>
      </c>
      <c r="E815" s="6" t="n">
        <v>-0.8297226174589928</v>
      </c>
      <c r="F815" s="6" t="n">
        <v>0.01674764143977723</v>
      </c>
      <c r="G815" s="5" t="n">
        <v>0</v>
      </c>
      <c r="H815" s="5" t="n">
        <v>1</v>
      </c>
      <c r="I815" s="5" t="n">
        <v>0</v>
      </c>
      <c r="J815" s="5" t="n">
        <v>0</v>
      </c>
      <c r="K815" s="5" t="n">
        <v>0</v>
      </c>
      <c r="L815" s="5" t="n">
        <v>0</v>
      </c>
      <c r="M815" s="5" t="n">
        <v>0</v>
      </c>
      <c r="N815" s="5" t="n">
        <v>0</v>
      </c>
      <c r="O815" s="5" t="n">
        <v>0</v>
      </c>
      <c r="P815" s="5" t="n">
        <v>0</v>
      </c>
      <c r="Q815" s="5" t="n">
        <v>0</v>
      </c>
      <c r="R815" s="5" t="n">
        <v>0</v>
      </c>
      <c r="S815" s="5" t="n">
        <v>0</v>
      </c>
      <c r="T815" s="5" t="n">
        <v>0</v>
      </c>
      <c r="U815" s="5" t="inlineStr">
        <is>
          <t>testing</t>
        </is>
      </c>
      <c r="V815" s="5" t="n">
        <v>0</v>
      </c>
    </row>
    <row r="816">
      <c r="A816" s="5" t="n">
        <v>812</v>
      </c>
      <c r="B816" s="5" t="n">
        <v>0</v>
      </c>
      <c r="C816" s="6" t="n">
        <v>-1.241254722473026</v>
      </c>
      <c r="D816" s="6" t="n">
        <v>-0.9680467491352879</v>
      </c>
      <c r="E816" s="6" t="n">
        <v>-0.6557765760629775</v>
      </c>
      <c r="F816" s="6" t="n">
        <v>0.01674764143977723</v>
      </c>
      <c r="G816" s="5" t="n">
        <v>0</v>
      </c>
      <c r="H816" s="5" t="n">
        <v>1</v>
      </c>
      <c r="I816" s="5" t="n">
        <v>0</v>
      </c>
      <c r="J816" s="5" t="n">
        <v>0</v>
      </c>
      <c r="K816" s="5" t="n">
        <v>0</v>
      </c>
      <c r="L816" s="5" t="n">
        <v>0</v>
      </c>
      <c r="M816" s="5" t="n">
        <v>0</v>
      </c>
      <c r="N816" s="5" t="n">
        <v>0</v>
      </c>
      <c r="O816" s="5" t="n">
        <v>0</v>
      </c>
      <c r="P816" s="5" t="n">
        <v>0</v>
      </c>
      <c r="Q816" s="5" t="n">
        <v>0</v>
      </c>
      <c r="R816" s="5" t="n">
        <v>0</v>
      </c>
      <c r="S816" s="5" t="n">
        <v>1</v>
      </c>
      <c r="T816" s="5" t="n">
        <v>0</v>
      </c>
      <c r="U816" s="5" t="inlineStr">
        <is>
          <t>training</t>
        </is>
      </c>
      <c r="V816" s="5" t="n">
        <v>0</v>
      </c>
    </row>
    <row r="817">
      <c r="A817" s="5" t="n">
        <v>813</v>
      </c>
      <c r="B817" s="5" t="n">
        <v>1</v>
      </c>
      <c r="C817" s="6" t="n">
        <v>1.286513816310289</v>
      </c>
      <c r="D817" s="6" t="n">
        <v>2.231722374419291</v>
      </c>
      <c r="E817" s="6" t="n">
        <v>-1.003668658855008</v>
      </c>
      <c r="F817" s="6" t="n">
        <v>0.9185437189662378</v>
      </c>
      <c r="G817" s="5" t="n">
        <v>1</v>
      </c>
      <c r="H817" s="5" t="n">
        <v>0</v>
      </c>
      <c r="I817" s="5" t="n">
        <v>0</v>
      </c>
      <c r="J817" s="5" t="n">
        <v>1</v>
      </c>
      <c r="K817" s="5" t="n">
        <v>0</v>
      </c>
      <c r="L817" s="5" t="n">
        <v>0</v>
      </c>
      <c r="M817" s="5" t="n">
        <v>0</v>
      </c>
      <c r="N817" s="5" t="n">
        <v>0</v>
      </c>
      <c r="O817" s="5" t="n">
        <v>0</v>
      </c>
      <c r="P817" s="5" t="n">
        <v>0</v>
      </c>
      <c r="Q817" s="5" t="n">
        <v>0</v>
      </c>
      <c r="R817" s="5" t="n">
        <v>1</v>
      </c>
      <c r="S817" s="5" t="n">
        <v>0</v>
      </c>
      <c r="T817" s="5" t="n">
        <v>0</v>
      </c>
      <c r="U817" s="5" t="inlineStr">
        <is>
          <t>training</t>
        </is>
      </c>
      <c r="V817" s="5" t="n">
        <v>1</v>
      </c>
    </row>
    <row r="818">
      <c r="A818" s="5" t="n">
        <v>814</v>
      </c>
      <c r="B818" s="5" t="n">
        <v>1</v>
      </c>
      <c r="C818" s="6" t="n">
        <v>2.297621231823615</v>
      </c>
      <c r="D818" s="6" t="n">
        <v>-0.06987208099263038</v>
      </c>
      <c r="E818" s="6" t="n">
        <v>1.605521962085221</v>
      </c>
      <c r="F818" s="6" t="n">
        <v>0.01674764143977723</v>
      </c>
      <c r="G818" s="5" t="n">
        <v>1</v>
      </c>
      <c r="H818" s="5" t="n">
        <v>0</v>
      </c>
      <c r="I818" s="5" t="n">
        <v>0</v>
      </c>
      <c r="J818" s="5" t="n">
        <v>0</v>
      </c>
      <c r="K818" s="5" t="n">
        <v>0</v>
      </c>
      <c r="L818" s="5" t="n">
        <v>0</v>
      </c>
      <c r="M818" s="5" t="n">
        <v>0</v>
      </c>
      <c r="N818" s="5" t="n">
        <v>0</v>
      </c>
      <c r="O818" s="5" t="n">
        <v>0</v>
      </c>
      <c r="P818" s="5" t="n">
        <v>0</v>
      </c>
      <c r="Q818" s="5" t="n">
        <v>0</v>
      </c>
      <c r="R818" s="5" t="n">
        <v>0</v>
      </c>
      <c r="S818" s="5" t="n">
        <v>0</v>
      </c>
      <c r="T818" s="5" t="n">
        <v>0</v>
      </c>
      <c r="U818" s="5" t="inlineStr">
        <is>
          <t>training</t>
        </is>
      </c>
      <c r="V818" s="5" t="n">
        <v>1</v>
      </c>
    </row>
    <row r="819">
      <c r="A819" s="5" t="n">
        <v>815</v>
      </c>
      <c r="B819" s="5" t="n">
        <v>1</v>
      </c>
      <c r="C819" s="6" t="n">
        <v>2.297621231823615</v>
      </c>
      <c r="D819" s="6" t="n">
        <v>0.2380335317715062</v>
      </c>
      <c r="E819" s="6" t="n">
        <v>0.9097377965011599</v>
      </c>
      <c r="F819" s="6" t="n">
        <v>0.9185437189662378</v>
      </c>
      <c r="G819" s="5" t="n">
        <v>1</v>
      </c>
      <c r="H819" s="5" t="n">
        <v>0</v>
      </c>
      <c r="I819" s="5" t="n">
        <v>0</v>
      </c>
      <c r="J819" s="5" t="n">
        <v>0</v>
      </c>
      <c r="K819" s="5" t="n">
        <v>0</v>
      </c>
      <c r="L819" s="5" t="n">
        <v>0</v>
      </c>
      <c r="M819" s="5" t="n">
        <v>0</v>
      </c>
      <c r="N819" s="5" t="n">
        <v>0</v>
      </c>
      <c r="O819" s="5" t="n">
        <v>0</v>
      </c>
      <c r="P819" s="5" t="n">
        <v>0</v>
      </c>
      <c r="Q819" s="5" t="n">
        <v>1</v>
      </c>
      <c r="R819" s="5" t="n">
        <v>1</v>
      </c>
      <c r="S819" s="5" t="n">
        <v>0</v>
      </c>
      <c r="T819" s="5" t="n">
        <v>0</v>
      </c>
      <c r="U819" s="5" t="inlineStr">
        <is>
          <t>testing</t>
        </is>
      </c>
      <c r="V819" s="5" t="n">
        <v>0</v>
      </c>
    </row>
    <row r="820">
      <c r="A820" s="5" t="n">
        <v>816</v>
      </c>
      <c r="B820" s="5" t="n">
        <v>0</v>
      </c>
      <c r="C820" s="6" t="n">
        <v>1.286513816310289</v>
      </c>
      <c r="D820" s="6" t="n">
        <v>1.463008020734282</v>
      </c>
      <c r="E820" s="6" t="n">
        <v>1.605521962085221</v>
      </c>
      <c r="F820" s="6" t="n">
        <v>-0.8850484360866833</v>
      </c>
      <c r="G820" s="5" t="n">
        <v>0</v>
      </c>
      <c r="H820" s="5" t="n">
        <v>1</v>
      </c>
      <c r="I820" s="5" t="n">
        <v>0</v>
      </c>
      <c r="J820" s="5" t="n">
        <v>0</v>
      </c>
      <c r="K820" s="5" t="n">
        <v>1</v>
      </c>
      <c r="L820" s="5" t="n">
        <v>0</v>
      </c>
      <c r="M820" s="5" t="n">
        <v>0</v>
      </c>
      <c r="N820" s="5" t="n">
        <v>0</v>
      </c>
      <c r="O820" s="5" t="n">
        <v>0</v>
      </c>
      <c r="P820" s="5" t="n">
        <v>1</v>
      </c>
      <c r="Q820" s="5" t="n">
        <v>0</v>
      </c>
      <c r="R820" s="5" t="n">
        <v>1</v>
      </c>
      <c r="S820" s="5" t="n">
        <v>0</v>
      </c>
      <c r="T820" s="5" t="n">
        <v>0</v>
      </c>
      <c r="U820" s="5" t="inlineStr">
        <is>
          <t>training</t>
        </is>
      </c>
      <c r="V820" s="5" t="n">
        <v>1</v>
      </c>
    </row>
    <row r="821">
      <c r="A821" s="5" t="n">
        <v>817</v>
      </c>
      <c r="B821" s="5" t="n">
        <v>0</v>
      </c>
      <c r="C821" s="6" t="n">
        <v>-1.241254722473026</v>
      </c>
      <c r="D821" s="6" t="n">
        <v>-0.6692383476573645</v>
      </c>
      <c r="E821" s="6" t="n">
        <v>2.301306127669282</v>
      </c>
      <c r="F821" s="6" t="n">
        <v>-1.786844513613144</v>
      </c>
      <c r="G821" s="5" t="n">
        <v>0</v>
      </c>
      <c r="H821" s="5" t="n">
        <v>0</v>
      </c>
      <c r="I821" s="5" t="n">
        <v>0</v>
      </c>
      <c r="J821" s="5" t="n">
        <v>0</v>
      </c>
      <c r="K821" s="5" t="n">
        <v>0</v>
      </c>
      <c r="L821" s="5" t="n">
        <v>0</v>
      </c>
      <c r="M821" s="5" t="n">
        <v>1</v>
      </c>
      <c r="N821" s="5" t="n">
        <v>0</v>
      </c>
      <c r="O821" s="5" t="n">
        <v>0</v>
      </c>
      <c r="P821" s="5" t="n">
        <v>0</v>
      </c>
      <c r="Q821" s="5" t="n">
        <v>0</v>
      </c>
      <c r="R821" s="5" t="n">
        <v>0</v>
      </c>
      <c r="S821" s="5" t="n">
        <v>0</v>
      </c>
      <c r="T821" s="5" t="n">
        <v>0</v>
      </c>
      <c r="U821" s="5" t="inlineStr">
        <is>
          <t>training</t>
        </is>
      </c>
      <c r="V821" s="5" t="n">
        <v>1</v>
      </c>
    </row>
    <row r="822">
      <c r="A822" s="5" t="n">
        <v>818</v>
      </c>
      <c r="B822" s="5" t="n">
        <v>0</v>
      </c>
      <c r="C822" s="6" t="n">
        <v>-1.241254722473026</v>
      </c>
      <c r="D822" s="6" t="n">
        <v>-0.59366151543344</v>
      </c>
      <c r="E822" s="6" t="n">
        <v>-1.003668658855008</v>
      </c>
      <c r="F822" s="6" t="n">
        <v>-1.786844513613144</v>
      </c>
      <c r="G822" s="5" t="n">
        <v>0</v>
      </c>
      <c r="H822" s="5" t="n">
        <v>0</v>
      </c>
      <c r="I822" s="5" t="n">
        <v>0</v>
      </c>
      <c r="J822" s="5" t="n">
        <v>1</v>
      </c>
      <c r="K822" s="5" t="n">
        <v>0</v>
      </c>
      <c r="L822" s="5" t="n">
        <v>0</v>
      </c>
      <c r="M822" s="5" t="n">
        <v>0</v>
      </c>
      <c r="N822" s="5" t="n">
        <v>0</v>
      </c>
      <c r="O822" s="5" t="n">
        <v>0</v>
      </c>
      <c r="P822" s="5" t="n">
        <v>1</v>
      </c>
      <c r="Q822" s="5" t="n">
        <v>0</v>
      </c>
      <c r="R822" s="5" t="n">
        <v>0</v>
      </c>
      <c r="S822" s="5" t="n">
        <v>1</v>
      </c>
      <c r="T822" s="5" t="n">
        <v>0</v>
      </c>
      <c r="U822" s="5" t="inlineStr">
        <is>
          <t>training</t>
        </is>
      </c>
      <c r="V822" s="5" t="n">
        <v>0</v>
      </c>
    </row>
    <row r="823">
      <c r="A823" s="5" t="n">
        <v>819</v>
      </c>
      <c r="B823" s="5" t="n">
        <v>0</v>
      </c>
      <c r="C823" s="6" t="n">
        <v>1.286513816310289</v>
      </c>
      <c r="D823" s="6" t="n">
        <v>4.410854370209112</v>
      </c>
      <c r="E823" s="6" t="n">
        <v>0.648818734407137</v>
      </c>
      <c r="F823" s="6" t="n">
        <v>-0.8850484360866833</v>
      </c>
      <c r="G823" s="5" t="n">
        <v>1</v>
      </c>
      <c r="H823" s="5" t="n">
        <v>0</v>
      </c>
      <c r="I823" s="5" t="n">
        <v>0</v>
      </c>
      <c r="J823" s="5" t="n">
        <v>0</v>
      </c>
      <c r="K823" s="5" t="n">
        <v>0</v>
      </c>
      <c r="L823" s="5" t="n">
        <v>0</v>
      </c>
      <c r="M823" s="5" t="n">
        <v>0</v>
      </c>
      <c r="N823" s="5" t="n">
        <v>0</v>
      </c>
      <c r="O823" s="5" t="n">
        <v>0</v>
      </c>
      <c r="P823" s="5" t="n">
        <v>0</v>
      </c>
      <c r="Q823" s="5" t="n">
        <v>0</v>
      </c>
      <c r="R823" s="5" t="n">
        <v>0</v>
      </c>
      <c r="S823" s="5" t="n">
        <v>0</v>
      </c>
      <c r="T823" s="5" t="n">
        <v>0</v>
      </c>
      <c r="U823" s="5" t="inlineStr">
        <is>
          <t>training</t>
        </is>
      </c>
      <c r="V823" s="5" t="n">
        <v>0</v>
      </c>
    </row>
    <row r="824">
      <c r="A824" s="5" t="n">
        <v>820</v>
      </c>
      <c r="B824" s="5" t="n">
        <v>1</v>
      </c>
      <c r="C824" s="6" t="n">
        <v>-0.2301473069597001</v>
      </c>
      <c r="D824" s="6" t="n">
        <v>-0.6667890984649225</v>
      </c>
      <c r="E824" s="6" t="n">
        <v>-0.8297226174589928</v>
      </c>
      <c r="F824" s="6" t="n">
        <v>0.9185437189662378</v>
      </c>
      <c r="G824" s="5" t="n">
        <v>1</v>
      </c>
      <c r="H824" s="5" t="n">
        <v>0</v>
      </c>
      <c r="I824" s="5" t="n">
        <v>0</v>
      </c>
      <c r="J824" s="5" t="n">
        <v>0</v>
      </c>
      <c r="K824" s="5" t="n">
        <v>0</v>
      </c>
      <c r="L824" s="5" t="n">
        <v>0</v>
      </c>
      <c r="M824" s="5" t="n">
        <v>0</v>
      </c>
      <c r="N824" s="5" t="n">
        <v>0</v>
      </c>
      <c r="O824" s="5" t="n">
        <v>0</v>
      </c>
      <c r="P824" s="5" t="n">
        <v>0</v>
      </c>
      <c r="Q824" s="5" t="n">
        <v>0</v>
      </c>
      <c r="R824" s="5" t="n">
        <v>0</v>
      </c>
      <c r="S824" s="5" t="n">
        <v>1</v>
      </c>
      <c r="T824" s="5" t="n">
        <v>0</v>
      </c>
      <c r="U824" s="5" t="inlineStr">
        <is>
          <t>testing</t>
        </is>
      </c>
      <c r="V824" s="5" t="n">
        <v>0</v>
      </c>
    </row>
    <row r="825">
      <c r="A825" s="5" t="n">
        <v>821</v>
      </c>
      <c r="B825" s="5" t="n">
        <v>0</v>
      </c>
      <c r="C825" s="6" t="n">
        <v>-0.7357010147163632</v>
      </c>
      <c r="D825" s="6" t="n">
        <v>-0.7521629274586149</v>
      </c>
      <c r="E825" s="6" t="n">
        <v>-0.7427495967609852</v>
      </c>
      <c r="F825" s="6" t="n">
        <v>0.01674764143977723</v>
      </c>
      <c r="G825" s="5" t="n">
        <v>0</v>
      </c>
      <c r="H825" s="5" t="n">
        <v>0</v>
      </c>
      <c r="I825" s="5" t="n">
        <v>0</v>
      </c>
      <c r="J825" s="5" t="n">
        <v>0</v>
      </c>
      <c r="K825" s="5" t="n">
        <v>0</v>
      </c>
      <c r="L825" s="5" t="n">
        <v>0</v>
      </c>
      <c r="M825" s="5" t="n">
        <v>0</v>
      </c>
      <c r="N825" s="5" t="n">
        <v>0</v>
      </c>
      <c r="O825" s="5" t="n">
        <v>0</v>
      </c>
      <c r="P825" s="5" t="n">
        <v>0</v>
      </c>
      <c r="Q825" s="5" t="n">
        <v>0</v>
      </c>
      <c r="R825" s="5" t="n">
        <v>1</v>
      </c>
      <c r="S825" s="5" t="n">
        <v>0</v>
      </c>
      <c r="T825" s="5" t="n">
        <v>0</v>
      </c>
      <c r="U825" s="5" t="inlineStr">
        <is>
          <t>training</t>
        </is>
      </c>
      <c r="V825" s="5" t="n">
        <v>1</v>
      </c>
    </row>
    <row r="826">
      <c r="A826" s="5" t="n">
        <v>822</v>
      </c>
      <c r="B826" s="5" t="n">
        <v>0</v>
      </c>
      <c r="C826" s="6" t="n">
        <v>-0.7357010147163632</v>
      </c>
      <c r="D826" s="6" t="n">
        <v>-0.08211832695484036</v>
      </c>
      <c r="E826" s="6" t="n">
        <v>-1.003668658855008</v>
      </c>
      <c r="F826" s="6" t="n">
        <v>0.01674764143977723</v>
      </c>
      <c r="G826" s="5" t="n">
        <v>0</v>
      </c>
      <c r="H826" s="5" t="n">
        <v>0</v>
      </c>
      <c r="I826" s="5" t="n">
        <v>1</v>
      </c>
      <c r="J826" s="5" t="n">
        <v>0</v>
      </c>
      <c r="K826" s="5" t="n">
        <v>0</v>
      </c>
      <c r="L826" s="5" t="n">
        <v>0</v>
      </c>
      <c r="M826" s="5" t="n">
        <v>0</v>
      </c>
      <c r="N826" s="5" t="n">
        <v>0</v>
      </c>
      <c r="O826" s="5" t="n">
        <v>0</v>
      </c>
      <c r="P826" s="5" t="n">
        <v>0</v>
      </c>
      <c r="Q826" s="5" t="n">
        <v>0</v>
      </c>
      <c r="R826" s="5" t="n">
        <v>0</v>
      </c>
      <c r="S826" s="5" t="n">
        <v>1</v>
      </c>
      <c r="T826" s="5" t="n">
        <v>0</v>
      </c>
      <c r="U826" s="5" t="inlineStr">
        <is>
          <t>training</t>
        </is>
      </c>
      <c r="V826" s="5" t="n">
        <v>1</v>
      </c>
    </row>
    <row r="827">
      <c r="A827" s="5" t="n">
        <v>823</v>
      </c>
      <c r="B827" s="5" t="n">
        <v>1</v>
      </c>
      <c r="C827" s="6" t="n">
        <v>1.286513816310289</v>
      </c>
      <c r="D827" s="6" t="n">
        <v>-0.1884857204551784</v>
      </c>
      <c r="E827" s="6" t="n">
        <v>0.4748726930111218</v>
      </c>
      <c r="F827" s="6" t="n">
        <v>-0.8850484360866833</v>
      </c>
      <c r="G827" s="5" t="n">
        <v>1</v>
      </c>
      <c r="H827" s="5" t="n">
        <v>0</v>
      </c>
      <c r="I827" s="5" t="n">
        <v>0</v>
      </c>
      <c r="J827" s="5" t="n">
        <v>0</v>
      </c>
      <c r="K827" s="5" t="n">
        <v>0</v>
      </c>
      <c r="L827" s="5" t="n">
        <v>0</v>
      </c>
      <c r="M827" s="5" t="n">
        <v>0</v>
      </c>
      <c r="N827" s="5" t="n">
        <v>0</v>
      </c>
      <c r="O827" s="5" t="n">
        <v>0</v>
      </c>
      <c r="P827" s="5" t="n">
        <v>0</v>
      </c>
      <c r="Q827" s="5" t="n">
        <v>0</v>
      </c>
      <c r="R827" s="5" t="n">
        <v>0</v>
      </c>
      <c r="S827" s="5" t="n">
        <v>0</v>
      </c>
      <c r="T827" s="5" t="n">
        <v>1</v>
      </c>
      <c r="U827" s="5" t="inlineStr">
        <is>
          <t>testing</t>
        </is>
      </c>
      <c r="V827" s="5" t="n">
        <v>0</v>
      </c>
    </row>
    <row r="828">
      <c r="A828" s="5" t="n">
        <v>824</v>
      </c>
      <c r="B828" s="5" t="n">
        <v>0</v>
      </c>
      <c r="C828" s="6" t="n">
        <v>-1.072736819887472</v>
      </c>
      <c r="D828" s="6" t="n">
        <v>-0.8816232419162632</v>
      </c>
      <c r="E828" s="6" t="n">
        <v>0.9967108171991675</v>
      </c>
      <c r="F828" s="6" t="n">
        <v>0.9185437189662378</v>
      </c>
      <c r="G828" s="5" t="n">
        <v>1</v>
      </c>
      <c r="H828" s="5" t="n">
        <v>0</v>
      </c>
      <c r="I828" s="5" t="n">
        <v>0</v>
      </c>
      <c r="J828" s="5" t="n">
        <v>1</v>
      </c>
      <c r="K828" s="5" t="n">
        <v>0</v>
      </c>
      <c r="L828" s="5" t="n">
        <v>0</v>
      </c>
      <c r="M828" s="5" t="n">
        <v>0</v>
      </c>
      <c r="N828" s="5" t="n">
        <v>0</v>
      </c>
      <c r="O828" s="5" t="n">
        <v>0</v>
      </c>
      <c r="P828" s="5" t="n">
        <v>0</v>
      </c>
      <c r="Q828" s="5" t="n">
        <v>0</v>
      </c>
      <c r="R828" s="5" t="n">
        <v>1</v>
      </c>
      <c r="S828" s="5" t="n">
        <v>0</v>
      </c>
      <c r="T828" s="5" t="n">
        <v>0</v>
      </c>
      <c r="U828" s="5" t="inlineStr">
        <is>
          <t>training</t>
        </is>
      </c>
      <c r="V828" s="5" t="n">
        <v>1</v>
      </c>
    </row>
    <row r="829">
      <c r="A829" s="5" t="n">
        <v>825</v>
      </c>
      <c r="B829" s="5" t="n">
        <v>0</v>
      </c>
      <c r="C829" s="6" t="n">
        <v>-0.2301473069597001</v>
      </c>
      <c r="D829" s="6" t="n">
        <v>0.1851997277631146</v>
      </c>
      <c r="E829" s="6" t="n">
        <v>-0.04696543117692405</v>
      </c>
      <c r="F829" s="6" t="n">
        <v>0.01674764143977723</v>
      </c>
      <c r="G829" s="5" t="n">
        <v>0</v>
      </c>
      <c r="H829" s="5" t="n">
        <v>0</v>
      </c>
      <c r="I829" s="5" t="n">
        <v>0</v>
      </c>
      <c r="J829" s="5" t="n">
        <v>1</v>
      </c>
      <c r="K829" s="5" t="n">
        <v>0</v>
      </c>
      <c r="L829" s="5" t="n">
        <v>0</v>
      </c>
      <c r="M829" s="5" t="n">
        <v>0</v>
      </c>
      <c r="N829" s="5" t="n">
        <v>0</v>
      </c>
      <c r="O829" s="5" t="n">
        <v>0</v>
      </c>
      <c r="P829" s="5" t="n">
        <v>0</v>
      </c>
      <c r="Q829" s="5" t="n">
        <v>0</v>
      </c>
      <c r="R829" s="5" t="n">
        <v>0</v>
      </c>
      <c r="S829" s="5" t="n">
        <v>0</v>
      </c>
      <c r="T829" s="5" t="n">
        <v>1</v>
      </c>
      <c r="U829" s="5" t="inlineStr">
        <is>
          <t>testing</t>
        </is>
      </c>
      <c r="V829" s="5" t="n">
        <v>0</v>
      </c>
    </row>
    <row r="830">
      <c r="A830" s="5" t="n">
        <v>826</v>
      </c>
      <c r="B830" s="5" t="n">
        <v>0</v>
      </c>
      <c r="C830" s="6" t="n">
        <v>0.02262954691863145</v>
      </c>
      <c r="D830" s="6" t="n">
        <v>-0.5768666638281235</v>
      </c>
      <c r="E830" s="6" t="n">
        <v>-0.4818305346669622</v>
      </c>
      <c r="F830" s="6" t="n">
        <v>0.9185437189662378</v>
      </c>
      <c r="G830" s="5" t="n">
        <v>1</v>
      </c>
      <c r="H830" s="5" t="n">
        <v>0</v>
      </c>
      <c r="I830" s="5" t="n">
        <v>0</v>
      </c>
      <c r="J830" s="5" t="n">
        <v>1</v>
      </c>
      <c r="K830" s="5" t="n">
        <v>0</v>
      </c>
      <c r="L830" s="5" t="n">
        <v>0</v>
      </c>
      <c r="M830" s="5" t="n">
        <v>0</v>
      </c>
      <c r="N830" s="5" t="n">
        <v>0</v>
      </c>
      <c r="O830" s="5" t="n">
        <v>0</v>
      </c>
      <c r="P830" s="5" t="n">
        <v>0</v>
      </c>
      <c r="Q830" s="5" t="n">
        <v>0</v>
      </c>
      <c r="R830" s="5" t="n">
        <v>1</v>
      </c>
      <c r="S830" s="5" t="n">
        <v>0</v>
      </c>
      <c r="T830" s="5" t="n">
        <v>0</v>
      </c>
      <c r="U830" s="5" t="inlineStr">
        <is>
          <t>training</t>
        </is>
      </c>
      <c r="V830" s="5" t="n">
        <v>1</v>
      </c>
    </row>
    <row r="831">
      <c r="A831" s="5" t="n">
        <v>827</v>
      </c>
      <c r="B831" s="5" t="n">
        <v>1</v>
      </c>
      <c r="C831" s="6" t="n">
        <v>-0.2301473069597001</v>
      </c>
      <c r="D831" s="6" t="n">
        <v>0.2502797777337162</v>
      </c>
      <c r="E831" s="6" t="n">
        <v>-0.2209114725729393</v>
      </c>
      <c r="F831" s="6" t="n">
        <v>-1.786844513613144</v>
      </c>
      <c r="G831" s="5" t="n">
        <v>1</v>
      </c>
      <c r="H831" s="5" t="n">
        <v>0</v>
      </c>
      <c r="I831" s="5" t="n">
        <v>0</v>
      </c>
      <c r="J831" s="5" t="n">
        <v>1</v>
      </c>
      <c r="K831" s="5" t="n">
        <v>0</v>
      </c>
      <c r="L831" s="5" t="n">
        <v>0</v>
      </c>
      <c r="M831" s="5" t="n">
        <v>0</v>
      </c>
      <c r="N831" s="5" t="n">
        <v>0</v>
      </c>
      <c r="O831" s="5" t="n">
        <v>0</v>
      </c>
      <c r="P831" s="5" t="n">
        <v>1</v>
      </c>
      <c r="Q831" s="5" t="n">
        <v>0</v>
      </c>
      <c r="R831" s="5" t="n">
        <v>1</v>
      </c>
      <c r="S831" s="5" t="n">
        <v>0</v>
      </c>
      <c r="T831" s="5" t="n">
        <v>0</v>
      </c>
      <c r="U831" s="5" t="inlineStr">
        <is>
          <t>testing</t>
        </is>
      </c>
      <c r="V831" s="5" t="n">
        <v>0</v>
      </c>
    </row>
    <row r="832">
      <c r="A832" s="5" t="n">
        <v>828</v>
      </c>
      <c r="B832" s="5" t="n">
        <v>1</v>
      </c>
      <c r="C832" s="6" t="n">
        <v>-0.2301473069597001</v>
      </c>
      <c r="D832" s="6" t="n">
        <v>0.3199084333474244</v>
      </c>
      <c r="E832" s="6" t="n">
        <v>0.04000758952108359</v>
      </c>
      <c r="F832" s="6" t="n">
        <v>-0.8850484360866833</v>
      </c>
      <c r="G832" s="5" t="n">
        <v>0</v>
      </c>
      <c r="H832" s="5" t="n">
        <v>0</v>
      </c>
      <c r="I832" s="5" t="n">
        <v>0</v>
      </c>
      <c r="J832" s="5" t="n">
        <v>0</v>
      </c>
      <c r="K832" s="5" t="n">
        <v>0</v>
      </c>
      <c r="L832" s="5" t="n">
        <v>1</v>
      </c>
      <c r="M832" s="5" t="n">
        <v>0</v>
      </c>
      <c r="N832" s="5" t="n">
        <v>0</v>
      </c>
      <c r="O832" s="5" t="n">
        <v>0</v>
      </c>
      <c r="P832" s="5" t="n">
        <v>0</v>
      </c>
      <c r="Q832" s="5" t="n">
        <v>0</v>
      </c>
      <c r="R832" s="5" t="n">
        <v>0</v>
      </c>
      <c r="S832" s="5" t="n">
        <v>0</v>
      </c>
      <c r="T832" s="5" t="n">
        <v>0</v>
      </c>
      <c r="U832" s="5" t="inlineStr">
        <is>
          <t>training</t>
        </is>
      </c>
      <c r="V832" s="5" t="n">
        <v>1</v>
      </c>
    </row>
    <row r="833">
      <c r="A833" s="5" t="n">
        <v>829</v>
      </c>
      <c r="B833" s="5" t="n">
        <v>1</v>
      </c>
      <c r="C833" s="6" t="n">
        <v>1.286513816310289</v>
      </c>
      <c r="D833" s="6" t="n">
        <v>1.778961166559299</v>
      </c>
      <c r="E833" s="6" t="n">
        <v>0.9967108171991675</v>
      </c>
      <c r="F833" s="6" t="n">
        <v>0.01674764143977723</v>
      </c>
      <c r="G833" s="5" t="n">
        <v>1</v>
      </c>
      <c r="H833" s="5" t="n">
        <v>0</v>
      </c>
      <c r="I833" s="5" t="n">
        <v>0</v>
      </c>
      <c r="J833" s="5" t="n">
        <v>0</v>
      </c>
      <c r="K833" s="5" t="n">
        <v>0</v>
      </c>
      <c r="L833" s="5" t="n">
        <v>0</v>
      </c>
      <c r="M833" s="5" t="n">
        <v>0</v>
      </c>
      <c r="N833" s="5" t="n">
        <v>0</v>
      </c>
      <c r="O833" s="5" t="n">
        <v>1</v>
      </c>
      <c r="P833" s="5" t="n">
        <v>0</v>
      </c>
      <c r="Q833" s="5" t="n">
        <v>1</v>
      </c>
      <c r="R833" s="5" t="n">
        <v>1</v>
      </c>
      <c r="S833" s="5" t="n">
        <v>0</v>
      </c>
      <c r="T833" s="5" t="n">
        <v>0</v>
      </c>
      <c r="U833" s="5" t="inlineStr">
        <is>
          <t>testing</t>
        </is>
      </c>
      <c r="V833" s="5" t="n">
        <v>0</v>
      </c>
    </row>
    <row r="834">
      <c r="A834" s="5" t="n">
        <v>830</v>
      </c>
      <c r="B834" s="5" t="n">
        <v>0</v>
      </c>
      <c r="C834" s="6" t="n">
        <v>2.297621231823615</v>
      </c>
      <c r="D834" s="6" t="n">
        <v>1.200238571659433</v>
      </c>
      <c r="E834" s="6" t="n">
        <v>0.2139536309170988</v>
      </c>
      <c r="F834" s="6" t="n">
        <v>0.9185437189662378</v>
      </c>
      <c r="G834" s="5" t="n">
        <v>0</v>
      </c>
      <c r="H834" s="5" t="n">
        <v>1</v>
      </c>
      <c r="I834" s="5" t="n">
        <v>0</v>
      </c>
      <c r="J834" s="5" t="n">
        <v>0</v>
      </c>
      <c r="K834" s="5" t="n">
        <v>1</v>
      </c>
      <c r="L834" s="5" t="n">
        <v>0</v>
      </c>
      <c r="M834" s="5" t="n">
        <v>0</v>
      </c>
      <c r="N834" s="5" t="n">
        <v>0</v>
      </c>
      <c r="O834" s="5" t="n">
        <v>1</v>
      </c>
      <c r="P834" s="5" t="n">
        <v>0</v>
      </c>
      <c r="Q834" s="5" t="n">
        <v>1</v>
      </c>
      <c r="R834" s="5" t="n">
        <v>0</v>
      </c>
      <c r="S834" s="5" t="n">
        <v>0</v>
      </c>
      <c r="T834" s="5" t="n">
        <v>0</v>
      </c>
      <c r="U834" s="5" t="inlineStr">
        <is>
          <t>training</t>
        </is>
      </c>
      <c r="V834" s="5" t="n">
        <v>0</v>
      </c>
    </row>
    <row r="835">
      <c r="A835" s="5" t="n">
        <v>831</v>
      </c>
      <c r="B835" s="5" t="n">
        <v>0</v>
      </c>
      <c r="C835" s="6" t="n">
        <v>0.275406400796963</v>
      </c>
      <c r="D835" s="6" t="n">
        <v>-0.3063995744341717</v>
      </c>
      <c r="E835" s="6" t="n">
        <v>0.7357917551051447</v>
      </c>
      <c r="F835" s="6" t="n">
        <v>0.9185437189662378</v>
      </c>
      <c r="G835" s="5" t="n">
        <v>0</v>
      </c>
      <c r="H835" s="5" t="n">
        <v>0</v>
      </c>
      <c r="I835" s="5" t="n">
        <v>0</v>
      </c>
      <c r="J835" s="5" t="n">
        <v>0</v>
      </c>
      <c r="K835" s="5" t="n">
        <v>1</v>
      </c>
      <c r="L835" s="5" t="n">
        <v>0</v>
      </c>
      <c r="M835" s="5" t="n">
        <v>1</v>
      </c>
      <c r="N835" s="5" t="n">
        <v>0</v>
      </c>
      <c r="O835" s="5" t="n">
        <v>0</v>
      </c>
      <c r="P835" s="5" t="n">
        <v>0</v>
      </c>
      <c r="Q835" s="5" t="n">
        <v>0</v>
      </c>
      <c r="R835" s="5" t="n">
        <v>0</v>
      </c>
      <c r="S835" s="5" t="n">
        <v>0</v>
      </c>
      <c r="T835" s="5" t="n">
        <v>0</v>
      </c>
      <c r="U835" s="5" t="inlineStr">
        <is>
          <t>testing</t>
        </is>
      </c>
      <c r="V835" s="5" t="n">
        <v>0</v>
      </c>
    </row>
    <row r="836">
      <c r="A836" s="5" t="n">
        <v>832</v>
      </c>
      <c r="B836" s="5" t="n">
        <v>1</v>
      </c>
      <c r="C836" s="6" t="n">
        <v>-0.2301473069597001</v>
      </c>
      <c r="D836" s="6" t="n">
        <v>-0.7119252621542107</v>
      </c>
      <c r="E836" s="6" t="n">
        <v>-1.090641679553016</v>
      </c>
      <c r="F836" s="6" t="n">
        <v>0.9185437189662378</v>
      </c>
      <c r="G836" s="5" t="n">
        <v>1</v>
      </c>
      <c r="H836" s="5" t="n">
        <v>0</v>
      </c>
      <c r="I836" s="5" t="n">
        <v>0</v>
      </c>
      <c r="J836" s="5" t="n">
        <v>0</v>
      </c>
      <c r="K836" s="5" t="n">
        <v>0</v>
      </c>
      <c r="L836" s="5" t="n">
        <v>0</v>
      </c>
      <c r="M836" s="5" t="n">
        <v>0</v>
      </c>
      <c r="N836" s="5" t="n">
        <v>0</v>
      </c>
      <c r="O836" s="5" t="n">
        <v>0</v>
      </c>
      <c r="P836" s="5" t="n">
        <v>1</v>
      </c>
      <c r="Q836" s="5" t="n">
        <v>0</v>
      </c>
      <c r="R836" s="5" t="n">
        <v>1</v>
      </c>
      <c r="S836" s="5" t="n">
        <v>0</v>
      </c>
      <c r="T836" s="5" t="n">
        <v>0</v>
      </c>
      <c r="U836" s="5" t="inlineStr">
        <is>
          <t>training</t>
        </is>
      </c>
      <c r="V836" s="5" t="n">
        <v>1</v>
      </c>
    </row>
    <row r="837">
      <c r="A837" s="5" t="n">
        <v>833</v>
      </c>
      <c r="B837" s="5" t="n">
        <v>1</v>
      </c>
      <c r="C837" s="6" t="n">
        <v>2.044844377945284</v>
      </c>
      <c r="D837" s="6" t="n">
        <v>2.996937800686526</v>
      </c>
      <c r="E837" s="6" t="n">
        <v>-0.5688035553649698</v>
      </c>
      <c r="F837" s="6" t="n">
        <v>-0.8850484360866833</v>
      </c>
      <c r="G837" s="5" t="n">
        <v>1</v>
      </c>
      <c r="H837" s="5" t="n">
        <v>0</v>
      </c>
      <c r="I837" s="5" t="n">
        <v>0</v>
      </c>
      <c r="J837" s="5" t="n">
        <v>0</v>
      </c>
      <c r="K837" s="5" t="n">
        <v>0</v>
      </c>
      <c r="L837" s="5" t="n">
        <v>1</v>
      </c>
      <c r="M837" s="5" t="n">
        <v>0</v>
      </c>
      <c r="N837" s="5" t="n">
        <v>0</v>
      </c>
      <c r="O837" s="5" t="n">
        <v>0</v>
      </c>
      <c r="P837" s="5" t="n">
        <v>1</v>
      </c>
      <c r="Q837" s="5" t="n">
        <v>0</v>
      </c>
      <c r="R837" s="5" t="n">
        <v>0</v>
      </c>
      <c r="S837" s="5" t="n">
        <v>0</v>
      </c>
      <c r="T837" s="5" t="n">
        <v>0</v>
      </c>
      <c r="U837" s="5" t="inlineStr">
        <is>
          <t>training</t>
        </is>
      </c>
      <c r="V837" s="5" t="n">
        <v>1</v>
      </c>
    </row>
    <row r="838">
      <c r="A838" s="5" t="n">
        <v>834</v>
      </c>
      <c r="B838" s="5" t="n">
        <v>0</v>
      </c>
      <c r="C838" s="6" t="n">
        <v>0.275406400796963</v>
      </c>
      <c r="D838" s="6" t="n">
        <v>0.6414598630408807</v>
      </c>
      <c r="E838" s="6" t="n">
        <v>0.5618457137091294</v>
      </c>
      <c r="F838" s="6" t="n">
        <v>-0.8850484360866833</v>
      </c>
      <c r="G838" s="5" t="n">
        <v>0</v>
      </c>
      <c r="H838" s="5" t="n">
        <v>1</v>
      </c>
      <c r="I838" s="5" t="n">
        <v>0</v>
      </c>
      <c r="J838" s="5" t="n">
        <v>0</v>
      </c>
      <c r="K838" s="5" t="n">
        <v>0</v>
      </c>
      <c r="L838" s="5" t="n">
        <v>0</v>
      </c>
      <c r="M838" s="5" t="n">
        <v>0</v>
      </c>
      <c r="N838" s="5" t="n">
        <v>0</v>
      </c>
      <c r="O838" s="5" t="n">
        <v>1</v>
      </c>
      <c r="P838" s="5" t="n">
        <v>0</v>
      </c>
      <c r="Q838" s="5" t="n">
        <v>0</v>
      </c>
      <c r="R838" s="5" t="n">
        <v>0</v>
      </c>
      <c r="S838" s="5" t="n">
        <v>1</v>
      </c>
      <c r="T838" s="5" t="n">
        <v>0</v>
      </c>
      <c r="U838" s="5" t="inlineStr">
        <is>
          <t>testing</t>
        </is>
      </c>
      <c r="V838" s="5" t="n">
        <v>0</v>
      </c>
    </row>
    <row r="839">
      <c r="A839" s="5" t="n">
        <v>835</v>
      </c>
      <c r="B839" s="5" t="n">
        <v>1</v>
      </c>
      <c r="C839" s="6" t="n">
        <v>-0.4829241608380317</v>
      </c>
      <c r="D839" s="6" t="n">
        <v>-0.3231944260394882</v>
      </c>
      <c r="E839" s="6" t="n">
        <v>-0.9166956381570004</v>
      </c>
      <c r="F839" s="6" t="n">
        <v>-0.8850484360866833</v>
      </c>
      <c r="G839" s="5" t="n">
        <v>0</v>
      </c>
      <c r="H839" s="5" t="n">
        <v>0</v>
      </c>
      <c r="I839" s="5" t="n">
        <v>1</v>
      </c>
      <c r="J839" s="5" t="n">
        <v>0</v>
      </c>
      <c r="K839" s="5" t="n">
        <v>0</v>
      </c>
      <c r="L839" s="5" t="n">
        <v>0</v>
      </c>
      <c r="M839" s="5" t="n">
        <v>0</v>
      </c>
      <c r="N839" s="5" t="n">
        <v>0</v>
      </c>
      <c r="O839" s="5" t="n">
        <v>0</v>
      </c>
      <c r="P839" s="5" t="n">
        <v>0</v>
      </c>
      <c r="Q839" s="5" t="n">
        <v>0</v>
      </c>
      <c r="R839" s="5" t="n">
        <v>0</v>
      </c>
      <c r="S839" s="5" t="n">
        <v>1</v>
      </c>
      <c r="T839" s="5" t="n">
        <v>0</v>
      </c>
      <c r="U839" s="5" t="inlineStr">
        <is>
          <t>training</t>
        </is>
      </c>
      <c r="V839" s="5" t="n">
        <v>1</v>
      </c>
    </row>
    <row r="840">
      <c r="A840" s="5" t="n">
        <v>836</v>
      </c>
      <c r="B840" s="5" t="n">
        <v>1</v>
      </c>
      <c r="C840" s="6" t="n">
        <v>-0.7357010147163632</v>
      </c>
      <c r="D840" s="6" t="n">
        <v>-0.758810889552386</v>
      </c>
      <c r="E840" s="6" t="n">
        <v>1.083683837897175</v>
      </c>
      <c r="F840" s="6" t="n">
        <v>0.9185437189662378</v>
      </c>
      <c r="G840" s="5" t="n">
        <v>1</v>
      </c>
      <c r="H840" s="5" t="n">
        <v>0</v>
      </c>
      <c r="I840" s="5" t="n">
        <v>0</v>
      </c>
      <c r="J840" s="5" t="n">
        <v>0</v>
      </c>
      <c r="K840" s="5" t="n">
        <v>0</v>
      </c>
      <c r="L840" s="5" t="n">
        <v>1</v>
      </c>
      <c r="M840" s="5" t="n">
        <v>0</v>
      </c>
      <c r="N840" s="5" t="n">
        <v>0</v>
      </c>
      <c r="O840" s="5" t="n">
        <v>0</v>
      </c>
      <c r="P840" s="5" t="n">
        <v>0</v>
      </c>
      <c r="Q840" s="5" t="n">
        <v>0</v>
      </c>
      <c r="R840" s="5" t="n">
        <v>1</v>
      </c>
      <c r="S840" s="5" t="n">
        <v>0</v>
      </c>
      <c r="T840" s="5" t="n">
        <v>0</v>
      </c>
      <c r="U840" s="5" t="inlineStr">
        <is>
          <t>training</t>
        </is>
      </c>
      <c r="V840" s="5" t="n">
        <v>1</v>
      </c>
    </row>
    <row r="841">
      <c r="A841" s="5" t="n">
        <v>837</v>
      </c>
      <c r="B841" s="5" t="n">
        <v>0</v>
      </c>
      <c r="C841" s="6" t="n">
        <v>-0.7357010147163632</v>
      </c>
      <c r="D841" s="6" t="n">
        <v>-0.8273898669407619</v>
      </c>
      <c r="E841" s="6" t="n">
        <v>-1.264587720949031</v>
      </c>
      <c r="F841" s="6" t="n">
        <v>0.9185437189662378</v>
      </c>
      <c r="G841" s="5" t="n">
        <v>0</v>
      </c>
      <c r="H841" s="5" t="n">
        <v>0</v>
      </c>
      <c r="I841" s="5" t="n">
        <v>0</v>
      </c>
      <c r="J841" s="5" t="n">
        <v>0</v>
      </c>
      <c r="K841" s="5" t="n">
        <v>0</v>
      </c>
      <c r="L841" s="5" t="n">
        <v>0</v>
      </c>
      <c r="M841" s="5" t="n">
        <v>0</v>
      </c>
      <c r="N841" s="5" t="n">
        <v>0</v>
      </c>
      <c r="O841" s="5" t="n">
        <v>1</v>
      </c>
      <c r="P841" s="5" t="n">
        <v>0</v>
      </c>
      <c r="Q841" s="5" t="n">
        <v>0</v>
      </c>
      <c r="R841" s="5" t="n">
        <v>0</v>
      </c>
      <c r="S841" s="5" t="n">
        <v>1</v>
      </c>
      <c r="T841" s="5" t="n">
        <v>0</v>
      </c>
      <c r="U841" s="5" t="inlineStr">
        <is>
          <t>training</t>
        </is>
      </c>
      <c r="V841" s="5" t="n">
        <v>1</v>
      </c>
    </row>
    <row r="842">
      <c r="A842" s="5" t="n">
        <v>838</v>
      </c>
      <c r="B842" s="5" t="n">
        <v>0</v>
      </c>
      <c r="C842" s="6" t="n">
        <v>-1.409772625058581</v>
      </c>
      <c r="D842" s="6" t="n">
        <v>-0.9271092983473288</v>
      </c>
      <c r="E842" s="6" t="n">
        <v>-1.090641679553016</v>
      </c>
      <c r="F842" s="6" t="n">
        <v>-1.786844513613144</v>
      </c>
      <c r="G842" s="5" t="n">
        <v>0</v>
      </c>
      <c r="H842" s="5" t="n">
        <v>0</v>
      </c>
      <c r="I842" s="5" t="n">
        <v>0</v>
      </c>
      <c r="J842" s="5" t="n">
        <v>0</v>
      </c>
      <c r="K842" s="5" t="n">
        <v>0</v>
      </c>
      <c r="L842" s="5" t="n">
        <v>0</v>
      </c>
      <c r="M842" s="5" t="n">
        <v>0</v>
      </c>
      <c r="N842" s="5" t="n">
        <v>0</v>
      </c>
      <c r="O842" s="5" t="n">
        <v>0</v>
      </c>
      <c r="P842" s="5" t="n">
        <v>1</v>
      </c>
      <c r="Q842" s="5" t="n">
        <v>0</v>
      </c>
      <c r="R842" s="5" t="n">
        <v>0</v>
      </c>
      <c r="S842" s="5" t="n">
        <v>0</v>
      </c>
      <c r="T842" s="5" t="n">
        <v>1</v>
      </c>
      <c r="U842" s="5" t="inlineStr">
        <is>
          <t>training</t>
        </is>
      </c>
      <c r="V842" s="5" t="n">
        <v>0</v>
      </c>
    </row>
    <row r="843">
      <c r="A843" s="5" t="n">
        <v>839</v>
      </c>
      <c r="B843" s="5" t="n">
        <v>0</v>
      </c>
      <c r="C843" s="6" t="n">
        <v>0.275406400796963</v>
      </c>
      <c r="D843" s="6" t="n">
        <v>-0.1027619987197086</v>
      </c>
      <c r="E843" s="6" t="n">
        <v>2.38827914836729</v>
      </c>
      <c r="F843" s="6" t="n">
        <v>0.9185437189662378</v>
      </c>
      <c r="G843" s="5" t="n">
        <v>1</v>
      </c>
      <c r="H843" s="5" t="n">
        <v>0</v>
      </c>
      <c r="I843" s="5" t="n">
        <v>0</v>
      </c>
      <c r="J843" s="5" t="n">
        <v>1</v>
      </c>
      <c r="K843" s="5" t="n">
        <v>0</v>
      </c>
      <c r="L843" s="5" t="n">
        <v>0</v>
      </c>
      <c r="M843" s="5" t="n">
        <v>0</v>
      </c>
      <c r="N843" s="5" t="n">
        <v>0</v>
      </c>
      <c r="O843" s="5" t="n">
        <v>0</v>
      </c>
      <c r="P843" s="5" t="n">
        <v>0</v>
      </c>
      <c r="Q843" s="5" t="n">
        <v>0</v>
      </c>
      <c r="R843" s="5" t="n">
        <v>1</v>
      </c>
      <c r="S843" s="5" t="n">
        <v>0</v>
      </c>
      <c r="T843" s="5" t="n">
        <v>0</v>
      </c>
      <c r="U843" s="5" t="inlineStr">
        <is>
          <t>training</t>
        </is>
      </c>
      <c r="V843" s="5" t="n">
        <v>0</v>
      </c>
    </row>
    <row r="844">
      <c r="A844" s="5" t="n">
        <v>840</v>
      </c>
      <c r="B844" s="5" t="n">
        <v>0</v>
      </c>
      <c r="C844" s="6" t="n">
        <v>0.275406400796963</v>
      </c>
      <c r="D844" s="6" t="n">
        <v>-0.2238248873746987</v>
      </c>
      <c r="E844" s="6" t="n">
        <v>0.9097377965011599</v>
      </c>
      <c r="F844" s="6" t="n">
        <v>0.9185437189662378</v>
      </c>
      <c r="G844" s="5" t="n">
        <v>0</v>
      </c>
      <c r="H844" s="5" t="n">
        <v>0</v>
      </c>
      <c r="I844" s="5" t="n">
        <v>0</v>
      </c>
      <c r="J844" s="5" t="n">
        <v>1</v>
      </c>
      <c r="K844" s="5" t="n">
        <v>0</v>
      </c>
      <c r="L844" s="5" t="n">
        <v>0</v>
      </c>
      <c r="M844" s="5" t="n">
        <v>0</v>
      </c>
      <c r="N844" s="5" t="n">
        <v>0</v>
      </c>
      <c r="O844" s="5" t="n">
        <v>0</v>
      </c>
      <c r="P844" s="5" t="n">
        <v>0</v>
      </c>
      <c r="Q844" s="5" t="n">
        <v>0</v>
      </c>
      <c r="R844" s="5" t="n">
        <v>0</v>
      </c>
      <c r="S844" s="5" t="n">
        <v>1</v>
      </c>
      <c r="T844" s="5" t="n">
        <v>0</v>
      </c>
      <c r="U844" s="5" t="inlineStr">
        <is>
          <t>training</t>
        </is>
      </c>
      <c r="V844" s="5" t="n">
        <v>0</v>
      </c>
    </row>
    <row r="845">
      <c r="A845" s="5" t="n">
        <v>841</v>
      </c>
      <c r="B845" s="5" t="n">
        <v>1</v>
      </c>
      <c r="C845" s="6" t="n">
        <v>1.286513816310289</v>
      </c>
      <c r="D845" s="6" t="n">
        <v>0.6746996735097363</v>
      </c>
      <c r="E845" s="6" t="n">
        <v>-0.5688035553649698</v>
      </c>
      <c r="F845" s="6" t="n">
        <v>0.9185437189662378</v>
      </c>
      <c r="G845" s="5" t="n">
        <v>1</v>
      </c>
      <c r="H845" s="5" t="n">
        <v>0</v>
      </c>
      <c r="I845" s="5" t="n">
        <v>0</v>
      </c>
      <c r="J845" s="5" t="n">
        <v>0</v>
      </c>
      <c r="K845" s="5" t="n">
        <v>0</v>
      </c>
      <c r="L845" s="5" t="n">
        <v>0</v>
      </c>
      <c r="M845" s="5" t="n">
        <v>0</v>
      </c>
      <c r="N845" s="5" t="n">
        <v>0</v>
      </c>
      <c r="O845" s="5" t="n">
        <v>0</v>
      </c>
      <c r="P845" s="5" t="n">
        <v>0</v>
      </c>
      <c r="Q845" s="5" t="n">
        <v>0</v>
      </c>
      <c r="R845" s="5" t="n">
        <v>0</v>
      </c>
      <c r="S845" s="5" t="n">
        <v>0</v>
      </c>
      <c r="T845" s="5" t="n">
        <v>1</v>
      </c>
      <c r="U845" s="5" t="inlineStr">
        <is>
          <t>training</t>
        </is>
      </c>
      <c r="V845" s="5" t="n">
        <v>1</v>
      </c>
    </row>
    <row r="846">
      <c r="A846" s="5" t="n">
        <v>842</v>
      </c>
      <c r="B846" s="5" t="n">
        <v>0</v>
      </c>
      <c r="C846" s="6" t="n">
        <v>0.02262954691863145</v>
      </c>
      <c r="D846" s="6" t="n">
        <v>-0.0901658600157212</v>
      </c>
      <c r="E846" s="6" t="n">
        <v>-0.6557765760629775</v>
      </c>
      <c r="F846" s="6" t="n">
        <v>0.01674764143977723</v>
      </c>
      <c r="G846" s="5" t="n">
        <v>0</v>
      </c>
      <c r="H846" s="5" t="n">
        <v>0</v>
      </c>
      <c r="I846" s="5" t="n">
        <v>0</v>
      </c>
      <c r="J846" s="5" t="n">
        <v>0</v>
      </c>
      <c r="K846" s="5" t="n">
        <v>1</v>
      </c>
      <c r="L846" s="5" t="n">
        <v>0</v>
      </c>
      <c r="M846" s="5" t="n">
        <v>0</v>
      </c>
      <c r="N846" s="5" t="n">
        <v>0</v>
      </c>
      <c r="O846" s="5" t="n">
        <v>0</v>
      </c>
      <c r="P846" s="5" t="n">
        <v>0</v>
      </c>
      <c r="Q846" s="5" t="n">
        <v>0</v>
      </c>
      <c r="R846" s="5" t="n">
        <v>1</v>
      </c>
      <c r="S846" s="5" t="n">
        <v>0</v>
      </c>
      <c r="T846" s="5" t="n">
        <v>0</v>
      </c>
      <c r="U846" s="5" t="inlineStr">
        <is>
          <t>training</t>
        </is>
      </c>
      <c r="V846" s="5" t="n">
        <v>0</v>
      </c>
    </row>
    <row r="847">
      <c r="A847" s="5" t="n">
        <v>843</v>
      </c>
      <c r="B847" s="5" t="n">
        <v>1</v>
      </c>
      <c r="C847" s="6" t="n">
        <v>-0.2301473069597001</v>
      </c>
      <c r="D847" s="6" t="n">
        <v>-0.4575532388820205</v>
      </c>
      <c r="E847" s="6" t="n">
        <v>-1.090641679553016</v>
      </c>
      <c r="F847" s="6" t="n">
        <v>0.9185437189662378</v>
      </c>
      <c r="G847" s="5" t="n">
        <v>0</v>
      </c>
      <c r="H847" s="5" t="n">
        <v>0</v>
      </c>
      <c r="I847" s="5" t="n">
        <v>0</v>
      </c>
      <c r="J847" s="5" t="n">
        <v>0</v>
      </c>
      <c r="K847" s="5" t="n">
        <v>0</v>
      </c>
      <c r="L847" s="5" t="n">
        <v>0</v>
      </c>
      <c r="M847" s="5" t="n">
        <v>0</v>
      </c>
      <c r="N847" s="5" t="n">
        <v>0</v>
      </c>
      <c r="O847" s="5" t="n">
        <v>0</v>
      </c>
      <c r="P847" s="5" t="n">
        <v>0</v>
      </c>
      <c r="Q847" s="5" t="n">
        <v>0</v>
      </c>
      <c r="R847" s="5" t="n">
        <v>0</v>
      </c>
      <c r="S847" s="5" t="n">
        <v>0</v>
      </c>
      <c r="T847" s="5" t="n">
        <v>0</v>
      </c>
      <c r="U847" s="5" t="inlineStr">
        <is>
          <t>training</t>
        </is>
      </c>
      <c r="V847" s="5" t="n">
        <v>1</v>
      </c>
    </row>
    <row r="848">
      <c r="A848" s="5" t="n">
        <v>844</v>
      </c>
      <c r="B848" s="5" t="n">
        <v>0</v>
      </c>
      <c r="C848" s="6" t="n">
        <v>0.275406400796963</v>
      </c>
      <c r="D848" s="6" t="n">
        <v>-0.5919120517245529</v>
      </c>
      <c r="E848" s="6" t="n">
        <v>1.257629879293191</v>
      </c>
      <c r="F848" s="6" t="n">
        <v>0.9185437189662378</v>
      </c>
      <c r="G848" s="5" t="n">
        <v>0</v>
      </c>
      <c r="H848" s="5" t="n">
        <v>0</v>
      </c>
      <c r="I848" s="5" t="n">
        <v>0</v>
      </c>
      <c r="J848" s="5" t="n">
        <v>0</v>
      </c>
      <c r="K848" s="5" t="n">
        <v>0</v>
      </c>
      <c r="L848" s="5" t="n">
        <v>1</v>
      </c>
      <c r="M848" s="5" t="n">
        <v>0</v>
      </c>
      <c r="N848" s="5" t="n">
        <v>0</v>
      </c>
      <c r="O848" s="5" t="n">
        <v>0</v>
      </c>
      <c r="P848" s="5" t="n">
        <v>0</v>
      </c>
      <c r="Q848" s="5" t="n">
        <v>0</v>
      </c>
      <c r="R848" s="5" t="n">
        <v>0</v>
      </c>
      <c r="S848" s="5" t="n">
        <v>0</v>
      </c>
      <c r="T848" s="5" t="n">
        <v>0</v>
      </c>
      <c r="U848" s="5" t="inlineStr">
        <is>
          <t>testing</t>
        </is>
      </c>
      <c r="V848" s="5" t="n">
        <v>0</v>
      </c>
    </row>
    <row r="849">
      <c r="A849" s="5" t="n">
        <v>845</v>
      </c>
      <c r="B849" s="5" t="n">
        <v>0</v>
      </c>
      <c r="C849" s="6" t="n">
        <v>-0.2301473069597001</v>
      </c>
      <c r="D849" s="6" t="n">
        <v>0.05993812620679538</v>
      </c>
      <c r="E849" s="6" t="n">
        <v>0.9967108171991675</v>
      </c>
      <c r="F849" s="6" t="n">
        <v>0.9185437189662378</v>
      </c>
      <c r="G849" s="5" t="n">
        <v>0</v>
      </c>
      <c r="H849" s="5" t="n">
        <v>0</v>
      </c>
      <c r="I849" s="5" t="n">
        <v>0</v>
      </c>
      <c r="J849" s="5" t="n">
        <v>0</v>
      </c>
      <c r="K849" s="5" t="n">
        <v>0</v>
      </c>
      <c r="L849" s="5" t="n">
        <v>0</v>
      </c>
      <c r="M849" s="5" t="n">
        <v>0</v>
      </c>
      <c r="N849" s="5" t="n">
        <v>0</v>
      </c>
      <c r="O849" s="5" t="n">
        <v>0</v>
      </c>
      <c r="P849" s="5" t="n">
        <v>0</v>
      </c>
      <c r="Q849" s="5" t="n">
        <v>0</v>
      </c>
      <c r="R849" s="5" t="n">
        <v>0</v>
      </c>
      <c r="S849" s="5" t="n">
        <v>0</v>
      </c>
      <c r="T849" s="5" t="n">
        <v>1</v>
      </c>
      <c r="U849" s="5" t="inlineStr">
        <is>
          <t>training</t>
        </is>
      </c>
      <c r="V849" s="5" t="n">
        <v>1</v>
      </c>
    </row>
    <row r="850">
      <c r="A850" s="5" t="n">
        <v>846</v>
      </c>
      <c r="B850" s="5" t="n">
        <v>0</v>
      </c>
      <c r="C850" s="6" t="n">
        <v>0.02262954691863145</v>
      </c>
      <c r="D850" s="6" t="n">
        <v>0.2537787051514905</v>
      </c>
      <c r="E850" s="6" t="n">
        <v>-0.04696543117692405</v>
      </c>
      <c r="F850" s="6" t="n">
        <v>-0.8850484360866833</v>
      </c>
      <c r="G850" s="5" t="n">
        <v>0</v>
      </c>
      <c r="H850" s="5" t="n">
        <v>1</v>
      </c>
      <c r="I850" s="5" t="n">
        <v>0</v>
      </c>
      <c r="J850" s="5" t="n">
        <v>0</v>
      </c>
      <c r="K850" s="5" t="n">
        <v>0</v>
      </c>
      <c r="L850" s="5" t="n">
        <v>0</v>
      </c>
      <c r="M850" s="5" t="n">
        <v>0</v>
      </c>
      <c r="N850" s="5" t="n">
        <v>0</v>
      </c>
      <c r="O850" s="5" t="n">
        <v>1</v>
      </c>
      <c r="P850" s="5" t="n">
        <v>0</v>
      </c>
      <c r="Q850" s="5" t="n">
        <v>0</v>
      </c>
      <c r="R850" s="5" t="n">
        <v>0</v>
      </c>
      <c r="S850" s="5" t="n">
        <v>0</v>
      </c>
      <c r="T850" s="5" t="n">
        <v>1</v>
      </c>
      <c r="U850" s="5" t="inlineStr">
        <is>
          <t>training</t>
        </is>
      </c>
      <c r="V850" s="5" t="n">
        <v>1</v>
      </c>
    </row>
    <row r="851">
      <c r="A851" s="5" t="n">
        <v>847</v>
      </c>
      <c r="B851" s="5" t="n">
        <v>1</v>
      </c>
      <c r="C851" s="6" t="n">
        <v>-0.2301473069597001</v>
      </c>
      <c r="D851" s="6" t="n">
        <v>1.228229991001627</v>
      </c>
      <c r="E851" s="6" t="n">
        <v>2.823144251857328</v>
      </c>
      <c r="F851" s="6" t="n">
        <v>-0.8850484360866833</v>
      </c>
      <c r="G851" s="5" t="n">
        <v>0</v>
      </c>
      <c r="H851" s="5" t="n">
        <v>0</v>
      </c>
      <c r="I851" s="5" t="n">
        <v>0</v>
      </c>
      <c r="J851" s="5" t="n">
        <v>0</v>
      </c>
      <c r="K851" s="5" t="n">
        <v>0</v>
      </c>
      <c r="L851" s="5" t="n">
        <v>0</v>
      </c>
      <c r="M851" s="5" t="n">
        <v>0</v>
      </c>
      <c r="N851" s="5" t="n">
        <v>0</v>
      </c>
      <c r="O851" s="5" t="n">
        <v>1</v>
      </c>
      <c r="P851" s="5" t="n">
        <v>1</v>
      </c>
      <c r="Q851" s="5" t="n">
        <v>0</v>
      </c>
      <c r="R851" s="5" t="n">
        <v>1</v>
      </c>
      <c r="S851" s="5" t="n">
        <v>0</v>
      </c>
      <c r="T851" s="5" t="n">
        <v>0</v>
      </c>
      <c r="U851" s="5" t="inlineStr">
        <is>
          <t>training</t>
        </is>
      </c>
      <c r="V851" s="5" t="n">
        <v>1</v>
      </c>
    </row>
    <row r="852">
      <c r="A852" s="5" t="n">
        <v>848</v>
      </c>
      <c r="B852" s="5" t="n">
        <v>0</v>
      </c>
      <c r="C852" s="6" t="n">
        <v>0.275406400796963</v>
      </c>
      <c r="D852" s="6" t="n">
        <v>-0.7003788016755556</v>
      </c>
      <c r="E852" s="6" t="n">
        <v>-0.6557765760629775</v>
      </c>
      <c r="F852" s="6" t="n">
        <v>0.9185437189662378</v>
      </c>
      <c r="G852" s="5" t="n">
        <v>0</v>
      </c>
      <c r="H852" s="5" t="n">
        <v>0</v>
      </c>
      <c r="I852" s="5" t="n">
        <v>0</v>
      </c>
      <c r="J852" s="5" t="n">
        <v>0</v>
      </c>
      <c r="K852" s="5" t="n">
        <v>0</v>
      </c>
      <c r="L852" s="5" t="n">
        <v>0</v>
      </c>
      <c r="M852" s="5" t="n">
        <v>0</v>
      </c>
      <c r="N852" s="5" t="n">
        <v>0</v>
      </c>
      <c r="O852" s="5" t="n">
        <v>0</v>
      </c>
      <c r="P852" s="5" t="n">
        <v>0</v>
      </c>
      <c r="Q852" s="5" t="n">
        <v>0</v>
      </c>
      <c r="R852" s="5" t="n">
        <v>1</v>
      </c>
      <c r="S852" s="5" t="n">
        <v>0</v>
      </c>
      <c r="T852" s="5" t="n">
        <v>0</v>
      </c>
      <c r="U852" s="5" t="inlineStr">
        <is>
          <t>training</t>
        </is>
      </c>
      <c r="V852" s="5" t="n">
        <v>0</v>
      </c>
    </row>
    <row r="853">
      <c r="A853" s="5" t="n">
        <v>849</v>
      </c>
      <c r="B853" s="5" t="n">
        <v>0</v>
      </c>
      <c r="C853" s="6" t="n">
        <v>-0.9884778685946948</v>
      </c>
      <c r="D853" s="6" t="n">
        <v>-0.6601411363711513</v>
      </c>
      <c r="E853" s="6" t="n">
        <v>2.040387065575259</v>
      </c>
      <c r="F853" s="6" t="n">
        <v>0.01674764143977723</v>
      </c>
      <c r="G853" s="5" t="n">
        <v>1</v>
      </c>
      <c r="H853" s="5" t="n">
        <v>0</v>
      </c>
      <c r="I853" s="5" t="n">
        <v>0</v>
      </c>
      <c r="J853" s="5" t="n">
        <v>0</v>
      </c>
      <c r="K853" s="5" t="n">
        <v>0</v>
      </c>
      <c r="L853" s="5" t="n">
        <v>0</v>
      </c>
      <c r="M853" s="5" t="n">
        <v>0</v>
      </c>
      <c r="N853" s="5" t="n">
        <v>0</v>
      </c>
      <c r="O853" s="5" t="n">
        <v>0</v>
      </c>
      <c r="P853" s="5" t="n">
        <v>0</v>
      </c>
      <c r="Q853" s="5" t="n">
        <v>0</v>
      </c>
      <c r="R853" s="5" t="n">
        <v>0</v>
      </c>
      <c r="S853" s="5" t="n">
        <v>1</v>
      </c>
      <c r="T853" s="5" t="n">
        <v>0</v>
      </c>
      <c r="U853" s="5" t="inlineStr">
        <is>
          <t>training</t>
        </is>
      </c>
      <c r="V853" s="5" t="n">
        <v>1</v>
      </c>
    </row>
    <row r="854">
      <c r="A854" s="5" t="n">
        <v>850</v>
      </c>
      <c r="B854" s="5" t="n">
        <v>1</v>
      </c>
      <c r="C854" s="6" t="n">
        <v>-0.7357010147163632</v>
      </c>
      <c r="D854" s="6" t="n">
        <v>-0.8893208822353666</v>
      </c>
      <c r="E854" s="6" t="n">
        <v>1.866441024179244</v>
      </c>
      <c r="F854" s="6" t="n">
        <v>0.9185437189662378</v>
      </c>
      <c r="G854" s="5" t="n">
        <v>1</v>
      </c>
      <c r="H854" s="5" t="n">
        <v>0</v>
      </c>
      <c r="I854" s="5" t="n">
        <v>0</v>
      </c>
      <c r="J854" s="5" t="n">
        <v>0</v>
      </c>
      <c r="K854" s="5" t="n">
        <v>0</v>
      </c>
      <c r="L854" s="5" t="n">
        <v>0</v>
      </c>
      <c r="M854" s="5" t="n">
        <v>0</v>
      </c>
      <c r="N854" s="5" t="n">
        <v>0</v>
      </c>
      <c r="O854" s="5" t="n">
        <v>0</v>
      </c>
      <c r="P854" s="5" t="n">
        <v>0</v>
      </c>
      <c r="Q854" s="5" t="n">
        <v>0</v>
      </c>
      <c r="R854" s="5" t="n">
        <v>0</v>
      </c>
      <c r="S854" s="5" t="n">
        <v>1</v>
      </c>
      <c r="T854" s="5" t="n">
        <v>0</v>
      </c>
      <c r="U854" s="5" t="inlineStr">
        <is>
          <t>training</t>
        </is>
      </c>
      <c r="V854" s="5" t="n">
        <v>1</v>
      </c>
    </row>
    <row r="855">
      <c r="A855" s="5" t="n">
        <v>851</v>
      </c>
      <c r="B855" s="5" t="n">
        <v>1</v>
      </c>
      <c r="C855" s="6" t="n">
        <v>-0.06162940437414574</v>
      </c>
      <c r="D855" s="6" t="n">
        <v>-0.3553845582830116</v>
      </c>
      <c r="E855" s="6" t="n">
        <v>-0.2209114725729393</v>
      </c>
      <c r="F855" s="6" t="n">
        <v>0.9185437189662378</v>
      </c>
      <c r="G855" s="5" t="n">
        <v>1</v>
      </c>
      <c r="H855" s="5" t="n">
        <v>0</v>
      </c>
      <c r="I855" s="5" t="n">
        <v>0</v>
      </c>
      <c r="J855" s="5" t="n">
        <v>1</v>
      </c>
      <c r="K855" s="5" t="n">
        <v>0</v>
      </c>
      <c r="L855" s="5" t="n">
        <v>0</v>
      </c>
      <c r="M855" s="5" t="n">
        <v>0</v>
      </c>
      <c r="N855" s="5" t="n">
        <v>0</v>
      </c>
      <c r="O855" s="5" t="n">
        <v>0</v>
      </c>
      <c r="P855" s="5" t="n">
        <v>1</v>
      </c>
      <c r="Q855" s="5" t="n">
        <v>0</v>
      </c>
      <c r="R855" s="5" t="n">
        <v>1</v>
      </c>
      <c r="S855" s="5" t="n">
        <v>0</v>
      </c>
      <c r="T855" s="5" t="n">
        <v>0</v>
      </c>
      <c r="U855" s="5" t="inlineStr">
        <is>
          <t>training</t>
        </is>
      </c>
      <c r="V855" s="5" t="n">
        <v>1</v>
      </c>
    </row>
    <row r="856">
      <c r="A856" s="5" t="n">
        <v>852</v>
      </c>
      <c r="B856" s="5" t="n">
        <v>0</v>
      </c>
      <c r="C856" s="6" t="n">
        <v>0.275406400796963</v>
      </c>
      <c r="D856" s="6" t="n">
        <v>0.2768716261088007</v>
      </c>
      <c r="E856" s="6" t="n">
        <v>0.648818734407137</v>
      </c>
      <c r="F856" s="6" t="n">
        <v>0.01674764143977723</v>
      </c>
      <c r="G856" s="5" t="n">
        <v>0</v>
      </c>
      <c r="H856" s="5" t="n">
        <v>0</v>
      </c>
      <c r="I856" s="5" t="n">
        <v>0</v>
      </c>
      <c r="J856" s="5" t="n">
        <v>1</v>
      </c>
      <c r="K856" s="5" t="n">
        <v>0</v>
      </c>
      <c r="L856" s="5" t="n">
        <v>0</v>
      </c>
      <c r="M856" s="5" t="n">
        <v>0</v>
      </c>
      <c r="N856" s="5" t="n">
        <v>0</v>
      </c>
      <c r="O856" s="5" t="n">
        <v>1</v>
      </c>
      <c r="P856" s="5" t="n">
        <v>0</v>
      </c>
      <c r="Q856" s="5" t="n">
        <v>0</v>
      </c>
      <c r="R856" s="5" t="n">
        <v>1</v>
      </c>
      <c r="S856" s="5" t="n">
        <v>0</v>
      </c>
      <c r="T856" s="5" t="n">
        <v>0</v>
      </c>
      <c r="U856" s="5" t="inlineStr">
        <is>
          <t>training</t>
        </is>
      </c>
      <c r="V856" s="5" t="n">
        <v>0</v>
      </c>
    </row>
    <row r="857">
      <c r="A857" s="5" t="n">
        <v>853</v>
      </c>
      <c r="B857" s="5" t="n">
        <v>0</v>
      </c>
      <c r="C857" s="6" t="n">
        <v>-0.4829241608380317</v>
      </c>
      <c r="D857" s="6" t="n">
        <v>-0.6227026130009665</v>
      </c>
      <c r="E857" s="6" t="n">
        <v>-0.04696543117692405</v>
      </c>
      <c r="F857" s="6" t="n">
        <v>0.9185437189662378</v>
      </c>
      <c r="G857" s="5" t="n">
        <v>0</v>
      </c>
      <c r="H857" s="5" t="n">
        <v>0</v>
      </c>
      <c r="I857" s="5" t="n">
        <v>0</v>
      </c>
      <c r="J857" s="5" t="n">
        <v>1</v>
      </c>
      <c r="K857" s="5" t="n">
        <v>0</v>
      </c>
      <c r="L857" s="5" t="n">
        <v>0</v>
      </c>
      <c r="M857" s="5" t="n">
        <v>0</v>
      </c>
      <c r="N857" s="5" t="n">
        <v>0</v>
      </c>
      <c r="O857" s="5" t="n">
        <v>0</v>
      </c>
      <c r="P857" s="5" t="n">
        <v>0</v>
      </c>
      <c r="Q857" s="5" t="n">
        <v>1</v>
      </c>
      <c r="R857" s="5" t="n">
        <v>0</v>
      </c>
      <c r="S857" s="5" t="n">
        <v>1</v>
      </c>
      <c r="T857" s="5" t="n">
        <v>0</v>
      </c>
      <c r="U857" s="5" t="inlineStr">
        <is>
          <t>testing</t>
        </is>
      </c>
      <c r="V857" s="5" t="n">
        <v>0</v>
      </c>
    </row>
    <row r="858">
      <c r="A858" s="5" t="n">
        <v>854</v>
      </c>
      <c r="B858" s="5" t="n">
        <v>1</v>
      </c>
      <c r="C858" s="6" t="n">
        <v>-0.2301473069597001</v>
      </c>
      <c r="D858" s="6" t="n">
        <v>-0.6328495025125119</v>
      </c>
      <c r="E858" s="6" t="n">
        <v>-0.307884493270947</v>
      </c>
      <c r="F858" s="6" t="n">
        <v>0.9185437189662378</v>
      </c>
      <c r="G858" s="5" t="n">
        <v>1</v>
      </c>
      <c r="H858" s="5" t="n">
        <v>0</v>
      </c>
      <c r="I858" s="5" t="n">
        <v>0</v>
      </c>
      <c r="J858" s="5" t="n">
        <v>0</v>
      </c>
      <c r="K858" s="5" t="n">
        <v>0</v>
      </c>
      <c r="L858" s="5" t="n">
        <v>1</v>
      </c>
      <c r="M858" s="5" t="n">
        <v>0</v>
      </c>
      <c r="N858" s="5" t="n">
        <v>0</v>
      </c>
      <c r="O858" s="5" t="n">
        <v>0</v>
      </c>
      <c r="P858" s="5" t="n">
        <v>0</v>
      </c>
      <c r="Q858" s="5" t="n">
        <v>1</v>
      </c>
      <c r="R858" s="5" t="n">
        <v>1</v>
      </c>
      <c r="S858" s="5" t="n">
        <v>0</v>
      </c>
      <c r="T858" s="5" t="n">
        <v>0</v>
      </c>
      <c r="U858" s="5" t="inlineStr">
        <is>
          <t>training</t>
        </is>
      </c>
      <c r="V858" s="5" t="n">
        <v>1</v>
      </c>
    </row>
    <row r="859">
      <c r="A859" s="5" t="n">
        <v>855</v>
      </c>
      <c r="B859" s="5" t="n">
        <v>0</v>
      </c>
      <c r="C859" s="6" t="n">
        <v>1.286513816310289</v>
      </c>
      <c r="D859" s="6" t="n">
        <v>2.667688730673966</v>
      </c>
      <c r="E859" s="6" t="n">
        <v>0.8227647758031523</v>
      </c>
      <c r="F859" s="6" t="n">
        <v>-0.8850484360866833</v>
      </c>
      <c r="G859" s="5" t="n">
        <v>0</v>
      </c>
      <c r="H859" s="5" t="n">
        <v>0</v>
      </c>
      <c r="I859" s="5" t="n">
        <v>0</v>
      </c>
      <c r="J859" s="5" t="n">
        <v>0</v>
      </c>
      <c r="K859" s="5" t="n">
        <v>1</v>
      </c>
      <c r="L859" s="5" t="n">
        <v>0</v>
      </c>
      <c r="M859" s="5" t="n">
        <v>0</v>
      </c>
      <c r="N859" s="5" t="n">
        <v>0</v>
      </c>
      <c r="O859" s="5" t="n">
        <v>0</v>
      </c>
      <c r="P859" s="5" t="n">
        <v>0</v>
      </c>
      <c r="Q859" s="5" t="n">
        <v>0</v>
      </c>
      <c r="R859" s="5" t="n">
        <v>1</v>
      </c>
      <c r="S859" s="5" t="n">
        <v>0</v>
      </c>
      <c r="T859" s="5" t="n">
        <v>0</v>
      </c>
      <c r="U859" s="5" t="inlineStr">
        <is>
          <t>training</t>
        </is>
      </c>
      <c r="V859" s="5" t="n">
        <v>0</v>
      </c>
    </row>
    <row r="860">
      <c r="A860" s="5" t="n">
        <v>856</v>
      </c>
      <c r="B860" s="5" t="n">
        <v>0</v>
      </c>
      <c r="C860" s="6" t="n">
        <v>0.275406400796963</v>
      </c>
      <c r="D860" s="6" t="n">
        <v>-0.6216529347756342</v>
      </c>
      <c r="E860" s="6" t="n">
        <v>-0.2209114725729393</v>
      </c>
      <c r="F860" s="6" t="n">
        <v>0.9185437189662378</v>
      </c>
      <c r="G860" s="5" t="n">
        <v>0</v>
      </c>
      <c r="H860" s="5" t="n">
        <v>0</v>
      </c>
      <c r="I860" s="5" t="n">
        <v>0</v>
      </c>
      <c r="J860" s="5" t="n">
        <v>0</v>
      </c>
      <c r="K860" s="5" t="n">
        <v>0</v>
      </c>
      <c r="L860" s="5" t="n">
        <v>0</v>
      </c>
      <c r="M860" s="5" t="n">
        <v>1</v>
      </c>
      <c r="N860" s="5" t="n">
        <v>0</v>
      </c>
      <c r="O860" s="5" t="n">
        <v>0</v>
      </c>
      <c r="P860" s="5" t="n">
        <v>0</v>
      </c>
      <c r="Q860" s="5" t="n">
        <v>0</v>
      </c>
      <c r="R860" s="5" t="n">
        <v>1</v>
      </c>
      <c r="S860" s="5" t="n">
        <v>0</v>
      </c>
      <c r="T860" s="5" t="n">
        <v>0</v>
      </c>
      <c r="U860" s="5" t="inlineStr">
        <is>
          <t>testing</t>
        </is>
      </c>
      <c r="V860" s="5" t="n">
        <v>0</v>
      </c>
    </row>
    <row r="861">
      <c r="A861" s="5" t="n">
        <v>857</v>
      </c>
      <c r="B861" s="5" t="n">
        <v>0</v>
      </c>
      <c r="C861" s="6" t="n">
        <v>-0.9042189173019176</v>
      </c>
      <c r="D861" s="6" t="n">
        <v>-0.8245907250065425</v>
      </c>
      <c r="E861" s="6" t="n">
        <v>0.3878996723131141</v>
      </c>
      <c r="F861" s="6" t="n">
        <v>0.9185437189662378</v>
      </c>
      <c r="G861" s="5" t="n">
        <v>0</v>
      </c>
      <c r="H861" s="5" t="n">
        <v>0</v>
      </c>
      <c r="I861" s="5" t="n">
        <v>0</v>
      </c>
      <c r="J861" s="5" t="n">
        <v>0</v>
      </c>
      <c r="K861" s="5" t="n">
        <v>0</v>
      </c>
      <c r="L861" s="5" t="n">
        <v>0</v>
      </c>
      <c r="M861" s="5" t="n">
        <v>0</v>
      </c>
      <c r="N861" s="5" t="n">
        <v>0</v>
      </c>
      <c r="O861" s="5" t="n">
        <v>1</v>
      </c>
      <c r="P861" s="5" t="n">
        <v>0</v>
      </c>
      <c r="Q861" s="5" t="n">
        <v>0</v>
      </c>
      <c r="R861" s="5" t="n">
        <v>0</v>
      </c>
      <c r="S861" s="5" t="n">
        <v>0</v>
      </c>
      <c r="T861" s="5" t="n">
        <v>0</v>
      </c>
      <c r="U861" s="5" t="inlineStr">
        <is>
          <t>training</t>
        </is>
      </c>
      <c r="V861" s="5" t="n">
        <v>0</v>
      </c>
    </row>
    <row r="862">
      <c r="A862" s="5" t="n">
        <v>858</v>
      </c>
      <c r="B862" s="5" t="n">
        <v>0</v>
      </c>
      <c r="C862" s="6" t="n">
        <v>-0.4829241608380317</v>
      </c>
      <c r="D862" s="6" t="n">
        <v>0.03229659960637857</v>
      </c>
      <c r="E862" s="6" t="n">
        <v>-0.6557765760629775</v>
      </c>
      <c r="F862" s="6" t="n">
        <v>0.9185437189662378</v>
      </c>
      <c r="G862" s="5" t="n">
        <v>0</v>
      </c>
      <c r="H862" s="5" t="n">
        <v>0</v>
      </c>
      <c r="I862" s="5" t="n">
        <v>0</v>
      </c>
      <c r="J862" s="5" t="n">
        <v>1</v>
      </c>
      <c r="K862" s="5" t="n">
        <v>0</v>
      </c>
      <c r="L862" s="5" t="n">
        <v>0</v>
      </c>
      <c r="M862" s="5" t="n">
        <v>0</v>
      </c>
      <c r="N862" s="5" t="n">
        <v>0</v>
      </c>
      <c r="O862" s="5" t="n">
        <v>0</v>
      </c>
      <c r="P862" s="5" t="n">
        <v>0</v>
      </c>
      <c r="Q862" s="5" t="n">
        <v>1</v>
      </c>
      <c r="R862" s="5" t="n">
        <v>0</v>
      </c>
      <c r="S862" s="5" t="n">
        <v>0</v>
      </c>
      <c r="T862" s="5" t="n">
        <v>1</v>
      </c>
      <c r="U862" s="5" t="inlineStr">
        <is>
          <t>training</t>
        </is>
      </c>
      <c r="V862" s="5" t="n">
        <v>1</v>
      </c>
    </row>
    <row r="863">
      <c r="A863" s="5" t="n">
        <v>859</v>
      </c>
      <c r="B863" s="5" t="n">
        <v>1</v>
      </c>
      <c r="C863" s="6" t="n">
        <v>-0.4829241608380317</v>
      </c>
      <c r="D863" s="6" t="n">
        <v>0.2478305285412742</v>
      </c>
      <c r="E863" s="6" t="n">
        <v>-0.5688035553649698</v>
      </c>
      <c r="F863" s="6" t="n">
        <v>0.01674764143977723</v>
      </c>
      <c r="G863" s="5" t="n">
        <v>1</v>
      </c>
      <c r="H863" s="5" t="n">
        <v>0</v>
      </c>
      <c r="I863" s="5" t="n">
        <v>0</v>
      </c>
      <c r="J863" s="5" t="n">
        <v>0</v>
      </c>
      <c r="K863" s="5" t="n">
        <v>0</v>
      </c>
      <c r="L863" s="5" t="n">
        <v>0</v>
      </c>
      <c r="M863" s="5" t="n">
        <v>0</v>
      </c>
      <c r="N863" s="5" t="n">
        <v>0</v>
      </c>
      <c r="O863" s="5" t="n">
        <v>0</v>
      </c>
      <c r="P863" s="5" t="n">
        <v>0</v>
      </c>
      <c r="Q863" s="5" t="n">
        <v>0</v>
      </c>
      <c r="R863" s="5" t="n">
        <v>1</v>
      </c>
      <c r="S863" s="5" t="n">
        <v>0</v>
      </c>
      <c r="T863" s="5" t="n">
        <v>0</v>
      </c>
      <c r="U863" s="5" t="inlineStr">
        <is>
          <t>training</t>
        </is>
      </c>
      <c r="V863" s="5" t="n">
        <v>1</v>
      </c>
    </row>
    <row r="864">
      <c r="A864" s="5" t="n">
        <v>860</v>
      </c>
      <c r="B864" s="5" t="n">
        <v>0</v>
      </c>
      <c r="C864" s="6" t="n">
        <v>-0.9884778685946948</v>
      </c>
      <c r="D864" s="6" t="n">
        <v>0.1141715011822967</v>
      </c>
      <c r="E864" s="6" t="n">
        <v>-0.8297226174589928</v>
      </c>
      <c r="F864" s="6" t="n">
        <v>-1.786844513613144</v>
      </c>
      <c r="G864" s="5" t="n">
        <v>0</v>
      </c>
      <c r="H864" s="5" t="n">
        <v>0</v>
      </c>
      <c r="I864" s="5" t="n">
        <v>0</v>
      </c>
      <c r="J864" s="5" t="n">
        <v>0</v>
      </c>
      <c r="K864" s="5" t="n">
        <v>0</v>
      </c>
      <c r="L864" s="5" t="n">
        <v>0</v>
      </c>
      <c r="M864" s="5" t="n">
        <v>1</v>
      </c>
      <c r="N864" s="5" t="n">
        <v>0</v>
      </c>
      <c r="O864" s="5" t="n">
        <v>0</v>
      </c>
      <c r="P864" s="5" t="n">
        <v>1</v>
      </c>
      <c r="Q864" s="5" t="n">
        <v>0</v>
      </c>
      <c r="R864" s="5" t="n">
        <v>1</v>
      </c>
      <c r="S864" s="5" t="n">
        <v>0</v>
      </c>
      <c r="T864" s="5" t="n">
        <v>0</v>
      </c>
      <c r="U864" s="5" t="inlineStr">
        <is>
          <t>testing</t>
        </is>
      </c>
      <c r="V864" s="5" t="n">
        <v>0</v>
      </c>
    </row>
    <row r="865">
      <c r="A865" s="5" t="n">
        <v>861</v>
      </c>
      <c r="B865" s="5" t="n">
        <v>0</v>
      </c>
      <c r="C865" s="6" t="n">
        <v>0.275406400796963</v>
      </c>
      <c r="D865" s="6" t="n">
        <v>0.8933826371206287</v>
      </c>
      <c r="E865" s="6" t="n">
        <v>-0.7427495967609852</v>
      </c>
      <c r="F865" s="6" t="n">
        <v>0.9185437189662378</v>
      </c>
      <c r="G865" s="5" t="n">
        <v>0</v>
      </c>
      <c r="H865" s="5" t="n">
        <v>0</v>
      </c>
      <c r="I865" s="5" t="n">
        <v>0</v>
      </c>
      <c r="J865" s="5" t="n">
        <v>1</v>
      </c>
      <c r="K865" s="5" t="n">
        <v>0</v>
      </c>
      <c r="L865" s="5" t="n">
        <v>0</v>
      </c>
      <c r="M865" s="5" t="n">
        <v>0</v>
      </c>
      <c r="N865" s="5" t="n">
        <v>1</v>
      </c>
      <c r="O865" s="5" t="n">
        <v>0</v>
      </c>
      <c r="P865" s="5" t="n">
        <v>0</v>
      </c>
      <c r="Q865" s="5" t="n">
        <v>0</v>
      </c>
      <c r="R865" s="5" t="n">
        <v>1</v>
      </c>
      <c r="S865" s="5" t="n">
        <v>0</v>
      </c>
      <c r="T865" s="5" t="n">
        <v>0</v>
      </c>
      <c r="U865" s="5" t="inlineStr">
        <is>
          <t>training</t>
        </is>
      </c>
      <c r="V865" s="5" t="n">
        <v>1</v>
      </c>
    </row>
    <row r="866">
      <c r="A866" s="5" t="n">
        <v>862</v>
      </c>
      <c r="B866" s="5" t="n">
        <v>1</v>
      </c>
      <c r="C866" s="6" t="n">
        <v>-0.2301473069597001</v>
      </c>
      <c r="D866" s="6" t="n">
        <v>-0.3784774792403218</v>
      </c>
      <c r="E866" s="6" t="n">
        <v>-0.6557765760629775</v>
      </c>
      <c r="F866" s="6" t="n">
        <v>0.9185437189662378</v>
      </c>
      <c r="G866" s="5" t="n">
        <v>0</v>
      </c>
      <c r="H866" s="5" t="n">
        <v>0</v>
      </c>
      <c r="I866" s="5" t="n">
        <v>0</v>
      </c>
      <c r="J866" s="5" t="n">
        <v>0</v>
      </c>
      <c r="K866" s="5" t="n">
        <v>1</v>
      </c>
      <c r="L866" s="5" t="n">
        <v>0</v>
      </c>
      <c r="M866" s="5" t="n">
        <v>0</v>
      </c>
      <c r="N866" s="5" t="n">
        <v>0</v>
      </c>
      <c r="O866" s="5" t="n">
        <v>0</v>
      </c>
      <c r="P866" s="5" t="n">
        <v>0</v>
      </c>
      <c r="Q866" s="5" t="n">
        <v>0</v>
      </c>
      <c r="R866" s="5" t="n">
        <v>0</v>
      </c>
      <c r="S866" s="5" t="n">
        <v>0</v>
      </c>
      <c r="T866" s="5" t="n">
        <v>0</v>
      </c>
      <c r="U866" s="5" t="inlineStr">
        <is>
          <t>training</t>
        </is>
      </c>
      <c r="V866" s="5" t="n">
        <v>1</v>
      </c>
    </row>
    <row r="867">
      <c r="A867" s="5" t="n">
        <v>863</v>
      </c>
      <c r="B867" s="5" t="n">
        <v>1</v>
      </c>
      <c r="C867" s="6" t="n">
        <v>0.275406400796963</v>
      </c>
      <c r="D867" s="6" t="n">
        <v>-0.2840064389604163</v>
      </c>
      <c r="E867" s="6" t="n">
        <v>-0.04696543117692405</v>
      </c>
      <c r="F867" s="6" t="n">
        <v>0.9185437189662378</v>
      </c>
      <c r="G867" s="5" t="n">
        <v>1</v>
      </c>
      <c r="H867" s="5" t="n">
        <v>0</v>
      </c>
      <c r="I867" s="5" t="n">
        <v>0</v>
      </c>
      <c r="J867" s="5" t="n">
        <v>0</v>
      </c>
      <c r="K867" s="5" t="n">
        <v>0</v>
      </c>
      <c r="L867" s="5" t="n">
        <v>0</v>
      </c>
      <c r="M867" s="5" t="n">
        <v>0</v>
      </c>
      <c r="N867" s="5" t="n">
        <v>0</v>
      </c>
      <c r="O867" s="5" t="n">
        <v>0</v>
      </c>
      <c r="P867" s="5" t="n">
        <v>0</v>
      </c>
      <c r="Q867" s="5" t="n">
        <v>0</v>
      </c>
      <c r="R867" s="5" t="n">
        <v>0</v>
      </c>
      <c r="S867" s="5" t="n">
        <v>1</v>
      </c>
      <c r="T867" s="5" t="n">
        <v>0</v>
      </c>
      <c r="U867" s="5" t="inlineStr">
        <is>
          <t>training</t>
        </is>
      </c>
      <c r="V867" s="5" t="n">
        <v>1</v>
      </c>
    </row>
    <row r="868">
      <c r="A868" s="5" t="n">
        <v>864</v>
      </c>
      <c r="B868" s="5" t="n">
        <v>0</v>
      </c>
      <c r="C868" s="6" t="n">
        <v>0.5281832546752946</v>
      </c>
      <c r="D868" s="6" t="n">
        <v>0.4462197131290758</v>
      </c>
      <c r="E868" s="6" t="n">
        <v>-0.307884493270947</v>
      </c>
      <c r="F868" s="6" t="n">
        <v>0.9185437189662378</v>
      </c>
      <c r="G868" s="5" t="n">
        <v>0</v>
      </c>
      <c r="H868" s="5" t="n">
        <v>0</v>
      </c>
      <c r="I868" s="5" t="n">
        <v>0</v>
      </c>
      <c r="J868" s="5" t="n">
        <v>1</v>
      </c>
      <c r="K868" s="5" t="n">
        <v>0</v>
      </c>
      <c r="L868" s="5" t="n">
        <v>0</v>
      </c>
      <c r="M868" s="5" t="n">
        <v>0</v>
      </c>
      <c r="N868" s="5" t="n">
        <v>1</v>
      </c>
      <c r="O868" s="5" t="n">
        <v>0</v>
      </c>
      <c r="P868" s="5" t="n">
        <v>0</v>
      </c>
      <c r="Q868" s="5" t="n">
        <v>0</v>
      </c>
      <c r="R868" s="5" t="n">
        <v>0</v>
      </c>
      <c r="S868" s="5" t="n">
        <v>0</v>
      </c>
      <c r="T868" s="5" t="n">
        <v>1</v>
      </c>
      <c r="U868" s="5" t="inlineStr">
        <is>
          <t>testing</t>
        </is>
      </c>
      <c r="V868" s="5" t="n">
        <v>0</v>
      </c>
    </row>
    <row r="869">
      <c r="A869" s="5" t="n">
        <v>865</v>
      </c>
      <c r="B869" s="5" t="n">
        <v>1</v>
      </c>
      <c r="C869" s="6" t="n">
        <v>-0.9042189173019176</v>
      </c>
      <c r="D869" s="6" t="n">
        <v>-0.3641318768274473</v>
      </c>
      <c r="E869" s="6" t="n">
        <v>-0.9166956381570004</v>
      </c>
      <c r="F869" s="6" t="n">
        <v>-0.8850484360866833</v>
      </c>
      <c r="G869" s="5" t="n">
        <v>0</v>
      </c>
      <c r="H869" s="5" t="n">
        <v>0</v>
      </c>
      <c r="I869" s="5" t="n">
        <v>0</v>
      </c>
      <c r="J869" s="5" t="n">
        <v>0</v>
      </c>
      <c r="K869" s="5" t="n">
        <v>0</v>
      </c>
      <c r="L869" s="5" t="n">
        <v>0</v>
      </c>
      <c r="M869" s="5" t="n">
        <v>0</v>
      </c>
      <c r="N869" s="5" t="n">
        <v>0</v>
      </c>
      <c r="O869" s="5" t="n">
        <v>0</v>
      </c>
      <c r="P869" s="5" t="n">
        <v>1</v>
      </c>
      <c r="Q869" s="5" t="n">
        <v>0</v>
      </c>
      <c r="R869" s="5" t="n">
        <v>0</v>
      </c>
      <c r="S869" s="5" t="n">
        <v>0</v>
      </c>
      <c r="T869" s="5" t="n">
        <v>1</v>
      </c>
      <c r="U869" s="5" t="inlineStr">
        <is>
          <t>training</t>
        </is>
      </c>
      <c r="V869" s="5" t="n">
        <v>1</v>
      </c>
    </row>
    <row r="870">
      <c r="A870" s="5" t="n">
        <v>866</v>
      </c>
      <c r="B870" s="5" t="n">
        <v>0</v>
      </c>
      <c r="C870" s="6" t="n">
        <v>-0.4829241608380317</v>
      </c>
      <c r="D870" s="6" t="n">
        <v>-0.3602830566678956</v>
      </c>
      <c r="E870" s="6" t="n">
        <v>-1.351560741647039</v>
      </c>
      <c r="F870" s="6" t="n">
        <v>-0.8850484360866833</v>
      </c>
      <c r="G870" s="5" t="n">
        <v>0</v>
      </c>
      <c r="H870" s="5" t="n">
        <v>0</v>
      </c>
      <c r="I870" s="5" t="n">
        <v>0</v>
      </c>
      <c r="J870" s="5" t="n">
        <v>0</v>
      </c>
      <c r="K870" s="5" t="n">
        <v>0</v>
      </c>
      <c r="L870" s="5" t="n">
        <v>0</v>
      </c>
      <c r="M870" s="5" t="n">
        <v>1</v>
      </c>
      <c r="N870" s="5" t="n">
        <v>0</v>
      </c>
      <c r="O870" s="5" t="n">
        <v>0</v>
      </c>
      <c r="P870" s="5" t="n">
        <v>1</v>
      </c>
      <c r="Q870" s="5" t="n">
        <v>0</v>
      </c>
      <c r="R870" s="5" t="n">
        <v>0</v>
      </c>
      <c r="S870" s="5" t="n">
        <v>0</v>
      </c>
      <c r="T870" s="5" t="n">
        <v>1</v>
      </c>
      <c r="U870" s="5" t="inlineStr">
        <is>
          <t>training</t>
        </is>
      </c>
      <c r="V870" s="5" t="n">
        <v>1</v>
      </c>
    </row>
    <row r="871">
      <c r="A871" s="5" t="n">
        <v>867</v>
      </c>
      <c r="B871" s="5" t="n">
        <v>0</v>
      </c>
      <c r="C871" s="6" t="n">
        <v>-0.2301473069597001</v>
      </c>
      <c r="D871" s="6" t="n">
        <v>-0.3015010760492877</v>
      </c>
      <c r="E871" s="6" t="n">
        <v>-0.7427495967609852</v>
      </c>
      <c r="F871" s="6" t="n">
        <v>0.9185437189662378</v>
      </c>
      <c r="G871" s="5" t="n">
        <v>1</v>
      </c>
      <c r="H871" s="5" t="n">
        <v>0</v>
      </c>
      <c r="I871" s="5" t="n">
        <v>0</v>
      </c>
      <c r="J871" s="5" t="n">
        <v>0</v>
      </c>
      <c r="K871" s="5" t="n">
        <v>0</v>
      </c>
      <c r="L871" s="5" t="n">
        <v>0</v>
      </c>
      <c r="M871" s="5" t="n">
        <v>0</v>
      </c>
      <c r="N871" s="5" t="n">
        <v>0</v>
      </c>
      <c r="O871" s="5" t="n">
        <v>0</v>
      </c>
      <c r="P871" s="5" t="n">
        <v>0</v>
      </c>
      <c r="Q871" s="5" t="n">
        <v>0</v>
      </c>
      <c r="R871" s="5" t="n">
        <v>0</v>
      </c>
      <c r="S871" s="5" t="n">
        <v>1</v>
      </c>
      <c r="T871" s="5" t="n">
        <v>0</v>
      </c>
      <c r="U871" s="5" t="inlineStr">
        <is>
          <t>training</t>
        </is>
      </c>
      <c r="V871" s="5" t="n">
        <v>0</v>
      </c>
    </row>
    <row r="872">
      <c r="A872" s="5" t="n">
        <v>868</v>
      </c>
      <c r="B872" s="5" t="n">
        <v>0</v>
      </c>
      <c r="C872" s="6" t="n">
        <v>-0.7357010147163632</v>
      </c>
      <c r="D872" s="6" t="n">
        <v>0.02809788670504944</v>
      </c>
      <c r="E872" s="6" t="n">
        <v>0.5618457137091294</v>
      </c>
      <c r="F872" s="6" t="n">
        <v>-0.8850484360866833</v>
      </c>
      <c r="G872" s="5" t="n">
        <v>0</v>
      </c>
      <c r="H872" s="5" t="n">
        <v>0</v>
      </c>
      <c r="I872" s="5" t="n">
        <v>0</v>
      </c>
      <c r="J872" s="5" t="n">
        <v>1</v>
      </c>
      <c r="K872" s="5" t="n">
        <v>0</v>
      </c>
      <c r="L872" s="5" t="n">
        <v>0</v>
      </c>
      <c r="M872" s="5" t="n">
        <v>0</v>
      </c>
      <c r="N872" s="5" t="n">
        <v>0</v>
      </c>
      <c r="O872" s="5" t="n">
        <v>0</v>
      </c>
      <c r="P872" s="5" t="n">
        <v>0</v>
      </c>
      <c r="Q872" s="5" t="n">
        <v>0</v>
      </c>
      <c r="R872" s="5" t="n">
        <v>0</v>
      </c>
      <c r="S872" s="5" t="n">
        <v>0</v>
      </c>
      <c r="T872" s="5" t="n">
        <v>1</v>
      </c>
      <c r="U872" s="5" t="inlineStr">
        <is>
          <t>training</t>
        </is>
      </c>
      <c r="V872" s="5" t="n">
        <v>1</v>
      </c>
    </row>
    <row r="873">
      <c r="A873" s="5" t="n">
        <v>869</v>
      </c>
      <c r="B873" s="5" t="n">
        <v>0</v>
      </c>
      <c r="C873" s="6" t="n">
        <v>1.286513816310289</v>
      </c>
      <c r="D873" s="6" t="n">
        <v>1.454960487673401</v>
      </c>
      <c r="E873" s="6" t="n">
        <v>0.1269806102190912</v>
      </c>
      <c r="F873" s="6" t="n">
        <v>0.01674764143977723</v>
      </c>
      <c r="G873" s="5" t="n">
        <v>0</v>
      </c>
      <c r="H873" s="5" t="n">
        <v>0</v>
      </c>
      <c r="I873" s="5" t="n">
        <v>0</v>
      </c>
      <c r="J873" s="5" t="n">
        <v>0</v>
      </c>
      <c r="K873" s="5" t="n">
        <v>0</v>
      </c>
      <c r="L873" s="5" t="n">
        <v>0</v>
      </c>
      <c r="M873" s="5" t="n">
        <v>0</v>
      </c>
      <c r="N873" s="5" t="n">
        <v>0</v>
      </c>
      <c r="O873" s="5" t="n">
        <v>1</v>
      </c>
      <c r="P873" s="5" t="n">
        <v>0</v>
      </c>
      <c r="Q873" s="5" t="n">
        <v>0</v>
      </c>
      <c r="R873" s="5" t="n">
        <v>0</v>
      </c>
      <c r="S873" s="5" t="n">
        <v>0</v>
      </c>
      <c r="T873" s="5" t="n">
        <v>0</v>
      </c>
      <c r="U873" s="5" t="inlineStr">
        <is>
          <t>testing</t>
        </is>
      </c>
      <c r="V873" s="5" t="n">
        <v>0</v>
      </c>
    </row>
    <row r="874">
      <c r="A874" s="5" t="n">
        <v>870</v>
      </c>
      <c r="B874" s="5" t="n">
        <v>0</v>
      </c>
      <c r="C874" s="6" t="n">
        <v>-0.7357010147163632</v>
      </c>
      <c r="D874" s="6" t="n">
        <v>-0.90926476851668</v>
      </c>
      <c r="E874" s="6" t="n">
        <v>-1.003668658855008</v>
      </c>
      <c r="F874" s="6" t="n">
        <v>0.9185437189662378</v>
      </c>
      <c r="G874" s="5" t="n">
        <v>1</v>
      </c>
      <c r="H874" s="5" t="n">
        <v>0</v>
      </c>
      <c r="I874" s="5" t="n">
        <v>0</v>
      </c>
      <c r="J874" s="5" t="n">
        <v>0</v>
      </c>
      <c r="K874" s="5" t="n">
        <v>0</v>
      </c>
      <c r="L874" s="5" t="n">
        <v>0</v>
      </c>
      <c r="M874" s="5" t="n">
        <v>0</v>
      </c>
      <c r="N874" s="5" t="n">
        <v>0</v>
      </c>
      <c r="O874" s="5" t="n">
        <v>0</v>
      </c>
      <c r="P874" s="5" t="n">
        <v>1</v>
      </c>
      <c r="Q874" s="5" t="n">
        <v>0</v>
      </c>
      <c r="R874" s="5" t="n">
        <v>0</v>
      </c>
      <c r="S874" s="5" t="n">
        <v>0</v>
      </c>
      <c r="T874" s="5" t="n">
        <v>1</v>
      </c>
      <c r="U874" s="5" t="inlineStr">
        <is>
          <t>training</t>
        </is>
      </c>
      <c r="V874" s="5" t="n">
        <v>0</v>
      </c>
    </row>
    <row r="875">
      <c r="A875" s="5" t="n">
        <v>871</v>
      </c>
      <c r="B875" s="5" t="n">
        <v>0</v>
      </c>
      <c r="C875" s="6" t="n">
        <v>1.286513816310289</v>
      </c>
      <c r="D875" s="6" t="n">
        <v>1.549081635211529</v>
      </c>
      <c r="E875" s="6" t="n">
        <v>0.3878996723131141</v>
      </c>
      <c r="F875" s="6" t="n">
        <v>-0.8850484360866833</v>
      </c>
      <c r="G875" s="5" t="n">
        <v>0</v>
      </c>
      <c r="H875" s="5" t="n">
        <v>0</v>
      </c>
      <c r="I875" s="5" t="n">
        <v>0</v>
      </c>
      <c r="J875" s="5" t="n">
        <v>0</v>
      </c>
      <c r="K875" s="5" t="n">
        <v>1</v>
      </c>
      <c r="L875" s="5" t="n">
        <v>0</v>
      </c>
      <c r="M875" s="5" t="n">
        <v>1</v>
      </c>
      <c r="N875" s="5" t="n">
        <v>0</v>
      </c>
      <c r="O875" s="5" t="n">
        <v>0</v>
      </c>
      <c r="P875" s="5" t="n">
        <v>0</v>
      </c>
      <c r="Q875" s="5" t="n">
        <v>0</v>
      </c>
      <c r="R875" s="5" t="n">
        <v>0</v>
      </c>
      <c r="S875" s="5" t="n">
        <v>0</v>
      </c>
      <c r="T875" s="5" t="n">
        <v>1</v>
      </c>
      <c r="U875" s="5" t="inlineStr">
        <is>
          <t>training</t>
        </is>
      </c>
      <c r="V875" s="5" t="n">
        <v>0</v>
      </c>
    </row>
    <row r="876">
      <c r="A876" s="5" t="n">
        <v>872</v>
      </c>
      <c r="B876" s="5" t="n">
        <v>0</v>
      </c>
      <c r="C876" s="6" t="n">
        <v>-1.241254722473026</v>
      </c>
      <c r="D876" s="6" t="n">
        <v>-0.6674888839484773</v>
      </c>
      <c r="E876" s="6" t="n">
        <v>0.9097377965011599</v>
      </c>
      <c r="F876" s="6" t="n">
        <v>-1.786844513613144</v>
      </c>
      <c r="G876" s="5" t="n">
        <v>0</v>
      </c>
      <c r="H876" s="5" t="n">
        <v>0</v>
      </c>
      <c r="I876" s="5" t="n">
        <v>1</v>
      </c>
      <c r="J876" s="5" t="n">
        <v>1</v>
      </c>
      <c r="K876" s="5" t="n">
        <v>0</v>
      </c>
      <c r="L876" s="5" t="n">
        <v>0</v>
      </c>
      <c r="M876" s="5" t="n">
        <v>0</v>
      </c>
      <c r="N876" s="5" t="n">
        <v>0</v>
      </c>
      <c r="O876" s="5" t="n">
        <v>0</v>
      </c>
      <c r="P876" s="5" t="n">
        <v>0</v>
      </c>
      <c r="Q876" s="5" t="n">
        <v>0</v>
      </c>
      <c r="R876" s="5" t="n">
        <v>1</v>
      </c>
      <c r="S876" s="5" t="n">
        <v>0</v>
      </c>
      <c r="T876" s="5" t="n">
        <v>0</v>
      </c>
      <c r="U876" s="5" t="inlineStr">
        <is>
          <t>training</t>
        </is>
      </c>
      <c r="V876" s="5" t="n">
        <v>0</v>
      </c>
    </row>
    <row r="877">
      <c r="A877" s="5" t="n">
        <v>873</v>
      </c>
      <c r="B877" s="5" t="n">
        <v>0</v>
      </c>
      <c r="C877" s="6" t="n">
        <v>0.275406400796963</v>
      </c>
      <c r="D877" s="6" t="n">
        <v>-0.6538430670191576</v>
      </c>
      <c r="E877" s="6" t="n">
        <v>-0.8297226174589928</v>
      </c>
      <c r="F877" s="6" t="n">
        <v>0.9185437189662378</v>
      </c>
      <c r="G877" s="5" t="n">
        <v>1</v>
      </c>
      <c r="H877" s="5" t="n">
        <v>0</v>
      </c>
      <c r="I877" s="5" t="n">
        <v>0</v>
      </c>
      <c r="J877" s="5" t="n">
        <v>1</v>
      </c>
      <c r="K877" s="5" t="n">
        <v>0</v>
      </c>
      <c r="L877" s="5" t="n">
        <v>0</v>
      </c>
      <c r="M877" s="5" t="n">
        <v>1</v>
      </c>
      <c r="N877" s="5" t="n">
        <v>0</v>
      </c>
      <c r="O877" s="5" t="n">
        <v>0</v>
      </c>
      <c r="P877" s="5" t="n">
        <v>0</v>
      </c>
      <c r="Q877" s="5" t="n">
        <v>0</v>
      </c>
      <c r="R877" s="5" t="n">
        <v>0</v>
      </c>
      <c r="S877" s="5" t="n">
        <v>0</v>
      </c>
      <c r="T877" s="5" t="n">
        <v>0</v>
      </c>
      <c r="U877" s="5" t="inlineStr">
        <is>
          <t>training</t>
        </is>
      </c>
      <c r="V877" s="5" t="n">
        <v>1</v>
      </c>
    </row>
    <row r="878">
      <c r="A878" s="5" t="n">
        <v>874</v>
      </c>
      <c r="B878" s="5" t="n">
        <v>0</v>
      </c>
      <c r="C878" s="6" t="n">
        <v>-0.4829241608380317</v>
      </c>
      <c r="D878" s="6" t="n">
        <v>-0.831588579842091</v>
      </c>
      <c r="E878" s="6" t="n">
        <v>-1.003668658855008</v>
      </c>
      <c r="F878" s="6" t="n">
        <v>0.9185437189662378</v>
      </c>
      <c r="G878" s="5" t="n">
        <v>0</v>
      </c>
      <c r="H878" s="5" t="n">
        <v>0</v>
      </c>
      <c r="I878" s="5" t="n">
        <v>0</v>
      </c>
      <c r="J878" s="5" t="n">
        <v>0</v>
      </c>
      <c r="K878" s="5" t="n">
        <v>0</v>
      </c>
      <c r="L878" s="5" t="n">
        <v>0</v>
      </c>
      <c r="M878" s="5" t="n">
        <v>0</v>
      </c>
      <c r="N878" s="5" t="n">
        <v>0</v>
      </c>
      <c r="O878" s="5" t="n">
        <v>1</v>
      </c>
      <c r="P878" s="5" t="n">
        <v>0</v>
      </c>
      <c r="Q878" s="5" t="n">
        <v>0</v>
      </c>
      <c r="R878" s="5" t="n">
        <v>0</v>
      </c>
      <c r="S878" s="5" t="n">
        <v>0</v>
      </c>
      <c r="T878" s="5" t="n">
        <v>0</v>
      </c>
      <c r="U878" s="5" t="inlineStr">
        <is>
          <t>training</t>
        </is>
      </c>
      <c r="V878" s="5" t="n">
        <v>0</v>
      </c>
    </row>
    <row r="879">
      <c r="A879" s="5" t="n">
        <v>875</v>
      </c>
      <c r="B879" s="5" t="n">
        <v>0</v>
      </c>
      <c r="C879" s="6" t="n">
        <v>-0.7357010147163632</v>
      </c>
      <c r="D879" s="6" t="n">
        <v>0.1187201068254033</v>
      </c>
      <c r="E879" s="6" t="n">
        <v>-0.5688035553649698</v>
      </c>
      <c r="F879" s="6" t="n">
        <v>-0.8850484360866833</v>
      </c>
      <c r="G879" s="5" t="n">
        <v>1</v>
      </c>
      <c r="H879" s="5" t="n">
        <v>0</v>
      </c>
      <c r="I879" s="5" t="n">
        <v>0</v>
      </c>
      <c r="J879" s="5" t="n">
        <v>0</v>
      </c>
      <c r="K879" s="5" t="n">
        <v>0</v>
      </c>
      <c r="L879" s="5" t="n">
        <v>0</v>
      </c>
      <c r="M879" s="5" t="n">
        <v>0</v>
      </c>
      <c r="N879" s="5" t="n">
        <v>0</v>
      </c>
      <c r="O879" s="5" t="n">
        <v>0</v>
      </c>
      <c r="P879" s="5" t="n">
        <v>0</v>
      </c>
      <c r="Q879" s="5" t="n">
        <v>0</v>
      </c>
      <c r="R879" s="5" t="n">
        <v>0</v>
      </c>
      <c r="S879" s="5" t="n">
        <v>0</v>
      </c>
      <c r="T879" s="5" t="n">
        <v>1</v>
      </c>
      <c r="U879" s="5" t="inlineStr">
        <is>
          <t>testing</t>
        </is>
      </c>
      <c r="V879" s="5" t="n">
        <v>0</v>
      </c>
    </row>
    <row r="880">
      <c r="A880" s="5" t="n">
        <v>876</v>
      </c>
      <c r="B880" s="5" t="n">
        <v>0</v>
      </c>
      <c r="C880" s="6" t="n">
        <v>-0.8199599660091405</v>
      </c>
      <c r="D880" s="6" t="n">
        <v>-0.6748366315258033</v>
      </c>
      <c r="E880" s="6" t="n">
        <v>0.3878996723131141</v>
      </c>
      <c r="F880" s="6" t="n">
        <v>0.9185437189662378</v>
      </c>
      <c r="G880" s="5" t="n">
        <v>0</v>
      </c>
      <c r="H880" s="5" t="n">
        <v>1</v>
      </c>
      <c r="I880" s="5" t="n">
        <v>0</v>
      </c>
      <c r="J880" s="5" t="n">
        <v>1</v>
      </c>
      <c r="K880" s="5" t="n">
        <v>0</v>
      </c>
      <c r="L880" s="5" t="n">
        <v>0</v>
      </c>
      <c r="M880" s="5" t="n">
        <v>0</v>
      </c>
      <c r="N880" s="5" t="n">
        <v>1</v>
      </c>
      <c r="O880" s="5" t="n">
        <v>0</v>
      </c>
      <c r="P880" s="5" t="n">
        <v>0</v>
      </c>
      <c r="Q880" s="5" t="n">
        <v>0</v>
      </c>
      <c r="R880" s="5" t="n">
        <v>1</v>
      </c>
      <c r="S880" s="5" t="n">
        <v>0</v>
      </c>
      <c r="T880" s="5" t="n">
        <v>0</v>
      </c>
      <c r="U880" s="5" t="inlineStr">
        <is>
          <t>training</t>
        </is>
      </c>
      <c r="V880" s="5" t="n">
        <v>1</v>
      </c>
    </row>
    <row r="881">
      <c r="A881" s="5" t="n">
        <v>877</v>
      </c>
      <c r="B881" s="5" t="n">
        <v>0</v>
      </c>
      <c r="C881" s="6" t="n">
        <v>-0.2301473069597001</v>
      </c>
      <c r="D881" s="6" t="n">
        <v>-0.4586029171073528</v>
      </c>
      <c r="E881" s="6" t="n">
        <v>0.04000758952108359</v>
      </c>
      <c r="F881" s="6" t="n">
        <v>0.01674764143977723</v>
      </c>
      <c r="G881" s="5" t="n">
        <v>1</v>
      </c>
      <c r="H881" s="5" t="n">
        <v>0</v>
      </c>
      <c r="I881" s="5" t="n">
        <v>0</v>
      </c>
      <c r="J881" s="5" t="n">
        <v>0</v>
      </c>
      <c r="K881" s="5" t="n">
        <v>0</v>
      </c>
      <c r="L881" s="5" t="n">
        <v>1</v>
      </c>
      <c r="M881" s="5" t="n">
        <v>0</v>
      </c>
      <c r="N881" s="5" t="n">
        <v>0</v>
      </c>
      <c r="O881" s="5" t="n">
        <v>0</v>
      </c>
      <c r="P881" s="5" t="n">
        <v>0</v>
      </c>
      <c r="Q881" s="5" t="n">
        <v>1</v>
      </c>
      <c r="R881" s="5" t="n">
        <v>0</v>
      </c>
      <c r="S881" s="5" t="n">
        <v>1</v>
      </c>
      <c r="T881" s="5" t="n">
        <v>0</v>
      </c>
      <c r="U881" s="5" t="inlineStr">
        <is>
          <t>training</t>
        </is>
      </c>
      <c r="V881" s="5" t="n">
        <v>0</v>
      </c>
    </row>
    <row r="882">
      <c r="A882" s="5" t="n">
        <v>878</v>
      </c>
      <c r="B882" s="5" t="n">
        <v>0</v>
      </c>
      <c r="C882" s="6" t="n">
        <v>1.286513816310289</v>
      </c>
      <c r="D882" s="6" t="n">
        <v>0.1204695705342904</v>
      </c>
      <c r="E882" s="6" t="n">
        <v>-0.6557765760629775</v>
      </c>
      <c r="F882" s="6" t="n">
        <v>0.9185437189662378</v>
      </c>
      <c r="G882" s="5" t="n">
        <v>0</v>
      </c>
      <c r="H882" s="5" t="n">
        <v>0</v>
      </c>
      <c r="I882" s="5" t="n">
        <v>0</v>
      </c>
      <c r="J882" s="5" t="n">
        <v>0</v>
      </c>
      <c r="K882" s="5" t="n">
        <v>0</v>
      </c>
      <c r="L882" s="5" t="n">
        <v>0</v>
      </c>
      <c r="M882" s="5" t="n">
        <v>0</v>
      </c>
      <c r="N882" s="5" t="n">
        <v>0</v>
      </c>
      <c r="O882" s="5" t="n">
        <v>0</v>
      </c>
      <c r="P882" s="5" t="n">
        <v>0</v>
      </c>
      <c r="Q882" s="5" t="n">
        <v>0</v>
      </c>
      <c r="R882" s="5" t="n">
        <v>0</v>
      </c>
      <c r="S882" s="5" t="n">
        <v>1</v>
      </c>
      <c r="T882" s="5" t="n">
        <v>0</v>
      </c>
      <c r="U882" s="5" t="inlineStr">
        <is>
          <t>training</t>
        </is>
      </c>
      <c r="V882" s="5" t="n">
        <v>1</v>
      </c>
    </row>
    <row r="883">
      <c r="A883" s="5" t="n">
        <v>879</v>
      </c>
      <c r="B883" s="5" t="n">
        <v>1</v>
      </c>
      <c r="C883" s="6" t="n">
        <v>-0.9884778685946948</v>
      </c>
      <c r="D883" s="6" t="n">
        <v>-0.6398473573480605</v>
      </c>
      <c r="E883" s="6" t="n">
        <v>-0.7427495967609852</v>
      </c>
      <c r="F883" s="6" t="n">
        <v>0.01674764143977723</v>
      </c>
      <c r="G883" s="5" t="n">
        <v>1</v>
      </c>
      <c r="H883" s="5" t="n">
        <v>0</v>
      </c>
      <c r="I883" s="5" t="n">
        <v>0</v>
      </c>
      <c r="J883" s="5" t="n">
        <v>0</v>
      </c>
      <c r="K883" s="5" t="n">
        <v>0</v>
      </c>
      <c r="L883" s="5" t="n">
        <v>0</v>
      </c>
      <c r="M883" s="5" t="n">
        <v>0</v>
      </c>
      <c r="N883" s="5" t="n">
        <v>0</v>
      </c>
      <c r="O883" s="5" t="n">
        <v>0</v>
      </c>
      <c r="P883" s="5" t="n">
        <v>0</v>
      </c>
      <c r="Q883" s="5" t="n">
        <v>1</v>
      </c>
      <c r="R883" s="5" t="n">
        <v>1</v>
      </c>
      <c r="S883" s="5" t="n">
        <v>0</v>
      </c>
      <c r="T883" s="5" t="n">
        <v>0</v>
      </c>
      <c r="U883" s="5" t="inlineStr">
        <is>
          <t>training</t>
        </is>
      </c>
      <c r="V883" s="5" t="n">
        <v>1</v>
      </c>
    </row>
    <row r="884">
      <c r="A884" s="5" t="n">
        <v>880</v>
      </c>
      <c r="B884" s="5" t="n">
        <v>0</v>
      </c>
      <c r="C884" s="6" t="n">
        <v>0.7809601085536261</v>
      </c>
      <c r="D884" s="6" t="n">
        <v>1.221582028907856</v>
      </c>
      <c r="E884" s="6" t="n">
        <v>0.04000758952108359</v>
      </c>
      <c r="F884" s="6" t="n">
        <v>-0.8850484360866833</v>
      </c>
      <c r="G884" s="5" t="n">
        <v>0</v>
      </c>
      <c r="H884" s="5" t="n">
        <v>0</v>
      </c>
      <c r="I884" s="5" t="n">
        <v>0</v>
      </c>
      <c r="J884" s="5" t="n">
        <v>1</v>
      </c>
      <c r="K884" s="5" t="n">
        <v>0</v>
      </c>
      <c r="L884" s="5" t="n">
        <v>0</v>
      </c>
      <c r="M884" s="5" t="n">
        <v>0</v>
      </c>
      <c r="N884" s="5" t="n">
        <v>0</v>
      </c>
      <c r="O884" s="5" t="n">
        <v>1</v>
      </c>
      <c r="P884" s="5" t="n">
        <v>0</v>
      </c>
      <c r="Q884" s="5" t="n">
        <v>0</v>
      </c>
      <c r="R884" s="5" t="n">
        <v>0</v>
      </c>
      <c r="S884" s="5" t="n">
        <v>1</v>
      </c>
      <c r="T884" s="5" t="n">
        <v>0</v>
      </c>
      <c r="U884" s="5" t="inlineStr">
        <is>
          <t>training</t>
        </is>
      </c>
      <c r="V884" s="5" t="n">
        <v>0</v>
      </c>
    </row>
    <row r="885">
      <c r="A885" s="5" t="n">
        <v>881</v>
      </c>
      <c r="B885" s="5" t="n">
        <v>0</v>
      </c>
      <c r="C885" s="6" t="n">
        <v>0.275406400796963</v>
      </c>
      <c r="D885" s="6" t="n">
        <v>1.596667048093259</v>
      </c>
      <c r="E885" s="6" t="n">
        <v>0.2139536309170988</v>
      </c>
      <c r="F885" s="6" t="n">
        <v>0.01674764143977723</v>
      </c>
      <c r="G885" s="5" t="n">
        <v>0</v>
      </c>
      <c r="H885" s="5" t="n">
        <v>0</v>
      </c>
      <c r="I885" s="5" t="n">
        <v>0</v>
      </c>
      <c r="J885" s="5" t="n">
        <v>0</v>
      </c>
      <c r="K885" s="5" t="n">
        <v>0</v>
      </c>
      <c r="L885" s="5" t="n">
        <v>0</v>
      </c>
      <c r="M885" s="5" t="n">
        <v>0</v>
      </c>
      <c r="N885" s="5" t="n">
        <v>0</v>
      </c>
      <c r="O885" s="5" t="n">
        <v>0</v>
      </c>
      <c r="P885" s="5" t="n">
        <v>0</v>
      </c>
      <c r="Q885" s="5" t="n">
        <v>0</v>
      </c>
      <c r="R885" s="5" t="n">
        <v>1</v>
      </c>
      <c r="S885" s="5" t="n">
        <v>0</v>
      </c>
      <c r="T885" s="5" t="n">
        <v>0</v>
      </c>
      <c r="U885" s="5" t="inlineStr">
        <is>
          <t>training</t>
        </is>
      </c>
      <c r="V885" s="5" t="n">
        <v>0</v>
      </c>
    </row>
    <row r="886">
      <c r="A886" s="5" t="n">
        <v>882</v>
      </c>
      <c r="B886" s="5" t="n">
        <v>0</v>
      </c>
      <c r="C886" s="6" t="n">
        <v>0.275406400796963</v>
      </c>
      <c r="D886" s="6" t="n">
        <v>2.108560129313636</v>
      </c>
      <c r="E886" s="6" t="n">
        <v>1.083683837897175</v>
      </c>
      <c r="F886" s="6" t="n">
        <v>-0.8850484360866833</v>
      </c>
      <c r="G886" s="5" t="n">
        <v>0</v>
      </c>
      <c r="H886" s="5" t="n">
        <v>0</v>
      </c>
      <c r="I886" s="5" t="n">
        <v>0</v>
      </c>
      <c r="J886" s="5" t="n">
        <v>0</v>
      </c>
      <c r="K886" s="5" t="n">
        <v>0</v>
      </c>
      <c r="L886" s="5" t="n">
        <v>0</v>
      </c>
      <c r="M886" s="5" t="n">
        <v>0</v>
      </c>
      <c r="N886" s="5" t="n">
        <v>0</v>
      </c>
      <c r="O886" s="5" t="n">
        <v>1</v>
      </c>
      <c r="P886" s="5" t="n">
        <v>0</v>
      </c>
      <c r="Q886" s="5" t="n">
        <v>1</v>
      </c>
      <c r="R886" s="5" t="n">
        <v>1</v>
      </c>
      <c r="S886" s="5" t="n">
        <v>0</v>
      </c>
      <c r="T886" s="5" t="n">
        <v>0</v>
      </c>
      <c r="U886" s="5" t="inlineStr">
        <is>
          <t>training</t>
        </is>
      </c>
      <c r="V886" s="5" t="n">
        <v>1</v>
      </c>
    </row>
    <row r="887">
      <c r="A887" s="5" t="n">
        <v>883</v>
      </c>
      <c r="B887" s="5" t="n">
        <v>0</v>
      </c>
      <c r="C887" s="6" t="n">
        <v>0.7809601085536261</v>
      </c>
      <c r="D887" s="6" t="n">
        <v>-0.3742787663389927</v>
      </c>
      <c r="E887" s="6" t="n">
        <v>0.04000758952108359</v>
      </c>
      <c r="F887" s="6" t="n">
        <v>0.9185437189662378</v>
      </c>
      <c r="G887" s="5" t="n">
        <v>0</v>
      </c>
      <c r="H887" s="5" t="n">
        <v>1</v>
      </c>
      <c r="I887" s="5" t="n">
        <v>0</v>
      </c>
      <c r="J887" s="5" t="n">
        <v>1</v>
      </c>
      <c r="K887" s="5" t="n">
        <v>0</v>
      </c>
      <c r="L887" s="5" t="n">
        <v>0</v>
      </c>
      <c r="M887" s="5" t="n">
        <v>0</v>
      </c>
      <c r="N887" s="5" t="n">
        <v>0</v>
      </c>
      <c r="O887" s="5" t="n">
        <v>1</v>
      </c>
      <c r="P887" s="5" t="n">
        <v>0</v>
      </c>
      <c r="Q887" s="5" t="n">
        <v>0</v>
      </c>
      <c r="R887" s="5" t="n">
        <v>1</v>
      </c>
      <c r="S887" s="5" t="n">
        <v>0</v>
      </c>
      <c r="T887" s="5" t="n">
        <v>0</v>
      </c>
      <c r="U887" s="5" t="inlineStr">
        <is>
          <t>testing</t>
        </is>
      </c>
      <c r="V887" s="5" t="n">
        <v>0</v>
      </c>
    </row>
    <row r="888">
      <c r="A888" s="5" t="n">
        <v>884</v>
      </c>
      <c r="B888" s="5" t="n">
        <v>0</v>
      </c>
      <c r="C888" s="6" t="n">
        <v>-0.2301473069597001</v>
      </c>
      <c r="D888" s="6" t="n">
        <v>-0.7532126056839472</v>
      </c>
      <c r="E888" s="6" t="n">
        <v>2.562225189763305</v>
      </c>
      <c r="F888" s="6" t="n">
        <v>0.9185437189662378</v>
      </c>
      <c r="G888" s="5" t="n">
        <v>0</v>
      </c>
      <c r="H888" s="5" t="n">
        <v>0</v>
      </c>
      <c r="I888" s="5" t="n">
        <v>0</v>
      </c>
      <c r="J888" s="5" t="n">
        <v>1</v>
      </c>
      <c r="K888" s="5" t="n">
        <v>0</v>
      </c>
      <c r="L888" s="5" t="n">
        <v>0</v>
      </c>
      <c r="M888" s="5" t="n">
        <v>0</v>
      </c>
      <c r="N888" s="5" t="n">
        <v>0</v>
      </c>
      <c r="O888" s="5" t="n">
        <v>0</v>
      </c>
      <c r="P888" s="5" t="n">
        <v>0</v>
      </c>
      <c r="Q888" s="5" t="n">
        <v>0</v>
      </c>
      <c r="R888" s="5" t="n">
        <v>0</v>
      </c>
      <c r="S888" s="5" t="n">
        <v>1</v>
      </c>
      <c r="T888" s="5" t="n">
        <v>0</v>
      </c>
      <c r="U888" s="5" t="inlineStr">
        <is>
          <t>testing</t>
        </is>
      </c>
      <c r="V888" s="5" t="n">
        <v>0</v>
      </c>
    </row>
    <row r="889">
      <c r="A889" s="5" t="n">
        <v>885</v>
      </c>
      <c r="B889" s="5" t="n">
        <v>1</v>
      </c>
      <c r="C889" s="6" t="n">
        <v>0.275406400796963</v>
      </c>
      <c r="D889" s="6" t="n">
        <v>0.2821200172354622</v>
      </c>
      <c r="E889" s="6" t="n">
        <v>0.648818734407137</v>
      </c>
      <c r="F889" s="6" t="n">
        <v>0.01674764143977723</v>
      </c>
      <c r="G889" s="5" t="n">
        <v>0</v>
      </c>
      <c r="H889" s="5" t="n">
        <v>1</v>
      </c>
      <c r="I889" s="5" t="n">
        <v>0</v>
      </c>
      <c r="J889" s="5" t="n">
        <v>0</v>
      </c>
      <c r="K889" s="5" t="n">
        <v>0</v>
      </c>
      <c r="L889" s="5" t="n">
        <v>0</v>
      </c>
      <c r="M889" s="5" t="n">
        <v>0</v>
      </c>
      <c r="N889" s="5" t="n">
        <v>0</v>
      </c>
      <c r="O889" s="5" t="n">
        <v>0</v>
      </c>
      <c r="P889" s="5" t="n">
        <v>0</v>
      </c>
      <c r="Q889" s="5" t="n">
        <v>0</v>
      </c>
      <c r="R889" s="5" t="n">
        <v>0</v>
      </c>
      <c r="S889" s="5" t="n">
        <v>0</v>
      </c>
      <c r="T889" s="5" t="n">
        <v>1</v>
      </c>
      <c r="U889" s="5" t="inlineStr">
        <is>
          <t>training</t>
        </is>
      </c>
      <c r="V889" s="5" t="n">
        <v>1</v>
      </c>
    </row>
    <row r="890">
      <c r="A890" s="5" t="n">
        <v>886</v>
      </c>
      <c r="B890" s="5" t="n">
        <v>1</v>
      </c>
      <c r="C890" s="6" t="n">
        <v>-0.7357010147163632</v>
      </c>
      <c r="D890" s="6" t="n">
        <v>-0.8592301064425079</v>
      </c>
      <c r="E890" s="6" t="n">
        <v>1.518548941387213</v>
      </c>
      <c r="F890" s="6" t="n">
        <v>0.9185437189662378</v>
      </c>
      <c r="G890" s="5" t="n">
        <v>1</v>
      </c>
      <c r="H890" s="5" t="n">
        <v>0</v>
      </c>
      <c r="I890" s="5" t="n">
        <v>0</v>
      </c>
      <c r="J890" s="5" t="n">
        <v>0</v>
      </c>
      <c r="K890" s="5" t="n">
        <v>0</v>
      </c>
      <c r="L890" s="5" t="n">
        <v>0</v>
      </c>
      <c r="M890" s="5" t="n">
        <v>0</v>
      </c>
      <c r="N890" s="5" t="n">
        <v>0</v>
      </c>
      <c r="O890" s="5" t="n">
        <v>0</v>
      </c>
      <c r="P890" s="5" t="n">
        <v>0</v>
      </c>
      <c r="Q890" s="5" t="n">
        <v>0</v>
      </c>
      <c r="R890" s="5" t="n">
        <v>0</v>
      </c>
      <c r="S890" s="5" t="n">
        <v>0</v>
      </c>
      <c r="T890" s="5" t="n">
        <v>0</v>
      </c>
      <c r="U890" s="5" t="inlineStr">
        <is>
          <t>testing</t>
        </is>
      </c>
      <c r="V890" s="5" t="n">
        <v>0</v>
      </c>
    </row>
    <row r="891">
      <c r="A891" s="5" t="n">
        <v>887</v>
      </c>
      <c r="B891" s="5" t="n">
        <v>0</v>
      </c>
      <c r="C891" s="6" t="n">
        <v>0.275406400796963</v>
      </c>
      <c r="D891" s="6" t="n">
        <v>-0.1489478406343291</v>
      </c>
      <c r="E891" s="6" t="n">
        <v>-0.1339384518749317</v>
      </c>
      <c r="F891" s="6" t="n">
        <v>0.9185437189662378</v>
      </c>
      <c r="G891" s="5" t="n">
        <v>0</v>
      </c>
      <c r="H891" s="5" t="n">
        <v>1</v>
      </c>
      <c r="I891" s="5" t="n">
        <v>0</v>
      </c>
      <c r="J891" s="5" t="n">
        <v>1</v>
      </c>
      <c r="K891" s="5" t="n">
        <v>0</v>
      </c>
      <c r="L891" s="5" t="n">
        <v>0</v>
      </c>
      <c r="M891" s="5" t="n">
        <v>0</v>
      </c>
      <c r="N891" s="5" t="n">
        <v>0</v>
      </c>
      <c r="O891" s="5" t="n">
        <v>1</v>
      </c>
      <c r="P891" s="5" t="n">
        <v>0</v>
      </c>
      <c r="Q891" s="5" t="n">
        <v>0</v>
      </c>
      <c r="R891" s="5" t="n">
        <v>0</v>
      </c>
      <c r="S891" s="5" t="n">
        <v>0</v>
      </c>
      <c r="T891" s="5" t="n">
        <v>0</v>
      </c>
      <c r="U891" s="5" t="inlineStr">
        <is>
          <t>training</t>
        </is>
      </c>
      <c r="V891" s="5" t="n">
        <v>1</v>
      </c>
    </row>
    <row r="892">
      <c r="A892" s="5" t="n">
        <v>888</v>
      </c>
      <c r="B892" s="5" t="n">
        <v>1</v>
      </c>
      <c r="C892" s="6" t="n">
        <v>2.297621231823615</v>
      </c>
      <c r="D892" s="6" t="n">
        <v>4.346124212980288</v>
      </c>
      <c r="E892" s="6" t="n">
        <v>-1.090641679553016</v>
      </c>
      <c r="F892" s="6" t="n">
        <v>-0.8850484360866833</v>
      </c>
      <c r="G892" s="5" t="n">
        <v>0</v>
      </c>
      <c r="H892" s="5" t="n">
        <v>1</v>
      </c>
      <c r="I892" s="5" t="n">
        <v>0</v>
      </c>
      <c r="J892" s="5" t="n">
        <v>0</v>
      </c>
      <c r="K892" s="5" t="n">
        <v>0</v>
      </c>
      <c r="L892" s="5" t="n">
        <v>0</v>
      </c>
      <c r="M892" s="5" t="n">
        <v>0</v>
      </c>
      <c r="N892" s="5" t="n">
        <v>0</v>
      </c>
      <c r="O892" s="5" t="n">
        <v>0</v>
      </c>
      <c r="P892" s="5" t="n">
        <v>0</v>
      </c>
      <c r="Q892" s="5" t="n">
        <v>0</v>
      </c>
      <c r="R892" s="5" t="n">
        <v>0</v>
      </c>
      <c r="S892" s="5" t="n">
        <v>0</v>
      </c>
      <c r="T892" s="5" t="n">
        <v>0</v>
      </c>
      <c r="U892" s="5" t="inlineStr">
        <is>
          <t>training</t>
        </is>
      </c>
      <c r="V892" s="5" t="n">
        <v>1</v>
      </c>
    </row>
    <row r="893">
      <c r="A893" s="5" t="n">
        <v>889</v>
      </c>
      <c r="B893" s="5" t="n">
        <v>0</v>
      </c>
      <c r="C893" s="6" t="n">
        <v>1.286513816310289</v>
      </c>
      <c r="D893" s="6" t="n">
        <v>1.176795757960345</v>
      </c>
      <c r="E893" s="6" t="n">
        <v>-0.1339384518749317</v>
      </c>
      <c r="F893" s="6" t="n">
        <v>0.9185437189662378</v>
      </c>
      <c r="G893" s="5" t="n">
        <v>0</v>
      </c>
      <c r="H893" s="5" t="n">
        <v>0</v>
      </c>
      <c r="I893" s="5" t="n">
        <v>0</v>
      </c>
      <c r="J893" s="5" t="n">
        <v>1</v>
      </c>
      <c r="K893" s="5" t="n">
        <v>0</v>
      </c>
      <c r="L893" s="5" t="n">
        <v>0</v>
      </c>
      <c r="M893" s="5" t="n">
        <v>0</v>
      </c>
      <c r="N893" s="5" t="n">
        <v>0</v>
      </c>
      <c r="O893" s="5" t="n">
        <v>0</v>
      </c>
      <c r="P893" s="5" t="n">
        <v>0</v>
      </c>
      <c r="Q893" s="5" t="n">
        <v>0</v>
      </c>
      <c r="R893" s="5" t="n">
        <v>1</v>
      </c>
      <c r="S893" s="5" t="n">
        <v>0</v>
      </c>
      <c r="T893" s="5" t="n">
        <v>0</v>
      </c>
      <c r="U893" s="5" t="inlineStr">
        <is>
          <t>training</t>
        </is>
      </c>
      <c r="V893" s="5" t="n">
        <v>1</v>
      </c>
    </row>
    <row r="894">
      <c r="A894" s="5" t="n">
        <v>890</v>
      </c>
      <c r="B894" s="5" t="n">
        <v>0</v>
      </c>
      <c r="C894" s="6" t="n">
        <v>0.6124422059680718</v>
      </c>
      <c r="D894" s="6" t="n">
        <v>1.600165975511033</v>
      </c>
      <c r="E894" s="6" t="n">
        <v>0.3878996723131141</v>
      </c>
      <c r="F894" s="6" t="n">
        <v>0.01674764143977723</v>
      </c>
      <c r="G894" s="5" t="n">
        <v>0</v>
      </c>
      <c r="H894" s="5" t="n">
        <v>0</v>
      </c>
      <c r="I894" s="5" t="n">
        <v>0</v>
      </c>
      <c r="J894" s="5" t="n">
        <v>0</v>
      </c>
      <c r="K894" s="5" t="n">
        <v>0</v>
      </c>
      <c r="L894" s="5" t="n">
        <v>1</v>
      </c>
      <c r="M894" s="5" t="n">
        <v>0</v>
      </c>
      <c r="N894" s="5" t="n">
        <v>0</v>
      </c>
      <c r="O894" s="5" t="n">
        <v>1</v>
      </c>
      <c r="P894" s="5" t="n">
        <v>1</v>
      </c>
      <c r="Q894" s="5" t="n">
        <v>0</v>
      </c>
      <c r="R894" s="5" t="n">
        <v>1</v>
      </c>
      <c r="S894" s="5" t="n">
        <v>0</v>
      </c>
      <c r="T894" s="5" t="n">
        <v>0</v>
      </c>
      <c r="U894" s="5" t="inlineStr">
        <is>
          <t>training</t>
        </is>
      </c>
      <c r="V894" s="5" t="n">
        <v>1</v>
      </c>
    </row>
    <row r="895">
      <c r="A895" s="5" t="n">
        <v>891</v>
      </c>
      <c r="B895" s="5" t="n">
        <v>0</v>
      </c>
      <c r="C895" s="6" t="n">
        <v>0.5281832546752946</v>
      </c>
      <c r="D895" s="6" t="n">
        <v>-0.282956760735084</v>
      </c>
      <c r="E895" s="6" t="n">
        <v>0.648818734407137</v>
      </c>
      <c r="F895" s="6" t="n">
        <v>0.9185437189662378</v>
      </c>
      <c r="G895" s="5" t="n">
        <v>1</v>
      </c>
      <c r="H895" s="5" t="n">
        <v>0</v>
      </c>
      <c r="I895" s="5" t="n">
        <v>0</v>
      </c>
      <c r="J895" s="5" t="n">
        <v>1</v>
      </c>
      <c r="K895" s="5" t="n">
        <v>0</v>
      </c>
      <c r="L895" s="5" t="n">
        <v>0</v>
      </c>
      <c r="M895" s="5" t="n">
        <v>0</v>
      </c>
      <c r="N895" s="5" t="n">
        <v>0</v>
      </c>
      <c r="O895" s="5" t="n">
        <v>0</v>
      </c>
      <c r="P895" s="5" t="n">
        <v>0</v>
      </c>
      <c r="Q895" s="5" t="n">
        <v>0</v>
      </c>
      <c r="R895" s="5" t="n">
        <v>0</v>
      </c>
      <c r="S895" s="5" t="n">
        <v>0</v>
      </c>
      <c r="T895" s="5" t="n">
        <v>0</v>
      </c>
      <c r="U895" s="5" t="inlineStr">
        <is>
          <t>training</t>
        </is>
      </c>
      <c r="V895" s="5" t="n">
        <v>0</v>
      </c>
    </row>
    <row r="896">
      <c r="A896" s="5" t="n">
        <v>892</v>
      </c>
      <c r="B896" s="5" t="n">
        <v>0</v>
      </c>
      <c r="C896" s="6" t="n">
        <v>-0.4829241608380317</v>
      </c>
      <c r="D896" s="6" t="n">
        <v>-0.4974410114446473</v>
      </c>
      <c r="E896" s="6" t="n">
        <v>0.9097377965011599</v>
      </c>
      <c r="F896" s="6" t="n">
        <v>0.9185437189662378</v>
      </c>
      <c r="G896" s="5" t="n">
        <v>0</v>
      </c>
      <c r="H896" s="5" t="n">
        <v>0</v>
      </c>
      <c r="I896" s="5" t="n">
        <v>0</v>
      </c>
      <c r="J896" s="5" t="n">
        <v>1</v>
      </c>
      <c r="K896" s="5" t="n">
        <v>0</v>
      </c>
      <c r="L896" s="5" t="n">
        <v>0</v>
      </c>
      <c r="M896" s="5" t="n">
        <v>0</v>
      </c>
      <c r="N896" s="5" t="n">
        <v>0</v>
      </c>
      <c r="O896" s="5" t="n">
        <v>0</v>
      </c>
      <c r="P896" s="5" t="n">
        <v>0</v>
      </c>
      <c r="Q896" s="5" t="n">
        <v>0</v>
      </c>
      <c r="R896" s="5" t="n">
        <v>0</v>
      </c>
      <c r="S896" s="5" t="n">
        <v>1</v>
      </c>
      <c r="T896" s="5" t="n">
        <v>0</v>
      </c>
      <c r="U896" s="5" t="inlineStr">
        <is>
          <t>training</t>
        </is>
      </c>
      <c r="V896" s="5" t="n">
        <v>0</v>
      </c>
    </row>
    <row r="897">
      <c r="A897" s="5" t="n">
        <v>893</v>
      </c>
      <c r="B897" s="5" t="n">
        <v>0</v>
      </c>
      <c r="C897" s="6" t="n">
        <v>-0.7357010147163632</v>
      </c>
      <c r="D897" s="6" t="n">
        <v>-0.377777693756767</v>
      </c>
      <c r="E897" s="6" t="n">
        <v>0.2139536309170988</v>
      </c>
      <c r="F897" s="6" t="n">
        <v>0.9185437189662378</v>
      </c>
      <c r="G897" s="5" t="n">
        <v>1</v>
      </c>
      <c r="H897" s="5" t="n">
        <v>0</v>
      </c>
      <c r="I897" s="5" t="n">
        <v>0</v>
      </c>
      <c r="J897" s="5" t="n">
        <v>1</v>
      </c>
      <c r="K897" s="5" t="n">
        <v>0</v>
      </c>
      <c r="L897" s="5" t="n">
        <v>0</v>
      </c>
      <c r="M897" s="5" t="n">
        <v>0</v>
      </c>
      <c r="N897" s="5" t="n">
        <v>0</v>
      </c>
      <c r="O897" s="5" t="n">
        <v>0</v>
      </c>
      <c r="P897" s="5" t="n">
        <v>0</v>
      </c>
      <c r="Q897" s="5" t="n">
        <v>0</v>
      </c>
      <c r="R897" s="5" t="n">
        <v>1</v>
      </c>
      <c r="S897" s="5" t="n">
        <v>0</v>
      </c>
      <c r="T897" s="5" t="n">
        <v>0</v>
      </c>
      <c r="U897" s="5" t="inlineStr">
        <is>
          <t>training</t>
        </is>
      </c>
      <c r="V897" s="5" t="n">
        <v>1</v>
      </c>
    </row>
    <row r="898">
      <c r="A898" s="5" t="n">
        <v>894</v>
      </c>
      <c r="B898" s="5" t="n">
        <v>0</v>
      </c>
      <c r="C898" s="6" t="n">
        <v>1.286513816310289</v>
      </c>
      <c r="D898" s="6" t="n">
        <v>0.8919830661535191</v>
      </c>
      <c r="E898" s="6" t="n">
        <v>-0.1339384518749317</v>
      </c>
      <c r="F898" s="6" t="n">
        <v>0.01674764143977723</v>
      </c>
      <c r="G898" s="5" t="n">
        <v>0</v>
      </c>
      <c r="H898" s="5" t="n">
        <v>1</v>
      </c>
      <c r="I898" s="5" t="n">
        <v>0</v>
      </c>
      <c r="J898" s="5" t="n">
        <v>1</v>
      </c>
      <c r="K898" s="5" t="n">
        <v>0</v>
      </c>
      <c r="L898" s="5" t="n">
        <v>0</v>
      </c>
      <c r="M898" s="5" t="n">
        <v>0</v>
      </c>
      <c r="N898" s="5" t="n">
        <v>0</v>
      </c>
      <c r="O898" s="5" t="n">
        <v>0</v>
      </c>
      <c r="P898" s="5" t="n">
        <v>0</v>
      </c>
      <c r="Q898" s="5" t="n">
        <v>0</v>
      </c>
      <c r="R898" s="5" t="n">
        <v>1</v>
      </c>
      <c r="S898" s="5" t="n">
        <v>0</v>
      </c>
      <c r="T898" s="5" t="n">
        <v>0</v>
      </c>
      <c r="U898" s="5" t="inlineStr">
        <is>
          <t>testing</t>
        </is>
      </c>
      <c r="V898" s="5" t="n">
        <v>0</v>
      </c>
    </row>
    <row r="899">
      <c r="A899" s="5" t="n">
        <v>895</v>
      </c>
      <c r="B899" s="5" t="n">
        <v>0</v>
      </c>
      <c r="C899" s="6" t="n">
        <v>-0.2301473069597001</v>
      </c>
      <c r="D899" s="6" t="n">
        <v>-0.7283702210177497</v>
      </c>
      <c r="E899" s="6" t="n">
        <v>-0.5688035553649698</v>
      </c>
      <c r="F899" s="6" t="n">
        <v>0.9185437189662378</v>
      </c>
      <c r="G899" s="5" t="n">
        <v>0</v>
      </c>
      <c r="H899" s="5" t="n">
        <v>0</v>
      </c>
      <c r="I899" s="5" t="n">
        <v>0</v>
      </c>
      <c r="J899" s="5" t="n">
        <v>1</v>
      </c>
      <c r="K899" s="5" t="n">
        <v>0</v>
      </c>
      <c r="L899" s="5" t="n">
        <v>0</v>
      </c>
      <c r="M899" s="5" t="n">
        <v>0</v>
      </c>
      <c r="N899" s="5" t="n">
        <v>0</v>
      </c>
      <c r="O899" s="5" t="n">
        <v>1</v>
      </c>
      <c r="P899" s="5" t="n">
        <v>0</v>
      </c>
      <c r="Q899" s="5" t="n">
        <v>0</v>
      </c>
      <c r="R899" s="5" t="n">
        <v>0</v>
      </c>
      <c r="S899" s="5" t="n">
        <v>1</v>
      </c>
      <c r="T899" s="5" t="n">
        <v>0</v>
      </c>
      <c r="U899" s="5" t="inlineStr">
        <is>
          <t>training</t>
        </is>
      </c>
      <c r="V899" s="5" t="n">
        <v>1</v>
      </c>
    </row>
    <row r="900">
      <c r="A900" s="5" t="n">
        <v>896</v>
      </c>
      <c r="B900" s="5" t="n">
        <v>0</v>
      </c>
      <c r="C900" s="6" t="n">
        <v>1.286513816310289</v>
      </c>
      <c r="D900" s="6" t="n">
        <v>1.993095524527085</v>
      </c>
      <c r="E900" s="6" t="n">
        <v>-0.3948575139689546</v>
      </c>
      <c r="F900" s="6" t="n">
        <v>0.01674764143977723</v>
      </c>
      <c r="G900" s="5" t="n">
        <v>0</v>
      </c>
      <c r="H900" s="5" t="n">
        <v>0</v>
      </c>
      <c r="I900" s="5" t="n">
        <v>0</v>
      </c>
      <c r="J900" s="5" t="n">
        <v>0</v>
      </c>
      <c r="K900" s="5" t="n">
        <v>1</v>
      </c>
      <c r="L900" s="5" t="n">
        <v>0</v>
      </c>
      <c r="M900" s="5" t="n">
        <v>0</v>
      </c>
      <c r="N900" s="5" t="n">
        <v>0</v>
      </c>
      <c r="O900" s="5" t="n">
        <v>1</v>
      </c>
      <c r="P900" s="5" t="n">
        <v>0</v>
      </c>
      <c r="Q900" s="5" t="n">
        <v>0</v>
      </c>
      <c r="R900" s="5" t="n">
        <v>1</v>
      </c>
      <c r="S900" s="5" t="n">
        <v>0</v>
      </c>
      <c r="T900" s="5" t="n">
        <v>0</v>
      </c>
      <c r="U900" s="5" t="inlineStr">
        <is>
          <t>testing</t>
        </is>
      </c>
      <c r="V900" s="5" t="n">
        <v>0</v>
      </c>
    </row>
    <row r="901">
      <c r="A901" s="5" t="n">
        <v>897</v>
      </c>
      <c r="B901" s="5" t="n">
        <v>0</v>
      </c>
      <c r="C901" s="6" t="n">
        <v>0.02262954691863145</v>
      </c>
      <c r="D901" s="6" t="n">
        <v>-0.2255743510835858</v>
      </c>
      <c r="E901" s="6" t="n">
        <v>-0.6557765760629775</v>
      </c>
      <c r="F901" s="6" t="n">
        <v>0.9185437189662378</v>
      </c>
      <c r="G901" s="5" t="n">
        <v>1</v>
      </c>
      <c r="H901" s="5" t="n">
        <v>0</v>
      </c>
      <c r="I901" s="5" t="n">
        <v>0</v>
      </c>
      <c r="J901" s="5" t="n">
        <v>0</v>
      </c>
      <c r="K901" s="5" t="n">
        <v>0</v>
      </c>
      <c r="L901" s="5" t="n">
        <v>0</v>
      </c>
      <c r="M901" s="5" t="n">
        <v>0</v>
      </c>
      <c r="N901" s="5" t="n">
        <v>0</v>
      </c>
      <c r="O901" s="5" t="n">
        <v>0</v>
      </c>
      <c r="P901" s="5" t="n">
        <v>1</v>
      </c>
      <c r="Q901" s="5" t="n">
        <v>0</v>
      </c>
      <c r="R901" s="5" t="n">
        <v>0</v>
      </c>
      <c r="S901" s="5" t="n">
        <v>1</v>
      </c>
      <c r="T901" s="5" t="n">
        <v>0</v>
      </c>
      <c r="U901" s="5" t="inlineStr">
        <is>
          <t>testing</t>
        </is>
      </c>
      <c r="V901" s="5" t="n">
        <v>0</v>
      </c>
    </row>
    <row r="902">
      <c r="A902" s="5" t="n">
        <v>898</v>
      </c>
      <c r="B902" s="5" t="n">
        <v>0</v>
      </c>
      <c r="C902" s="6" t="n">
        <v>-0.7357010147163632</v>
      </c>
      <c r="D902" s="6" t="n">
        <v>-0.5803655912458977</v>
      </c>
      <c r="E902" s="6" t="n">
        <v>-0.04696543117692405</v>
      </c>
      <c r="F902" s="6" t="n">
        <v>0.01674764143977723</v>
      </c>
      <c r="G902" s="5" t="n">
        <v>0</v>
      </c>
      <c r="H902" s="5" t="n">
        <v>0</v>
      </c>
      <c r="I902" s="5" t="n">
        <v>0</v>
      </c>
      <c r="J902" s="5" t="n">
        <v>1</v>
      </c>
      <c r="K902" s="5" t="n">
        <v>0</v>
      </c>
      <c r="L902" s="5" t="n">
        <v>0</v>
      </c>
      <c r="M902" s="5" t="n">
        <v>0</v>
      </c>
      <c r="N902" s="5" t="n">
        <v>1</v>
      </c>
      <c r="O902" s="5" t="n">
        <v>0</v>
      </c>
      <c r="P902" s="5" t="n">
        <v>0</v>
      </c>
      <c r="Q902" s="5" t="n">
        <v>0</v>
      </c>
      <c r="R902" s="5" t="n">
        <v>0</v>
      </c>
      <c r="S902" s="5" t="n">
        <v>0</v>
      </c>
      <c r="T902" s="5" t="n">
        <v>1</v>
      </c>
      <c r="U902" s="5" t="inlineStr">
        <is>
          <t>training</t>
        </is>
      </c>
      <c r="V902" s="5" t="n">
        <v>0</v>
      </c>
    </row>
    <row r="903">
      <c r="A903" s="5" t="n">
        <v>899</v>
      </c>
      <c r="B903" s="5" t="n">
        <v>0</v>
      </c>
      <c r="C903" s="6" t="n">
        <v>-0.4829241608380317</v>
      </c>
      <c r="D903" s="6" t="n">
        <v>-0.3725293026301055</v>
      </c>
      <c r="E903" s="6" t="n">
        <v>-0.2209114725729393</v>
      </c>
      <c r="F903" s="6" t="n">
        <v>-1.786844513613144</v>
      </c>
      <c r="G903" s="5" t="n">
        <v>0</v>
      </c>
      <c r="H903" s="5" t="n">
        <v>0</v>
      </c>
      <c r="I903" s="5" t="n">
        <v>0</v>
      </c>
      <c r="J903" s="5" t="n">
        <v>0</v>
      </c>
      <c r="K903" s="5" t="n">
        <v>0</v>
      </c>
      <c r="L903" s="5" t="n">
        <v>0</v>
      </c>
      <c r="M903" s="5" t="n">
        <v>0</v>
      </c>
      <c r="N903" s="5" t="n">
        <v>0</v>
      </c>
      <c r="O903" s="5" t="n">
        <v>1</v>
      </c>
      <c r="P903" s="5" t="n">
        <v>1</v>
      </c>
      <c r="Q903" s="5" t="n">
        <v>0</v>
      </c>
      <c r="R903" s="5" t="n">
        <v>0</v>
      </c>
      <c r="S903" s="5" t="n">
        <v>0</v>
      </c>
      <c r="T903" s="5" t="n">
        <v>1</v>
      </c>
      <c r="U903" s="5" t="inlineStr">
        <is>
          <t>testing</t>
        </is>
      </c>
      <c r="V903" s="5" t="n">
        <v>0</v>
      </c>
    </row>
    <row r="904">
      <c r="A904" s="5" t="n">
        <v>900</v>
      </c>
      <c r="B904" s="5" t="n">
        <v>1</v>
      </c>
      <c r="C904" s="6" t="n">
        <v>-0.2301473069597001</v>
      </c>
      <c r="D904" s="6" t="n">
        <v>0.3157097204460952</v>
      </c>
      <c r="E904" s="6" t="n">
        <v>0.5618457137091294</v>
      </c>
      <c r="F904" s="6" t="n">
        <v>-0.8850484360866833</v>
      </c>
      <c r="G904" s="5" t="n">
        <v>1</v>
      </c>
      <c r="H904" s="5" t="n">
        <v>0</v>
      </c>
      <c r="I904" s="5" t="n">
        <v>0</v>
      </c>
      <c r="J904" s="5" t="n">
        <v>0</v>
      </c>
      <c r="K904" s="5" t="n">
        <v>0</v>
      </c>
      <c r="L904" s="5" t="n">
        <v>0</v>
      </c>
      <c r="M904" s="5" t="n">
        <v>0</v>
      </c>
      <c r="N904" s="5" t="n">
        <v>0</v>
      </c>
      <c r="O904" s="5" t="n">
        <v>0</v>
      </c>
      <c r="P904" s="5" t="n">
        <v>0</v>
      </c>
      <c r="Q904" s="5" t="n">
        <v>0</v>
      </c>
      <c r="R904" s="5" t="n">
        <v>0</v>
      </c>
      <c r="S904" s="5" t="n">
        <v>0</v>
      </c>
      <c r="T904" s="5" t="n">
        <v>1</v>
      </c>
      <c r="U904" s="5" t="inlineStr">
        <is>
          <t>training</t>
        </is>
      </c>
      <c r="V904" s="5" t="n">
        <v>1</v>
      </c>
    </row>
    <row r="905">
      <c r="A905" s="5" t="n">
        <v>901</v>
      </c>
      <c r="B905" s="5" t="n">
        <v>1</v>
      </c>
      <c r="C905" s="6" t="n">
        <v>-0.3986652095452545</v>
      </c>
      <c r="D905" s="6" t="n">
        <v>-0.2189263889898147</v>
      </c>
      <c r="E905" s="6" t="n">
        <v>0.648818734407137</v>
      </c>
      <c r="F905" s="6" t="n">
        <v>-0.8850484360866833</v>
      </c>
      <c r="G905" s="5" t="n">
        <v>1</v>
      </c>
      <c r="H905" s="5" t="n">
        <v>0</v>
      </c>
      <c r="I905" s="5" t="n">
        <v>0</v>
      </c>
      <c r="J905" s="5" t="n">
        <v>1</v>
      </c>
      <c r="K905" s="5" t="n">
        <v>0</v>
      </c>
      <c r="L905" s="5" t="n">
        <v>0</v>
      </c>
      <c r="M905" s="5" t="n">
        <v>0</v>
      </c>
      <c r="N905" s="5" t="n">
        <v>0</v>
      </c>
      <c r="O905" s="5" t="n">
        <v>0</v>
      </c>
      <c r="P905" s="5" t="n">
        <v>1</v>
      </c>
      <c r="Q905" s="5" t="n">
        <v>0</v>
      </c>
      <c r="R905" s="5" t="n">
        <v>1</v>
      </c>
      <c r="S905" s="5" t="n">
        <v>0</v>
      </c>
      <c r="T905" s="5" t="n">
        <v>0</v>
      </c>
      <c r="U905" s="5" t="inlineStr">
        <is>
          <t>training</t>
        </is>
      </c>
      <c r="V905" s="5" t="n">
        <v>1</v>
      </c>
    </row>
    <row r="906">
      <c r="A906" s="5" t="n">
        <v>902</v>
      </c>
      <c r="B906" s="5" t="n">
        <v>0</v>
      </c>
      <c r="C906" s="6" t="n">
        <v>-0.06162940437414574</v>
      </c>
      <c r="D906" s="6" t="n">
        <v>0.08198136893877335</v>
      </c>
      <c r="E906" s="6" t="n">
        <v>0.7357917551051447</v>
      </c>
      <c r="F906" s="6" t="n">
        <v>-0.8850484360866833</v>
      </c>
      <c r="G906" s="5" t="n">
        <v>0</v>
      </c>
      <c r="H906" s="5" t="n">
        <v>0</v>
      </c>
      <c r="I906" s="5" t="n">
        <v>0</v>
      </c>
      <c r="J906" s="5" t="n">
        <v>1</v>
      </c>
      <c r="K906" s="5" t="n">
        <v>0</v>
      </c>
      <c r="L906" s="5" t="n">
        <v>0</v>
      </c>
      <c r="M906" s="5" t="n">
        <v>0</v>
      </c>
      <c r="N906" s="5" t="n">
        <v>0</v>
      </c>
      <c r="O906" s="5" t="n">
        <v>1</v>
      </c>
      <c r="P906" s="5" t="n">
        <v>0</v>
      </c>
      <c r="Q906" s="5" t="n">
        <v>0</v>
      </c>
      <c r="R906" s="5" t="n">
        <v>1</v>
      </c>
      <c r="S906" s="5" t="n">
        <v>0</v>
      </c>
      <c r="T906" s="5" t="n">
        <v>0</v>
      </c>
      <c r="U906" s="5" t="inlineStr">
        <is>
          <t>testing</t>
        </is>
      </c>
      <c r="V906" s="5" t="n">
        <v>0</v>
      </c>
    </row>
    <row r="907">
      <c r="A907" s="5" t="n">
        <v>903</v>
      </c>
      <c r="B907" s="5" t="n">
        <v>0</v>
      </c>
      <c r="C907" s="6" t="n">
        <v>1.286513816310289</v>
      </c>
      <c r="D907" s="6" t="n">
        <v>2.52843141944655</v>
      </c>
      <c r="E907" s="6" t="n">
        <v>0.5618457137091294</v>
      </c>
      <c r="F907" s="6" t="n">
        <v>-0.8850484360866833</v>
      </c>
      <c r="G907" s="5" t="n">
        <v>0</v>
      </c>
      <c r="H907" s="5" t="n">
        <v>0</v>
      </c>
      <c r="I907" s="5" t="n">
        <v>0</v>
      </c>
      <c r="J907" s="5" t="n">
        <v>1</v>
      </c>
      <c r="K907" s="5" t="n">
        <v>0</v>
      </c>
      <c r="L907" s="5" t="n">
        <v>0</v>
      </c>
      <c r="M907" s="5" t="n">
        <v>0</v>
      </c>
      <c r="N907" s="5" t="n">
        <v>0</v>
      </c>
      <c r="O907" s="5" t="n">
        <v>1</v>
      </c>
      <c r="P907" s="5" t="n">
        <v>0</v>
      </c>
      <c r="Q907" s="5" t="n">
        <v>1</v>
      </c>
      <c r="R907" s="5" t="n">
        <v>1</v>
      </c>
      <c r="S907" s="5" t="n">
        <v>0</v>
      </c>
      <c r="T907" s="5" t="n">
        <v>0</v>
      </c>
      <c r="U907" s="5" t="inlineStr">
        <is>
          <t>training</t>
        </is>
      </c>
      <c r="V907" s="5" t="n">
        <v>0</v>
      </c>
    </row>
    <row r="908">
      <c r="A908" s="5" t="n">
        <v>904</v>
      </c>
      <c r="B908" s="5" t="n">
        <v>0</v>
      </c>
      <c r="C908" s="6" t="n">
        <v>-0.4829241608380317</v>
      </c>
      <c r="D908" s="6" t="n">
        <v>-0.6524434960520479</v>
      </c>
      <c r="E908" s="6" t="n">
        <v>0.3878996723131141</v>
      </c>
      <c r="F908" s="6" t="n">
        <v>0.9185437189662378</v>
      </c>
      <c r="G908" s="5" t="n">
        <v>0</v>
      </c>
      <c r="H908" s="5" t="n">
        <v>0</v>
      </c>
      <c r="I908" s="5" t="n">
        <v>0</v>
      </c>
      <c r="J908" s="5" t="n">
        <v>0</v>
      </c>
      <c r="K908" s="5" t="n">
        <v>0</v>
      </c>
      <c r="L908" s="5" t="n">
        <v>0</v>
      </c>
      <c r="M908" s="5" t="n">
        <v>0</v>
      </c>
      <c r="N908" s="5" t="n">
        <v>0</v>
      </c>
      <c r="O908" s="5" t="n">
        <v>1</v>
      </c>
      <c r="P908" s="5" t="n">
        <v>1</v>
      </c>
      <c r="Q908" s="5" t="n">
        <v>0</v>
      </c>
      <c r="R908" s="5" t="n">
        <v>0</v>
      </c>
      <c r="S908" s="5" t="n">
        <v>1</v>
      </c>
      <c r="T908" s="5" t="n">
        <v>0</v>
      </c>
      <c r="U908" s="5" t="inlineStr">
        <is>
          <t>testing</t>
        </is>
      </c>
      <c r="V908" s="5" t="n">
        <v>0</v>
      </c>
    </row>
    <row r="909">
      <c r="A909" s="5" t="n">
        <v>905</v>
      </c>
      <c r="B909" s="5" t="n">
        <v>0</v>
      </c>
      <c r="C909" s="6" t="n">
        <v>0.275406400796963</v>
      </c>
      <c r="D909" s="6" t="n">
        <v>-0.6902319121640101</v>
      </c>
      <c r="E909" s="6" t="n">
        <v>0.04000758952108359</v>
      </c>
      <c r="F909" s="6" t="n">
        <v>0.9185437189662378</v>
      </c>
      <c r="G909" s="5" t="n">
        <v>0</v>
      </c>
      <c r="H909" s="5" t="n">
        <v>0</v>
      </c>
      <c r="I909" s="5" t="n">
        <v>0</v>
      </c>
      <c r="J909" s="5" t="n">
        <v>0</v>
      </c>
      <c r="K909" s="5" t="n">
        <v>0</v>
      </c>
      <c r="L909" s="5" t="n">
        <v>0</v>
      </c>
      <c r="M909" s="5" t="n">
        <v>0</v>
      </c>
      <c r="N909" s="5" t="n">
        <v>0</v>
      </c>
      <c r="O909" s="5" t="n">
        <v>0</v>
      </c>
      <c r="P909" s="5" t="n">
        <v>0</v>
      </c>
      <c r="Q909" s="5" t="n">
        <v>0</v>
      </c>
      <c r="R909" s="5" t="n">
        <v>0</v>
      </c>
      <c r="S909" s="5" t="n">
        <v>1</v>
      </c>
      <c r="T909" s="5" t="n">
        <v>0</v>
      </c>
      <c r="U909" s="5" t="inlineStr">
        <is>
          <t>training</t>
        </is>
      </c>
      <c r="V909" s="5" t="n">
        <v>0</v>
      </c>
    </row>
    <row r="910">
      <c r="A910" s="5" t="n">
        <v>906</v>
      </c>
      <c r="B910" s="5" t="n">
        <v>0</v>
      </c>
      <c r="C910" s="6" t="n">
        <v>-0.7357010147163632</v>
      </c>
      <c r="D910" s="6" t="n">
        <v>-0.7500635710079503</v>
      </c>
      <c r="E910" s="6" t="n">
        <v>-1.351560741647039</v>
      </c>
      <c r="F910" s="6" t="n">
        <v>-0.8850484360866833</v>
      </c>
      <c r="G910" s="5" t="n">
        <v>1</v>
      </c>
      <c r="H910" s="5" t="n">
        <v>0</v>
      </c>
      <c r="I910" s="5" t="n">
        <v>0</v>
      </c>
      <c r="J910" s="5" t="n">
        <v>0</v>
      </c>
      <c r="K910" s="5" t="n">
        <v>0</v>
      </c>
      <c r="L910" s="5" t="n">
        <v>0</v>
      </c>
      <c r="M910" s="5" t="n">
        <v>0</v>
      </c>
      <c r="N910" s="5" t="n">
        <v>0</v>
      </c>
      <c r="O910" s="5" t="n">
        <v>0</v>
      </c>
      <c r="P910" s="5" t="n">
        <v>1</v>
      </c>
      <c r="Q910" s="5" t="n">
        <v>0</v>
      </c>
      <c r="R910" s="5" t="n">
        <v>0</v>
      </c>
      <c r="S910" s="5" t="n">
        <v>1</v>
      </c>
      <c r="T910" s="5" t="n">
        <v>0</v>
      </c>
      <c r="U910" s="5" t="inlineStr">
        <is>
          <t>testing</t>
        </is>
      </c>
      <c r="V910" s="5" t="n">
        <v>0</v>
      </c>
    </row>
    <row r="911">
      <c r="A911" s="5" t="n">
        <v>907</v>
      </c>
      <c r="B911" s="5" t="n">
        <v>0</v>
      </c>
      <c r="C911" s="6" t="n">
        <v>0.02262954691863145</v>
      </c>
      <c r="D911" s="6" t="n">
        <v>0.1792515511528983</v>
      </c>
      <c r="E911" s="6" t="n">
        <v>-1.003668658855008</v>
      </c>
      <c r="F911" s="6" t="n">
        <v>-0.8850484360866833</v>
      </c>
      <c r="G911" s="5" t="n">
        <v>1</v>
      </c>
      <c r="H911" s="5" t="n">
        <v>0</v>
      </c>
      <c r="I911" s="5" t="n">
        <v>0</v>
      </c>
      <c r="J911" s="5" t="n">
        <v>0</v>
      </c>
      <c r="K911" s="5" t="n">
        <v>0</v>
      </c>
      <c r="L911" s="5" t="n">
        <v>0</v>
      </c>
      <c r="M911" s="5" t="n">
        <v>0</v>
      </c>
      <c r="N911" s="5" t="n">
        <v>0</v>
      </c>
      <c r="O911" s="5" t="n">
        <v>1</v>
      </c>
      <c r="P911" s="5" t="n">
        <v>0</v>
      </c>
      <c r="Q911" s="5" t="n">
        <v>0</v>
      </c>
      <c r="R911" s="5" t="n">
        <v>1</v>
      </c>
      <c r="S911" s="5" t="n">
        <v>0</v>
      </c>
      <c r="T911" s="5" t="n">
        <v>0</v>
      </c>
      <c r="U911" s="5" t="inlineStr">
        <is>
          <t>training</t>
        </is>
      </c>
      <c r="V911" s="5" t="n">
        <v>1</v>
      </c>
    </row>
    <row r="912">
      <c r="A912" s="5" t="n">
        <v>908</v>
      </c>
      <c r="B912" s="5" t="n">
        <v>0</v>
      </c>
      <c r="C912" s="6" t="n">
        <v>1.286513816310289</v>
      </c>
      <c r="D912" s="6" t="n">
        <v>0.1610571285804721</v>
      </c>
      <c r="E912" s="6" t="n">
        <v>-0.7427495967609852</v>
      </c>
      <c r="F912" s="6" t="n">
        <v>-0.8850484360866833</v>
      </c>
      <c r="G912" s="5" t="n">
        <v>0</v>
      </c>
      <c r="H912" s="5" t="n">
        <v>1</v>
      </c>
      <c r="I912" s="5" t="n">
        <v>0</v>
      </c>
      <c r="J912" s="5" t="n">
        <v>0</v>
      </c>
      <c r="K912" s="5" t="n">
        <v>0</v>
      </c>
      <c r="L912" s="5" t="n">
        <v>0</v>
      </c>
      <c r="M912" s="5" t="n">
        <v>0</v>
      </c>
      <c r="N912" s="5" t="n">
        <v>0</v>
      </c>
      <c r="O912" s="5" t="n">
        <v>1</v>
      </c>
      <c r="P912" s="5" t="n">
        <v>0</v>
      </c>
      <c r="Q912" s="5" t="n">
        <v>0</v>
      </c>
      <c r="R912" s="5" t="n">
        <v>0</v>
      </c>
      <c r="S912" s="5" t="n">
        <v>0</v>
      </c>
      <c r="T912" s="5" t="n">
        <v>0</v>
      </c>
      <c r="U912" s="5" t="inlineStr">
        <is>
          <t>testing</t>
        </is>
      </c>
      <c r="V912" s="5" t="n">
        <v>0</v>
      </c>
    </row>
    <row r="913">
      <c r="A913" s="5" t="n">
        <v>909</v>
      </c>
      <c r="B913" s="5" t="n">
        <v>0</v>
      </c>
      <c r="C913" s="6" t="n">
        <v>-0.4829241608380317</v>
      </c>
      <c r="D913" s="6" t="n">
        <v>0.120119677792513</v>
      </c>
      <c r="E913" s="6" t="n">
        <v>0.9097377965011599</v>
      </c>
      <c r="F913" s="6" t="n">
        <v>-1.786844513613144</v>
      </c>
      <c r="G913" s="5" t="n">
        <v>0</v>
      </c>
      <c r="H913" s="5" t="n">
        <v>0</v>
      </c>
      <c r="I913" s="5" t="n">
        <v>0</v>
      </c>
      <c r="J913" s="5" t="n">
        <v>0</v>
      </c>
      <c r="K913" s="5" t="n">
        <v>1</v>
      </c>
      <c r="L913" s="5" t="n">
        <v>0</v>
      </c>
      <c r="M913" s="5" t="n">
        <v>0</v>
      </c>
      <c r="N913" s="5" t="n">
        <v>0</v>
      </c>
      <c r="O913" s="5" t="n">
        <v>0</v>
      </c>
      <c r="P913" s="5" t="n">
        <v>0</v>
      </c>
      <c r="Q913" s="5" t="n">
        <v>0</v>
      </c>
      <c r="R913" s="5" t="n">
        <v>1</v>
      </c>
      <c r="S913" s="5" t="n">
        <v>0</v>
      </c>
      <c r="T913" s="5" t="n">
        <v>0</v>
      </c>
      <c r="U913" s="5" t="inlineStr">
        <is>
          <t>training</t>
        </is>
      </c>
      <c r="V913" s="5" t="n">
        <v>1</v>
      </c>
    </row>
    <row r="914">
      <c r="A914" s="5" t="n">
        <v>910</v>
      </c>
      <c r="B914" s="5" t="n">
        <v>0</v>
      </c>
      <c r="C914" s="6" t="n">
        <v>-0.9884778685946948</v>
      </c>
      <c r="D914" s="6" t="n">
        <v>-0.01948752617668076</v>
      </c>
      <c r="E914" s="6" t="n">
        <v>-0.2209114725729393</v>
      </c>
      <c r="F914" s="6" t="n">
        <v>-1.786844513613144</v>
      </c>
      <c r="G914" s="5" t="n">
        <v>0</v>
      </c>
      <c r="H914" s="5" t="n">
        <v>1</v>
      </c>
      <c r="I914" s="5" t="n">
        <v>0</v>
      </c>
      <c r="J914" s="5" t="n">
        <v>0</v>
      </c>
      <c r="K914" s="5" t="n">
        <v>0</v>
      </c>
      <c r="L914" s="5" t="n">
        <v>0</v>
      </c>
      <c r="M914" s="5" t="n">
        <v>0</v>
      </c>
      <c r="N914" s="5" t="n">
        <v>0</v>
      </c>
      <c r="O914" s="5" t="n">
        <v>1</v>
      </c>
      <c r="P914" s="5" t="n">
        <v>0</v>
      </c>
      <c r="Q914" s="5" t="n">
        <v>0</v>
      </c>
      <c r="R914" s="5" t="n">
        <v>1</v>
      </c>
      <c r="S914" s="5" t="n">
        <v>0</v>
      </c>
      <c r="T914" s="5" t="n">
        <v>0</v>
      </c>
      <c r="U914" s="5" t="inlineStr">
        <is>
          <t>testing</t>
        </is>
      </c>
      <c r="V914" s="5" t="n">
        <v>0</v>
      </c>
    </row>
    <row r="915">
      <c r="A915" s="5" t="n">
        <v>911</v>
      </c>
      <c r="B915" s="5" t="n">
        <v>0</v>
      </c>
      <c r="C915" s="6" t="n">
        <v>1.286513816310289</v>
      </c>
      <c r="D915" s="6" t="n">
        <v>0.421027435721101</v>
      </c>
      <c r="E915" s="6" t="n">
        <v>-0.1339384518749317</v>
      </c>
      <c r="F915" s="6" t="n">
        <v>0.9185437189662378</v>
      </c>
      <c r="G915" s="5" t="n">
        <v>0</v>
      </c>
      <c r="H915" s="5" t="n">
        <v>0</v>
      </c>
      <c r="I915" s="5" t="n">
        <v>0</v>
      </c>
      <c r="J915" s="5" t="n">
        <v>0</v>
      </c>
      <c r="K915" s="5" t="n">
        <v>1</v>
      </c>
      <c r="L915" s="5" t="n">
        <v>0</v>
      </c>
      <c r="M915" s="5" t="n">
        <v>0</v>
      </c>
      <c r="N915" s="5" t="n">
        <v>0</v>
      </c>
      <c r="O915" s="5" t="n">
        <v>0</v>
      </c>
      <c r="P915" s="5" t="n">
        <v>0</v>
      </c>
      <c r="Q915" s="5" t="n">
        <v>0</v>
      </c>
      <c r="R915" s="5" t="n">
        <v>0</v>
      </c>
      <c r="S915" s="5" t="n">
        <v>1</v>
      </c>
      <c r="T915" s="5" t="n">
        <v>0</v>
      </c>
      <c r="U915" s="5" t="inlineStr">
        <is>
          <t>training</t>
        </is>
      </c>
      <c r="V915" s="5" t="n">
        <v>0</v>
      </c>
    </row>
    <row r="916">
      <c r="A916" s="5" t="n">
        <v>912</v>
      </c>
      <c r="B916" s="5" t="n">
        <v>1</v>
      </c>
      <c r="C916" s="6" t="n">
        <v>0.275406400796963</v>
      </c>
      <c r="D916" s="6" t="n">
        <v>0.5196971889023357</v>
      </c>
      <c r="E916" s="6" t="n">
        <v>-0.9166956381570004</v>
      </c>
      <c r="F916" s="6" t="n">
        <v>-0.8850484360866833</v>
      </c>
      <c r="G916" s="5" t="n">
        <v>0</v>
      </c>
      <c r="H916" s="5" t="n">
        <v>1</v>
      </c>
      <c r="I916" s="5" t="n">
        <v>0</v>
      </c>
      <c r="J916" s="5" t="n">
        <v>1</v>
      </c>
      <c r="K916" s="5" t="n">
        <v>0</v>
      </c>
      <c r="L916" s="5" t="n">
        <v>0</v>
      </c>
      <c r="M916" s="5" t="n">
        <v>0</v>
      </c>
      <c r="N916" s="5" t="n">
        <v>0</v>
      </c>
      <c r="O916" s="5" t="n">
        <v>0</v>
      </c>
      <c r="P916" s="5" t="n">
        <v>0</v>
      </c>
      <c r="Q916" s="5" t="n">
        <v>0</v>
      </c>
      <c r="R916" s="5" t="n">
        <v>0</v>
      </c>
      <c r="S916" s="5" t="n">
        <v>0</v>
      </c>
      <c r="T916" s="5" t="n">
        <v>1</v>
      </c>
      <c r="U916" s="5" t="inlineStr">
        <is>
          <t>testing</t>
        </is>
      </c>
      <c r="V916" s="5" t="n">
        <v>0</v>
      </c>
    </row>
    <row r="917">
      <c r="A917" s="5" t="n">
        <v>913</v>
      </c>
      <c r="B917" s="5" t="n">
        <v>0</v>
      </c>
      <c r="C917" s="6" t="n">
        <v>0.7809601085536261</v>
      </c>
      <c r="D917" s="6" t="n">
        <v>-0.09086564549927606</v>
      </c>
      <c r="E917" s="6" t="n">
        <v>-0.9166956381570004</v>
      </c>
      <c r="F917" s="6" t="n">
        <v>-0.8850484360866833</v>
      </c>
      <c r="G917" s="5" t="n">
        <v>0</v>
      </c>
      <c r="H917" s="5" t="n">
        <v>1</v>
      </c>
      <c r="I917" s="5" t="n">
        <v>0</v>
      </c>
      <c r="J917" s="5" t="n">
        <v>0</v>
      </c>
      <c r="K917" s="5" t="n">
        <v>0</v>
      </c>
      <c r="L917" s="5" t="n">
        <v>0</v>
      </c>
      <c r="M917" s="5" t="n">
        <v>0</v>
      </c>
      <c r="N917" s="5" t="n">
        <v>0</v>
      </c>
      <c r="O917" s="5" t="n">
        <v>1</v>
      </c>
      <c r="P917" s="5" t="n">
        <v>0</v>
      </c>
      <c r="Q917" s="5" t="n">
        <v>0</v>
      </c>
      <c r="R917" s="5" t="n">
        <v>0</v>
      </c>
      <c r="S917" s="5" t="n">
        <v>1</v>
      </c>
      <c r="T917" s="5" t="n">
        <v>0</v>
      </c>
      <c r="U917" s="5" t="inlineStr">
        <is>
          <t>training</t>
        </is>
      </c>
      <c r="V917" s="5" t="n">
        <v>1</v>
      </c>
    </row>
    <row r="918">
      <c r="A918" s="5" t="n">
        <v>914</v>
      </c>
      <c r="B918" s="5" t="n">
        <v>0</v>
      </c>
      <c r="C918" s="6" t="n">
        <v>-0.8199599660091405</v>
      </c>
      <c r="D918" s="6" t="n">
        <v>-0.3879245832683124</v>
      </c>
      <c r="E918" s="6" t="n">
        <v>-0.6557765760629775</v>
      </c>
      <c r="F918" s="6" t="n">
        <v>-1.786844513613144</v>
      </c>
      <c r="G918" s="5" t="n">
        <v>0</v>
      </c>
      <c r="H918" s="5" t="n">
        <v>0</v>
      </c>
      <c r="I918" s="5" t="n">
        <v>0</v>
      </c>
      <c r="J918" s="5" t="n">
        <v>0</v>
      </c>
      <c r="K918" s="5" t="n">
        <v>0</v>
      </c>
      <c r="L918" s="5" t="n">
        <v>0</v>
      </c>
      <c r="M918" s="5" t="n">
        <v>0</v>
      </c>
      <c r="N918" s="5" t="n">
        <v>1</v>
      </c>
      <c r="O918" s="5" t="n">
        <v>0</v>
      </c>
      <c r="P918" s="5" t="n">
        <v>0</v>
      </c>
      <c r="Q918" s="5" t="n">
        <v>0</v>
      </c>
      <c r="R918" s="5" t="n">
        <v>0</v>
      </c>
      <c r="S918" s="5" t="n">
        <v>0</v>
      </c>
      <c r="T918" s="5" t="n">
        <v>0</v>
      </c>
      <c r="U918" s="5" t="inlineStr">
        <is>
          <t>training</t>
        </is>
      </c>
      <c r="V918" s="5" t="n">
        <v>1</v>
      </c>
    </row>
    <row r="919">
      <c r="A919" s="5" t="n">
        <v>915</v>
      </c>
      <c r="B919" s="5" t="n">
        <v>1</v>
      </c>
      <c r="C919" s="6" t="n">
        <v>0.275406400796963</v>
      </c>
      <c r="D919" s="6" t="n">
        <v>-0.03138387939711331</v>
      </c>
      <c r="E919" s="6" t="n">
        <v>-0.3948575139689546</v>
      </c>
      <c r="F919" s="6" t="n">
        <v>0.9185437189662378</v>
      </c>
      <c r="G919" s="5" t="n">
        <v>1</v>
      </c>
      <c r="H919" s="5" t="n">
        <v>0</v>
      </c>
      <c r="I919" s="5" t="n">
        <v>0</v>
      </c>
      <c r="J919" s="5" t="n">
        <v>0</v>
      </c>
      <c r="K919" s="5" t="n">
        <v>0</v>
      </c>
      <c r="L919" s="5" t="n">
        <v>1</v>
      </c>
      <c r="M919" s="5" t="n">
        <v>0</v>
      </c>
      <c r="N919" s="5" t="n">
        <v>0</v>
      </c>
      <c r="O919" s="5" t="n">
        <v>0</v>
      </c>
      <c r="P919" s="5" t="n">
        <v>1</v>
      </c>
      <c r="Q919" s="5" t="n">
        <v>0</v>
      </c>
      <c r="R919" s="5" t="n">
        <v>0</v>
      </c>
      <c r="S919" s="5" t="n">
        <v>0</v>
      </c>
      <c r="T919" s="5" t="n">
        <v>0</v>
      </c>
      <c r="U919" s="5" t="inlineStr">
        <is>
          <t>training</t>
        </is>
      </c>
      <c r="V919" s="5" t="n">
        <v>1</v>
      </c>
    </row>
    <row r="920">
      <c r="A920" s="5" t="n">
        <v>916</v>
      </c>
      <c r="B920" s="5" t="n">
        <v>1</v>
      </c>
      <c r="C920" s="6" t="n">
        <v>2.297621231823615</v>
      </c>
      <c r="D920" s="6" t="n">
        <v>5.30902903835177</v>
      </c>
      <c r="E920" s="6" t="n">
        <v>-0.307884493270947</v>
      </c>
      <c r="F920" s="6" t="n">
        <v>-1.786844513613144</v>
      </c>
      <c r="G920" s="5" t="n">
        <v>0</v>
      </c>
      <c r="H920" s="5" t="n">
        <v>1</v>
      </c>
      <c r="I920" s="5" t="n">
        <v>0</v>
      </c>
      <c r="J920" s="5" t="n">
        <v>0</v>
      </c>
      <c r="K920" s="5" t="n">
        <v>0</v>
      </c>
      <c r="L920" s="5" t="n">
        <v>1</v>
      </c>
      <c r="M920" s="5" t="n">
        <v>0</v>
      </c>
      <c r="N920" s="5" t="n">
        <v>0</v>
      </c>
      <c r="O920" s="5" t="n">
        <v>0</v>
      </c>
      <c r="P920" s="5" t="n">
        <v>0</v>
      </c>
      <c r="Q920" s="5" t="n">
        <v>0</v>
      </c>
      <c r="R920" s="5" t="n">
        <v>0</v>
      </c>
      <c r="S920" s="5" t="n">
        <v>0</v>
      </c>
      <c r="T920" s="5" t="n">
        <v>0</v>
      </c>
      <c r="U920" s="5" t="inlineStr">
        <is>
          <t>testing</t>
        </is>
      </c>
      <c r="V920" s="5" t="n">
        <v>0</v>
      </c>
    </row>
    <row r="921">
      <c r="A921" s="5" t="n">
        <v>917</v>
      </c>
      <c r="B921" s="5" t="n">
        <v>0</v>
      </c>
      <c r="C921" s="6" t="n">
        <v>-0.9042189173019176</v>
      </c>
      <c r="D921" s="6" t="n">
        <v>-0.1409003075734483</v>
      </c>
      <c r="E921" s="6" t="n">
        <v>-0.307884493270947</v>
      </c>
      <c r="F921" s="6" t="n">
        <v>-1.786844513613144</v>
      </c>
      <c r="G921" s="5" t="n">
        <v>0</v>
      </c>
      <c r="H921" s="5" t="n">
        <v>0</v>
      </c>
      <c r="I921" s="5" t="n">
        <v>0</v>
      </c>
      <c r="J921" s="5" t="n">
        <v>0</v>
      </c>
      <c r="K921" s="5" t="n">
        <v>0</v>
      </c>
      <c r="L921" s="5" t="n">
        <v>0</v>
      </c>
      <c r="M921" s="5" t="n">
        <v>1</v>
      </c>
      <c r="N921" s="5" t="n">
        <v>0</v>
      </c>
      <c r="O921" s="5" t="n">
        <v>0</v>
      </c>
      <c r="P921" s="5" t="n">
        <v>0</v>
      </c>
      <c r="Q921" s="5" t="n">
        <v>0</v>
      </c>
      <c r="R921" s="5" t="n">
        <v>1</v>
      </c>
      <c r="S921" s="5" t="n">
        <v>0</v>
      </c>
      <c r="T921" s="5" t="n">
        <v>0</v>
      </c>
      <c r="U921" s="5" t="inlineStr">
        <is>
          <t>testing</t>
        </is>
      </c>
      <c r="V921" s="5" t="n">
        <v>0</v>
      </c>
    </row>
    <row r="922">
      <c r="A922" s="5" t="n">
        <v>918</v>
      </c>
      <c r="B922" s="5" t="n">
        <v>1</v>
      </c>
      <c r="C922" s="6" t="n">
        <v>-1.241254722473026</v>
      </c>
      <c r="D922" s="6" t="n">
        <v>4.074607445361003</v>
      </c>
      <c r="E922" s="6" t="n">
        <v>2.823144251857328</v>
      </c>
      <c r="F922" s="6" t="n">
        <v>-1.786844513613144</v>
      </c>
      <c r="G922" s="5" t="n">
        <v>1</v>
      </c>
      <c r="H922" s="5" t="n">
        <v>0</v>
      </c>
      <c r="I922" s="5" t="n">
        <v>0</v>
      </c>
      <c r="J922" s="5" t="n">
        <v>0</v>
      </c>
      <c r="K922" s="5" t="n">
        <v>0</v>
      </c>
      <c r="L922" s="5" t="n">
        <v>0</v>
      </c>
      <c r="M922" s="5" t="n">
        <v>0</v>
      </c>
      <c r="N922" s="5" t="n">
        <v>0</v>
      </c>
      <c r="O922" s="5" t="n">
        <v>0</v>
      </c>
      <c r="P922" s="5" t="n">
        <v>0</v>
      </c>
      <c r="Q922" s="5" t="n">
        <v>0</v>
      </c>
      <c r="R922" s="5" t="n">
        <v>1</v>
      </c>
      <c r="S922" s="5" t="n">
        <v>0</v>
      </c>
      <c r="T922" s="5" t="n">
        <v>0</v>
      </c>
      <c r="U922" s="5" t="inlineStr">
        <is>
          <t>training</t>
        </is>
      </c>
      <c r="V922" s="5" t="n">
        <v>1</v>
      </c>
    </row>
    <row r="923">
      <c r="A923" s="5" t="n">
        <v>919</v>
      </c>
      <c r="B923" s="5" t="n">
        <v>1</v>
      </c>
      <c r="C923" s="6" t="n">
        <v>0.275406400796963</v>
      </c>
      <c r="D923" s="6" t="n">
        <v>-0.3119978583026105</v>
      </c>
      <c r="E923" s="6" t="n">
        <v>-0.2209114725729393</v>
      </c>
      <c r="F923" s="6" t="n">
        <v>-1.786844513613144</v>
      </c>
      <c r="G923" s="5" t="n">
        <v>1</v>
      </c>
      <c r="H923" s="5" t="n">
        <v>0</v>
      </c>
      <c r="I923" s="5" t="n">
        <v>0</v>
      </c>
      <c r="J923" s="5" t="n">
        <v>0</v>
      </c>
      <c r="K923" s="5" t="n">
        <v>0</v>
      </c>
      <c r="L923" s="5" t="n">
        <v>0</v>
      </c>
      <c r="M923" s="5" t="n">
        <v>1</v>
      </c>
      <c r="N923" s="5" t="n">
        <v>0</v>
      </c>
      <c r="O923" s="5" t="n">
        <v>0</v>
      </c>
      <c r="P923" s="5" t="n">
        <v>0</v>
      </c>
      <c r="Q923" s="5" t="n">
        <v>0</v>
      </c>
      <c r="R923" s="5" t="n">
        <v>0</v>
      </c>
      <c r="S923" s="5" t="n">
        <v>0</v>
      </c>
      <c r="T923" s="5" t="n">
        <v>1</v>
      </c>
      <c r="U923" s="5" t="inlineStr">
        <is>
          <t>training</t>
        </is>
      </c>
      <c r="V923" s="5" t="n">
        <v>1</v>
      </c>
    </row>
    <row r="924">
      <c r="A924" s="5" t="n">
        <v>920</v>
      </c>
      <c r="B924" s="5" t="n">
        <v>1</v>
      </c>
      <c r="C924" s="6" t="n">
        <v>0.275406400796963</v>
      </c>
      <c r="D924" s="6" t="n">
        <v>0.03299638508993343</v>
      </c>
      <c r="E924" s="6" t="n">
        <v>0.3009266516151065</v>
      </c>
      <c r="F924" s="6" t="n">
        <v>0.9185437189662378</v>
      </c>
      <c r="G924" s="5" t="n">
        <v>1</v>
      </c>
      <c r="H924" s="5" t="n">
        <v>0</v>
      </c>
      <c r="I924" s="5" t="n">
        <v>0</v>
      </c>
      <c r="J924" s="5" t="n">
        <v>0</v>
      </c>
      <c r="K924" s="5" t="n">
        <v>0</v>
      </c>
      <c r="L924" s="5" t="n">
        <v>0</v>
      </c>
      <c r="M924" s="5" t="n">
        <v>0</v>
      </c>
      <c r="N924" s="5" t="n">
        <v>0</v>
      </c>
      <c r="O924" s="5" t="n">
        <v>0</v>
      </c>
      <c r="P924" s="5" t="n">
        <v>1</v>
      </c>
      <c r="Q924" s="5" t="n">
        <v>0</v>
      </c>
      <c r="R924" s="5" t="n">
        <v>0</v>
      </c>
      <c r="S924" s="5" t="n">
        <v>0</v>
      </c>
      <c r="T924" s="5" t="n">
        <v>1</v>
      </c>
      <c r="U924" s="5" t="inlineStr">
        <is>
          <t>training</t>
        </is>
      </c>
      <c r="V924" s="5" t="n">
        <v>1</v>
      </c>
    </row>
    <row r="925">
      <c r="A925" s="5" t="n">
        <v>921</v>
      </c>
      <c r="B925" s="5" t="n">
        <v>0</v>
      </c>
      <c r="C925" s="6" t="n">
        <v>-0.2301473069597001</v>
      </c>
      <c r="D925" s="6" t="n">
        <v>-0.5016397243459765</v>
      </c>
      <c r="E925" s="6" t="n">
        <v>-0.6557765760629775</v>
      </c>
      <c r="F925" s="6" t="n">
        <v>0.9185437189662378</v>
      </c>
      <c r="G925" s="5" t="n">
        <v>0</v>
      </c>
      <c r="H925" s="5" t="n">
        <v>0</v>
      </c>
      <c r="I925" s="5" t="n">
        <v>0</v>
      </c>
      <c r="J925" s="5" t="n">
        <v>1</v>
      </c>
      <c r="K925" s="5" t="n">
        <v>0</v>
      </c>
      <c r="L925" s="5" t="n">
        <v>0</v>
      </c>
      <c r="M925" s="5" t="n">
        <v>0</v>
      </c>
      <c r="N925" s="5" t="n">
        <v>0</v>
      </c>
      <c r="O925" s="5" t="n">
        <v>0</v>
      </c>
      <c r="P925" s="5" t="n">
        <v>0</v>
      </c>
      <c r="Q925" s="5" t="n">
        <v>0</v>
      </c>
      <c r="R925" s="5" t="n">
        <v>0</v>
      </c>
      <c r="S925" s="5" t="n">
        <v>0</v>
      </c>
      <c r="T925" s="5" t="n">
        <v>1</v>
      </c>
      <c r="U925" s="5" t="inlineStr">
        <is>
          <t>testing</t>
        </is>
      </c>
      <c r="V925" s="5" t="n">
        <v>0</v>
      </c>
    </row>
    <row r="926">
      <c r="A926" s="5" t="n">
        <v>922</v>
      </c>
      <c r="B926" s="5" t="n">
        <v>0</v>
      </c>
      <c r="C926" s="6" t="n">
        <v>2.297621231823615</v>
      </c>
      <c r="D926" s="6" t="n">
        <v>3.323387728764866</v>
      </c>
      <c r="E926" s="6" t="n">
        <v>0.1269806102190912</v>
      </c>
      <c r="F926" s="6" t="n">
        <v>0.9185437189662378</v>
      </c>
      <c r="G926" s="5" t="n">
        <v>0</v>
      </c>
      <c r="H926" s="5" t="n">
        <v>0</v>
      </c>
      <c r="I926" s="5" t="n">
        <v>0</v>
      </c>
      <c r="J926" s="5" t="n">
        <v>0</v>
      </c>
      <c r="K926" s="5" t="n">
        <v>1</v>
      </c>
      <c r="L926" s="5" t="n">
        <v>0</v>
      </c>
      <c r="M926" s="5" t="n">
        <v>1</v>
      </c>
      <c r="N926" s="5" t="n">
        <v>0</v>
      </c>
      <c r="O926" s="5" t="n">
        <v>0</v>
      </c>
      <c r="P926" s="5" t="n">
        <v>0</v>
      </c>
      <c r="Q926" s="5" t="n">
        <v>0</v>
      </c>
      <c r="R926" s="5" t="n">
        <v>0</v>
      </c>
      <c r="S926" s="5" t="n">
        <v>1</v>
      </c>
      <c r="T926" s="5" t="n">
        <v>0</v>
      </c>
      <c r="U926" s="5" t="inlineStr">
        <is>
          <t>training</t>
        </is>
      </c>
      <c r="V926" s="5" t="n">
        <v>0</v>
      </c>
    </row>
    <row r="927">
      <c r="A927" s="5" t="n">
        <v>923</v>
      </c>
      <c r="B927" s="5" t="n">
        <v>1</v>
      </c>
      <c r="C927" s="6" t="n">
        <v>-0.9884778685946948</v>
      </c>
      <c r="D927" s="6" t="n">
        <v>-0.6594413508875965</v>
      </c>
      <c r="E927" s="6" t="n">
        <v>-1.177614700251023</v>
      </c>
      <c r="F927" s="6" t="n">
        <v>0.01674764143977723</v>
      </c>
      <c r="G927" s="5" t="n">
        <v>1</v>
      </c>
      <c r="H927" s="5" t="n">
        <v>0</v>
      </c>
      <c r="I927" s="5" t="n">
        <v>0</v>
      </c>
      <c r="J927" s="5" t="n">
        <v>0</v>
      </c>
      <c r="K927" s="5" t="n">
        <v>0</v>
      </c>
      <c r="L927" s="5" t="n">
        <v>0</v>
      </c>
      <c r="M927" s="5" t="n">
        <v>0</v>
      </c>
      <c r="N927" s="5" t="n">
        <v>0</v>
      </c>
      <c r="O927" s="5" t="n">
        <v>0</v>
      </c>
      <c r="P927" s="5" t="n">
        <v>1</v>
      </c>
      <c r="Q927" s="5" t="n">
        <v>0</v>
      </c>
      <c r="R927" s="5" t="n">
        <v>0</v>
      </c>
      <c r="S927" s="5" t="n">
        <v>1</v>
      </c>
      <c r="T927" s="5" t="n">
        <v>0</v>
      </c>
      <c r="U927" s="5" t="inlineStr">
        <is>
          <t>training</t>
        </is>
      </c>
      <c r="V927" s="5" t="n">
        <v>1</v>
      </c>
    </row>
    <row r="928">
      <c r="A928" s="5" t="n">
        <v>924</v>
      </c>
      <c r="B928" s="5" t="n">
        <v>0</v>
      </c>
      <c r="C928" s="6" t="n">
        <v>-0.7357010147163632</v>
      </c>
      <c r="D928" s="6" t="n">
        <v>-0.4369095671171523</v>
      </c>
      <c r="E928" s="6" t="n">
        <v>-0.4818305346669622</v>
      </c>
      <c r="F928" s="6" t="n">
        <v>0.01674764143977723</v>
      </c>
      <c r="G928" s="5" t="n">
        <v>0</v>
      </c>
      <c r="H928" s="5" t="n">
        <v>1</v>
      </c>
      <c r="I928" s="5" t="n">
        <v>0</v>
      </c>
      <c r="J928" s="5" t="n">
        <v>0</v>
      </c>
      <c r="K928" s="5" t="n">
        <v>0</v>
      </c>
      <c r="L928" s="5" t="n">
        <v>0</v>
      </c>
      <c r="M928" s="5" t="n">
        <v>0</v>
      </c>
      <c r="N928" s="5" t="n">
        <v>0</v>
      </c>
      <c r="O928" s="5" t="n">
        <v>0</v>
      </c>
      <c r="P928" s="5" t="n">
        <v>1</v>
      </c>
      <c r="Q928" s="5" t="n">
        <v>0</v>
      </c>
      <c r="R928" s="5" t="n">
        <v>1</v>
      </c>
      <c r="S928" s="5" t="n">
        <v>0</v>
      </c>
      <c r="T928" s="5" t="n">
        <v>0</v>
      </c>
      <c r="U928" s="5" t="inlineStr">
        <is>
          <t>training</t>
        </is>
      </c>
      <c r="V928" s="5" t="n">
        <v>1</v>
      </c>
    </row>
    <row r="929">
      <c r="A929" s="5" t="n">
        <v>925</v>
      </c>
      <c r="B929" s="5" t="n">
        <v>1</v>
      </c>
      <c r="C929" s="6" t="n">
        <v>0.275406400796963</v>
      </c>
      <c r="D929" s="6" t="n">
        <v>1.267068085338922</v>
      </c>
      <c r="E929" s="6" t="n">
        <v>1.692494982783229</v>
      </c>
      <c r="F929" s="6" t="n">
        <v>-0.8850484360866833</v>
      </c>
      <c r="G929" s="5" t="n">
        <v>1</v>
      </c>
      <c r="H929" s="5" t="n">
        <v>0</v>
      </c>
      <c r="I929" s="5" t="n">
        <v>0</v>
      </c>
      <c r="J929" s="5" t="n">
        <v>0</v>
      </c>
      <c r="K929" s="5" t="n">
        <v>0</v>
      </c>
      <c r="L929" s="5" t="n">
        <v>1</v>
      </c>
      <c r="M929" s="5" t="n">
        <v>0</v>
      </c>
      <c r="N929" s="5" t="n">
        <v>0</v>
      </c>
      <c r="O929" s="5" t="n">
        <v>0</v>
      </c>
      <c r="P929" s="5" t="n">
        <v>0</v>
      </c>
      <c r="Q929" s="5" t="n">
        <v>0</v>
      </c>
      <c r="R929" s="5" t="n">
        <v>0</v>
      </c>
      <c r="S929" s="5" t="n">
        <v>0</v>
      </c>
      <c r="T929" s="5" t="n">
        <v>1</v>
      </c>
      <c r="U929" s="5" t="inlineStr">
        <is>
          <t>training</t>
        </is>
      </c>
      <c r="V929" s="5" t="n">
        <v>1</v>
      </c>
    </row>
    <row r="930">
      <c r="A930" s="5" t="n">
        <v>926</v>
      </c>
      <c r="B930" s="5" t="n">
        <v>1</v>
      </c>
      <c r="C930" s="6" t="n">
        <v>-0.7357010147163632</v>
      </c>
      <c r="D930" s="6" t="n">
        <v>-0.8935195951366958</v>
      </c>
      <c r="E930" s="6" t="n">
        <v>0.9097377965011599</v>
      </c>
      <c r="F930" s="6" t="n">
        <v>0.9185437189662378</v>
      </c>
      <c r="G930" s="5" t="n">
        <v>1</v>
      </c>
      <c r="H930" s="5" t="n">
        <v>0</v>
      </c>
      <c r="I930" s="5" t="n">
        <v>0</v>
      </c>
      <c r="J930" s="5" t="n">
        <v>0</v>
      </c>
      <c r="K930" s="5" t="n">
        <v>0</v>
      </c>
      <c r="L930" s="5" t="n">
        <v>1</v>
      </c>
      <c r="M930" s="5" t="n">
        <v>0</v>
      </c>
      <c r="N930" s="5" t="n">
        <v>0</v>
      </c>
      <c r="O930" s="5" t="n">
        <v>0</v>
      </c>
      <c r="P930" s="5" t="n">
        <v>0</v>
      </c>
      <c r="Q930" s="5" t="n">
        <v>0</v>
      </c>
      <c r="R930" s="5" t="n">
        <v>1</v>
      </c>
      <c r="S930" s="5" t="n">
        <v>0</v>
      </c>
      <c r="T930" s="5" t="n">
        <v>0</v>
      </c>
      <c r="U930" s="5" t="inlineStr">
        <is>
          <t>training</t>
        </is>
      </c>
      <c r="V930" s="5" t="n">
        <v>1</v>
      </c>
    </row>
    <row r="931">
      <c r="A931" s="5" t="n">
        <v>927</v>
      </c>
      <c r="B931" s="5" t="n">
        <v>0</v>
      </c>
      <c r="C931" s="6" t="n">
        <v>-0.2301473069597001</v>
      </c>
      <c r="D931" s="6" t="n">
        <v>-0.7703573500310411</v>
      </c>
      <c r="E931" s="6" t="n">
        <v>-1.264587720949031</v>
      </c>
      <c r="F931" s="6" t="n">
        <v>0.9185437189662378</v>
      </c>
      <c r="G931" s="5" t="n">
        <v>1</v>
      </c>
      <c r="H931" s="5" t="n">
        <v>0</v>
      </c>
      <c r="I931" s="5" t="n">
        <v>0</v>
      </c>
      <c r="J931" s="5" t="n">
        <v>1</v>
      </c>
      <c r="K931" s="5" t="n">
        <v>0</v>
      </c>
      <c r="L931" s="5" t="n">
        <v>0</v>
      </c>
      <c r="M931" s="5" t="n">
        <v>0</v>
      </c>
      <c r="N931" s="5" t="n">
        <v>0</v>
      </c>
      <c r="O931" s="5" t="n">
        <v>0</v>
      </c>
      <c r="P931" s="5" t="n">
        <v>1</v>
      </c>
      <c r="Q931" s="5" t="n">
        <v>0</v>
      </c>
      <c r="R931" s="5" t="n">
        <v>0</v>
      </c>
      <c r="S931" s="5" t="n">
        <v>0</v>
      </c>
      <c r="T931" s="5" t="n">
        <v>1</v>
      </c>
      <c r="U931" s="5" t="inlineStr">
        <is>
          <t>training</t>
        </is>
      </c>
      <c r="V931" s="5" t="n">
        <v>1</v>
      </c>
    </row>
    <row r="932">
      <c r="A932" s="5" t="n">
        <v>928</v>
      </c>
      <c r="B932" s="5" t="n">
        <v>1</v>
      </c>
      <c r="C932" s="6" t="n">
        <v>2.297621231823615</v>
      </c>
      <c r="D932" s="6" t="n">
        <v>2.465450725926613</v>
      </c>
      <c r="E932" s="6" t="n">
        <v>0.3009266516151065</v>
      </c>
      <c r="F932" s="6" t="n">
        <v>0.9185437189662378</v>
      </c>
      <c r="G932" s="5" t="n">
        <v>1</v>
      </c>
      <c r="H932" s="5" t="n">
        <v>0</v>
      </c>
      <c r="I932" s="5" t="n">
        <v>0</v>
      </c>
      <c r="J932" s="5" t="n">
        <v>0</v>
      </c>
      <c r="K932" s="5" t="n">
        <v>0</v>
      </c>
      <c r="L932" s="5" t="n">
        <v>0</v>
      </c>
      <c r="M932" s="5" t="n">
        <v>0</v>
      </c>
      <c r="N932" s="5" t="n">
        <v>0</v>
      </c>
      <c r="O932" s="5" t="n">
        <v>0</v>
      </c>
      <c r="P932" s="5" t="n">
        <v>0</v>
      </c>
      <c r="Q932" s="5" t="n">
        <v>1</v>
      </c>
      <c r="R932" s="5" t="n">
        <v>1</v>
      </c>
      <c r="S932" s="5" t="n">
        <v>0</v>
      </c>
      <c r="T932" s="5" t="n">
        <v>0</v>
      </c>
      <c r="U932" s="5" t="inlineStr">
        <is>
          <t>testing</t>
        </is>
      </c>
      <c r="V932" s="5" t="n">
        <v>0</v>
      </c>
    </row>
    <row r="933">
      <c r="A933" s="5" t="n">
        <v>929</v>
      </c>
      <c r="B933" s="5" t="n">
        <v>0</v>
      </c>
      <c r="C933" s="6" t="n">
        <v>0.7809601085536261</v>
      </c>
      <c r="D933" s="6" t="n">
        <v>-0.4841450872571051</v>
      </c>
      <c r="E933" s="6" t="n">
        <v>1.953414044877252</v>
      </c>
      <c r="F933" s="6" t="n">
        <v>0.9185437189662378</v>
      </c>
      <c r="G933" s="5" t="n">
        <v>0</v>
      </c>
      <c r="H933" s="5" t="n">
        <v>0</v>
      </c>
      <c r="I933" s="5" t="n">
        <v>0</v>
      </c>
      <c r="J933" s="5" t="n">
        <v>0</v>
      </c>
      <c r="K933" s="5" t="n">
        <v>0</v>
      </c>
      <c r="L933" s="5" t="n">
        <v>0</v>
      </c>
      <c r="M933" s="5" t="n">
        <v>0</v>
      </c>
      <c r="N933" s="5" t="n">
        <v>0</v>
      </c>
      <c r="O933" s="5" t="n">
        <v>1</v>
      </c>
      <c r="P933" s="5" t="n">
        <v>0</v>
      </c>
      <c r="Q933" s="5" t="n">
        <v>0</v>
      </c>
      <c r="R933" s="5" t="n">
        <v>0</v>
      </c>
      <c r="S933" s="5" t="n">
        <v>1</v>
      </c>
      <c r="T933" s="5" t="n">
        <v>0</v>
      </c>
      <c r="U933" s="5" t="inlineStr">
        <is>
          <t>training</t>
        </is>
      </c>
      <c r="V933" s="5" t="n">
        <v>0</v>
      </c>
    </row>
    <row r="934">
      <c r="A934" s="5" t="n">
        <v>930</v>
      </c>
      <c r="B934" s="5" t="n">
        <v>0</v>
      </c>
      <c r="C934" s="6" t="n">
        <v>-0.7357010147163632</v>
      </c>
      <c r="D934" s="6" t="n">
        <v>-0.6671389912066998</v>
      </c>
      <c r="E934" s="6" t="n">
        <v>0.648818734407137</v>
      </c>
      <c r="F934" s="6" t="n">
        <v>0.9185437189662378</v>
      </c>
      <c r="G934" s="5" t="n">
        <v>1</v>
      </c>
      <c r="H934" s="5" t="n">
        <v>0</v>
      </c>
      <c r="I934" s="5" t="n">
        <v>0</v>
      </c>
      <c r="J934" s="5" t="n">
        <v>0</v>
      </c>
      <c r="K934" s="5" t="n">
        <v>1</v>
      </c>
      <c r="L934" s="5" t="n">
        <v>0</v>
      </c>
      <c r="M934" s="5" t="n">
        <v>0</v>
      </c>
      <c r="N934" s="5" t="n">
        <v>0</v>
      </c>
      <c r="O934" s="5" t="n">
        <v>0</v>
      </c>
      <c r="P934" s="5" t="n">
        <v>0</v>
      </c>
      <c r="Q934" s="5" t="n">
        <v>0</v>
      </c>
      <c r="R934" s="5" t="n">
        <v>1</v>
      </c>
      <c r="S934" s="5" t="n">
        <v>0</v>
      </c>
      <c r="T934" s="5" t="n">
        <v>0</v>
      </c>
      <c r="U934" s="5" t="inlineStr">
        <is>
          <t>training</t>
        </is>
      </c>
      <c r="V934" s="5" t="n">
        <v>0</v>
      </c>
    </row>
    <row r="935">
      <c r="A935" s="5" t="n">
        <v>931</v>
      </c>
      <c r="B935" s="5" t="n">
        <v>0</v>
      </c>
      <c r="C935" s="6" t="n">
        <v>0.275406400796963</v>
      </c>
      <c r="D935" s="6" t="n">
        <v>-0.5261322162703964</v>
      </c>
      <c r="E935" s="6" t="n">
        <v>-1.003668658855008</v>
      </c>
      <c r="F935" s="6" t="n">
        <v>0.9185437189662378</v>
      </c>
      <c r="G935" s="5" t="n">
        <v>1</v>
      </c>
      <c r="H935" s="5" t="n">
        <v>0</v>
      </c>
      <c r="I935" s="5" t="n">
        <v>0</v>
      </c>
      <c r="J935" s="5" t="n">
        <v>0</v>
      </c>
      <c r="K935" s="5" t="n">
        <v>0</v>
      </c>
      <c r="L935" s="5" t="n">
        <v>0</v>
      </c>
      <c r="M935" s="5" t="n">
        <v>0</v>
      </c>
      <c r="N935" s="5" t="n">
        <v>0</v>
      </c>
      <c r="O935" s="5" t="n">
        <v>0</v>
      </c>
      <c r="P935" s="5" t="n">
        <v>0</v>
      </c>
      <c r="Q935" s="5" t="n">
        <v>0</v>
      </c>
      <c r="R935" s="5" t="n">
        <v>0</v>
      </c>
      <c r="S935" s="5" t="n">
        <v>0</v>
      </c>
      <c r="T935" s="5" t="n">
        <v>1</v>
      </c>
      <c r="U935" s="5" t="inlineStr">
        <is>
          <t>training</t>
        </is>
      </c>
      <c r="V935" s="5" t="n">
        <v>0</v>
      </c>
    </row>
    <row r="936">
      <c r="A936" s="5" t="n">
        <v>932</v>
      </c>
      <c r="B936" s="5" t="n">
        <v>1</v>
      </c>
      <c r="C936" s="6" t="n">
        <v>-0.9884778685946948</v>
      </c>
      <c r="D936" s="6" t="n">
        <v>-0.5530739573872584</v>
      </c>
      <c r="E936" s="6" t="n">
        <v>-1.177614700251023</v>
      </c>
      <c r="F936" s="6" t="n">
        <v>0.9185437189662378</v>
      </c>
      <c r="G936" s="5" t="n">
        <v>0</v>
      </c>
      <c r="H936" s="5" t="n">
        <v>1</v>
      </c>
      <c r="I936" s="5" t="n">
        <v>0</v>
      </c>
      <c r="J936" s="5" t="n">
        <v>0</v>
      </c>
      <c r="K936" s="5" t="n">
        <v>0</v>
      </c>
      <c r="L936" s="5" t="n">
        <v>0</v>
      </c>
      <c r="M936" s="5" t="n">
        <v>0</v>
      </c>
      <c r="N936" s="5" t="n">
        <v>0</v>
      </c>
      <c r="O936" s="5" t="n">
        <v>0</v>
      </c>
      <c r="P936" s="5" t="n">
        <v>0</v>
      </c>
      <c r="Q936" s="5" t="n">
        <v>0</v>
      </c>
      <c r="R936" s="5" t="n">
        <v>0</v>
      </c>
      <c r="S936" s="5" t="n">
        <v>1</v>
      </c>
      <c r="T936" s="5" t="n">
        <v>0</v>
      </c>
      <c r="U936" s="5" t="inlineStr">
        <is>
          <t>training</t>
        </is>
      </c>
      <c r="V936" s="5" t="n">
        <v>1</v>
      </c>
    </row>
    <row r="937">
      <c r="A937" s="5" t="n">
        <v>933</v>
      </c>
      <c r="B937" s="5" t="n">
        <v>0</v>
      </c>
      <c r="C937" s="6" t="n">
        <v>-0.9884778685946948</v>
      </c>
      <c r="D937" s="6" t="n">
        <v>-0.7091261202199912</v>
      </c>
      <c r="E937" s="6" t="n">
        <v>-0.4818305346669622</v>
      </c>
      <c r="F937" s="6" t="n">
        <v>0.01674764143977723</v>
      </c>
      <c r="G937" s="5" t="n">
        <v>0</v>
      </c>
      <c r="H937" s="5" t="n">
        <v>0</v>
      </c>
      <c r="I937" s="5" t="n">
        <v>0</v>
      </c>
      <c r="J937" s="5" t="n">
        <v>1</v>
      </c>
      <c r="K937" s="5" t="n">
        <v>0</v>
      </c>
      <c r="L937" s="5" t="n">
        <v>0</v>
      </c>
      <c r="M937" s="5" t="n">
        <v>0</v>
      </c>
      <c r="N937" s="5" t="n">
        <v>0</v>
      </c>
      <c r="O937" s="5" t="n">
        <v>0</v>
      </c>
      <c r="P937" s="5" t="n">
        <v>0</v>
      </c>
      <c r="Q937" s="5" t="n">
        <v>0</v>
      </c>
      <c r="R937" s="5" t="n">
        <v>1</v>
      </c>
      <c r="S937" s="5" t="n">
        <v>0</v>
      </c>
      <c r="T937" s="5" t="n">
        <v>0</v>
      </c>
      <c r="U937" s="5" t="inlineStr">
        <is>
          <t>training</t>
        </is>
      </c>
      <c r="V937" s="5" t="n">
        <v>0</v>
      </c>
    </row>
    <row r="938">
      <c r="A938" s="5" t="n">
        <v>934</v>
      </c>
      <c r="B938" s="5" t="n">
        <v>0</v>
      </c>
      <c r="C938" s="6" t="n">
        <v>-0.7357010147163632</v>
      </c>
      <c r="D938" s="6" t="n">
        <v>-0.9547508249477457</v>
      </c>
      <c r="E938" s="6" t="n">
        <v>0.5618457137091294</v>
      </c>
      <c r="F938" s="6" t="n">
        <v>0.9185437189662378</v>
      </c>
      <c r="G938" s="5" t="n">
        <v>0</v>
      </c>
      <c r="H938" s="5" t="n">
        <v>0</v>
      </c>
      <c r="I938" s="5" t="n">
        <v>0</v>
      </c>
      <c r="J938" s="5" t="n">
        <v>1</v>
      </c>
      <c r="K938" s="5" t="n">
        <v>0</v>
      </c>
      <c r="L938" s="5" t="n">
        <v>0</v>
      </c>
      <c r="M938" s="5" t="n">
        <v>1</v>
      </c>
      <c r="N938" s="5" t="n">
        <v>0</v>
      </c>
      <c r="O938" s="5" t="n">
        <v>0</v>
      </c>
      <c r="P938" s="5" t="n">
        <v>0</v>
      </c>
      <c r="Q938" s="5" t="n">
        <v>0</v>
      </c>
      <c r="R938" s="5" t="n">
        <v>0</v>
      </c>
      <c r="S938" s="5" t="n">
        <v>1</v>
      </c>
      <c r="T938" s="5" t="n">
        <v>0</v>
      </c>
      <c r="U938" s="5" t="inlineStr">
        <is>
          <t>training</t>
        </is>
      </c>
      <c r="V938" s="5" t="n">
        <v>0</v>
      </c>
    </row>
    <row r="939">
      <c r="A939" s="5" t="n">
        <v>935</v>
      </c>
      <c r="B939" s="5" t="n">
        <v>0</v>
      </c>
      <c r="C939" s="6" t="n">
        <v>-0.7357010147163632</v>
      </c>
      <c r="D939" s="6" t="n">
        <v>-0.613255508972976</v>
      </c>
      <c r="E939" s="6" t="n">
        <v>-1.090641679553016</v>
      </c>
      <c r="F939" s="6" t="n">
        <v>0.9185437189662378</v>
      </c>
      <c r="G939" s="5" t="n">
        <v>1</v>
      </c>
      <c r="H939" s="5" t="n">
        <v>0</v>
      </c>
      <c r="I939" s="5" t="n">
        <v>0</v>
      </c>
      <c r="J939" s="5" t="n">
        <v>0</v>
      </c>
      <c r="K939" s="5" t="n">
        <v>0</v>
      </c>
      <c r="L939" s="5" t="n">
        <v>0</v>
      </c>
      <c r="M939" s="5" t="n">
        <v>0</v>
      </c>
      <c r="N939" s="5" t="n">
        <v>0</v>
      </c>
      <c r="O939" s="5" t="n">
        <v>0</v>
      </c>
      <c r="P939" s="5" t="n">
        <v>0</v>
      </c>
      <c r="Q939" s="5" t="n">
        <v>0</v>
      </c>
      <c r="R939" s="5" t="n">
        <v>0</v>
      </c>
      <c r="S939" s="5" t="n">
        <v>1</v>
      </c>
      <c r="T939" s="5" t="n">
        <v>0</v>
      </c>
      <c r="U939" s="5" t="inlineStr">
        <is>
          <t>training</t>
        </is>
      </c>
      <c r="V939" s="5" t="n">
        <v>0</v>
      </c>
    </row>
    <row r="940">
      <c r="A940" s="5" t="n">
        <v>936</v>
      </c>
      <c r="B940" s="5" t="n">
        <v>1</v>
      </c>
      <c r="C940" s="6" t="n">
        <v>0.7809601085536261</v>
      </c>
      <c r="D940" s="6" t="n">
        <v>-0.4659506646846788</v>
      </c>
      <c r="E940" s="6" t="n">
        <v>-0.4818305346669622</v>
      </c>
      <c r="F940" s="6" t="n">
        <v>0.9185437189662378</v>
      </c>
      <c r="G940" s="5" t="n">
        <v>0</v>
      </c>
      <c r="H940" s="5" t="n">
        <v>1</v>
      </c>
      <c r="I940" s="5" t="n">
        <v>0</v>
      </c>
      <c r="J940" s="5" t="n">
        <v>0</v>
      </c>
      <c r="K940" s="5" t="n">
        <v>1</v>
      </c>
      <c r="L940" s="5" t="n">
        <v>0</v>
      </c>
      <c r="M940" s="5" t="n">
        <v>1</v>
      </c>
      <c r="N940" s="5" t="n">
        <v>0</v>
      </c>
      <c r="O940" s="5" t="n">
        <v>0</v>
      </c>
      <c r="P940" s="5" t="n">
        <v>0</v>
      </c>
      <c r="Q940" s="5" t="n">
        <v>0</v>
      </c>
      <c r="R940" s="5" t="n">
        <v>0</v>
      </c>
      <c r="S940" s="5" t="n">
        <v>1</v>
      </c>
      <c r="T940" s="5" t="n">
        <v>0</v>
      </c>
      <c r="U940" s="5" t="inlineStr">
        <is>
          <t>training</t>
        </is>
      </c>
      <c r="V940" s="5" t="n">
        <v>1</v>
      </c>
    </row>
    <row r="941">
      <c r="A941" s="5" t="n">
        <v>937</v>
      </c>
      <c r="B941" s="5" t="n">
        <v>1</v>
      </c>
      <c r="C941" s="6" t="n">
        <v>-0.9884778685946948</v>
      </c>
      <c r="D941" s="6" t="n">
        <v>-0.8767247435313792</v>
      </c>
      <c r="E941" s="6" t="n">
        <v>-0.6557765760629775</v>
      </c>
      <c r="F941" s="6" t="n">
        <v>0.01674764143977723</v>
      </c>
      <c r="G941" s="5" t="n">
        <v>0</v>
      </c>
      <c r="H941" s="5" t="n">
        <v>0</v>
      </c>
      <c r="I941" s="5" t="n">
        <v>1</v>
      </c>
      <c r="J941" s="5" t="n">
        <v>0</v>
      </c>
      <c r="K941" s="5" t="n">
        <v>0</v>
      </c>
      <c r="L941" s="5" t="n">
        <v>0</v>
      </c>
      <c r="M941" s="5" t="n">
        <v>0</v>
      </c>
      <c r="N941" s="5" t="n">
        <v>0</v>
      </c>
      <c r="O941" s="5" t="n">
        <v>0</v>
      </c>
      <c r="P941" s="5" t="n">
        <v>0</v>
      </c>
      <c r="Q941" s="5" t="n">
        <v>0</v>
      </c>
      <c r="R941" s="5" t="n">
        <v>0</v>
      </c>
      <c r="S941" s="5" t="n">
        <v>1</v>
      </c>
      <c r="T941" s="5" t="n">
        <v>0</v>
      </c>
      <c r="U941" s="5" t="inlineStr">
        <is>
          <t>training</t>
        </is>
      </c>
      <c r="V941" s="5" t="n">
        <v>1</v>
      </c>
    </row>
    <row r="942">
      <c r="A942" s="5" t="n">
        <v>938</v>
      </c>
      <c r="B942" s="5" t="n">
        <v>0</v>
      </c>
      <c r="C942" s="6" t="n">
        <v>-1.241254722473026</v>
      </c>
      <c r="D942" s="6" t="n">
        <v>-0.4155661098687292</v>
      </c>
      <c r="E942" s="6" t="n">
        <v>-0.4818305346669622</v>
      </c>
      <c r="F942" s="6" t="n">
        <v>0.9185437189662378</v>
      </c>
      <c r="G942" s="5" t="n">
        <v>0</v>
      </c>
      <c r="H942" s="5" t="n">
        <v>1</v>
      </c>
      <c r="I942" s="5" t="n">
        <v>0</v>
      </c>
      <c r="J942" s="5" t="n">
        <v>0</v>
      </c>
      <c r="K942" s="5" t="n">
        <v>0</v>
      </c>
      <c r="L942" s="5" t="n">
        <v>0</v>
      </c>
      <c r="M942" s="5" t="n">
        <v>0</v>
      </c>
      <c r="N942" s="5" t="n">
        <v>0</v>
      </c>
      <c r="O942" s="5" t="n">
        <v>0</v>
      </c>
      <c r="P942" s="5" t="n">
        <v>1</v>
      </c>
      <c r="Q942" s="5" t="n">
        <v>0</v>
      </c>
      <c r="R942" s="5" t="n">
        <v>0</v>
      </c>
      <c r="S942" s="5" t="n">
        <v>1</v>
      </c>
      <c r="T942" s="5" t="n">
        <v>0</v>
      </c>
      <c r="U942" s="5" t="inlineStr">
        <is>
          <t>training</t>
        </is>
      </c>
      <c r="V942" s="5" t="n">
        <v>0</v>
      </c>
    </row>
    <row r="943">
      <c r="A943" s="5" t="n">
        <v>939</v>
      </c>
      <c r="B943" s="5" t="n">
        <v>1</v>
      </c>
      <c r="C943" s="6" t="n">
        <v>3.308728647336942</v>
      </c>
      <c r="D943" s="6" t="n">
        <v>1.062730724140904</v>
      </c>
      <c r="E943" s="6" t="n">
        <v>0.5618457137091294</v>
      </c>
      <c r="F943" s="6" t="n">
        <v>0.9185437189662378</v>
      </c>
      <c r="G943" s="5" t="n">
        <v>0</v>
      </c>
      <c r="H943" s="5" t="n">
        <v>1</v>
      </c>
      <c r="I943" s="5" t="n">
        <v>0</v>
      </c>
      <c r="J943" s="5" t="n">
        <v>0</v>
      </c>
      <c r="K943" s="5" t="n">
        <v>0</v>
      </c>
      <c r="L943" s="5" t="n">
        <v>0</v>
      </c>
      <c r="M943" s="5" t="n">
        <v>0</v>
      </c>
      <c r="N943" s="5" t="n">
        <v>0</v>
      </c>
      <c r="O943" s="5" t="n">
        <v>0</v>
      </c>
      <c r="P943" s="5" t="n">
        <v>0</v>
      </c>
      <c r="Q943" s="5" t="n">
        <v>1</v>
      </c>
      <c r="R943" s="5" t="n">
        <v>0</v>
      </c>
      <c r="S943" s="5" t="n">
        <v>0</v>
      </c>
      <c r="T943" s="5" t="n">
        <v>0</v>
      </c>
      <c r="U943" s="5" t="inlineStr">
        <is>
          <t>testing</t>
        </is>
      </c>
      <c r="V943" s="5" t="n">
        <v>0</v>
      </c>
    </row>
    <row r="944">
      <c r="A944" s="5" t="n">
        <v>940</v>
      </c>
      <c r="B944" s="5" t="n">
        <v>0</v>
      </c>
      <c r="C944" s="6" t="n">
        <v>0.275406400796963</v>
      </c>
      <c r="D944" s="6" t="n">
        <v>1.256571303085599</v>
      </c>
      <c r="E944" s="6" t="n">
        <v>0.9097377965011599</v>
      </c>
      <c r="F944" s="6" t="n">
        <v>-0.8850484360866833</v>
      </c>
      <c r="G944" s="5" t="n">
        <v>0</v>
      </c>
      <c r="H944" s="5" t="n">
        <v>0</v>
      </c>
      <c r="I944" s="5" t="n">
        <v>0</v>
      </c>
      <c r="J944" s="5" t="n">
        <v>1</v>
      </c>
      <c r="K944" s="5" t="n">
        <v>0</v>
      </c>
      <c r="L944" s="5" t="n">
        <v>0</v>
      </c>
      <c r="M944" s="5" t="n">
        <v>0</v>
      </c>
      <c r="N944" s="5" t="n">
        <v>0</v>
      </c>
      <c r="O944" s="5" t="n">
        <v>1</v>
      </c>
      <c r="P944" s="5" t="n">
        <v>0</v>
      </c>
      <c r="Q944" s="5" t="n">
        <v>0</v>
      </c>
      <c r="R944" s="5" t="n">
        <v>1</v>
      </c>
      <c r="S944" s="5" t="n">
        <v>0</v>
      </c>
      <c r="T944" s="5" t="n">
        <v>0</v>
      </c>
      <c r="U944" s="5" t="inlineStr">
        <is>
          <t>training</t>
        </is>
      </c>
      <c r="V944" s="5" t="n">
        <v>0</v>
      </c>
    </row>
    <row r="945">
      <c r="A945" s="5" t="n">
        <v>941</v>
      </c>
      <c r="B945" s="5" t="n">
        <v>0</v>
      </c>
      <c r="C945" s="6" t="n">
        <v>-0.7357010147163632</v>
      </c>
      <c r="D945" s="6" t="n">
        <v>0.09667686409342532</v>
      </c>
      <c r="E945" s="6" t="n">
        <v>0.8227647758031523</v>
      </c>
      <c r="F945" s="6" t="n">
        <v>-0.8850484360866833</v>
      </c>
      <c r="G945" s="5" t="n">
        <v>0</v>
      </c>
      <c r="H945" s="5" t="n">
        <v>0</v>
      </c>
      <c r="I945" s="5" t="n">
        <v>0</v>
      </c>
      <c r="J945" s="5" t="n">
        <v>0</v>
      </c>
      <c r="K945" s="5" t="n">
        <v>0</v>
      </c>
      <c r="L945" s="5" t="n">
        <v>0</v>
      </c>
      <c r="M945" s="5" t="n">
        <v>0</v>
      </c>
      <c r="N945" s="5" t="n">
        <v>0</v>
      </c>
      <c r="O945" s="5" t="n">
        <v>1</v>
      </c>
      <c r="P945" s="5" t="n">
        <v>0</v>
      </c>
      <c r="Q945" s="5" t="n">
        <v>0</v>
      </c>
      <c r="R945" s="5" t="n">
        <v>1</v>
      </c>
      <c r="S945" s="5" t="n">
        <v>0</v>
      </c>
      <c r="T945" s="5" t="n">
        <v>0</v>
      </c>
      <c r="U945" s="5" t="inlineStr">
        <is>
          <t>testing</t>
        </is>
      </c>
      <c r="V945" s="5" t="n">
        <v>0</v>
      </c>
    </row>
    <row r="946">
      <c r="A946" s="5" t="n">
        <v>942</v>
      </c>
      <c r="B946" s="5" t="n">
        <v>0</v>
      </c>
      <c r="C946" s="6" t="n">
        <v>-0.9042189173019176</v>
      </c>
      <c r="D946" s="6" t="n">
        <v>-0.5964606573676594</v>
      </c>
      <c r="E946" s="6" t="n">
        <v>-0.3948575139689546</v>
      </c>
      <c r="F946" s="6" t="n">
        <v>0.01674764143977723</v>
      </c>
      <c r="G946" s="5" t="n">
        <v>0</v>
      </c>
      <c r="H946" s="5" t="n">
        <v>0</v>
      </c>
      <c r="I946" s="5" t="n">
        <v>0</v>
      </c>
      <c r="J946" s="5" t="n">
        <v>0</v>
      </c>
      <c r="K946" s="5" t="n">
        <v>0</v>
      </c>
      <c r="L946" s="5" t="n">
        <v>0</v>
      </c>
      <c r="M946" s="5" t="n">
        <v>0</v>
      </c>
      <c r="N946" s="5" t="n">
        <v>0</v>
      </c>
      <c r="O946" s="5" t="n">
        <v>0</v>
      </c>
      <c r="P946" s="5" t="n">
        <v>0</v>
      </c>
      <c r="Q946" s="5" t="n">
        <v>0</v>
      </c>
      <c r="R946" s="5" t="n">
        <v>1</v>
      </c>
      <c r="S946" s="5" t="n">
        <v>0</v>
      </c>
      <c r="T946" s="5" t="n">
        <v>0</v>
      </c>
      <c r="U946" s="5" t="inlineStr">
        <is>
          <t>testing</t>
        </is>
      </c>
      <c r="V946" s="5" t="n">
        <v>0</v>
      </c>
    </row>
    <row r="947">
      <c r="A947" s="5" t="n">
        <v>943</v>
      </c>
      <c r="B947" s="5" t="n">
        <v>0</v>
      </c>
      <c r="C947" s="6" t="n">
        <v>0.275406400796963</v>
      </c>
      <c r="D947" s="6" t="n">
        <v>-0.8123444790443325</v>
      </c>
      <c r="E947" s="6" t="n">
        <v>-0.3948575139689546</v>
      </c>
      <c r="F947" s="6" t="n">
        <v>0.9185437189662378</v>
      </c>
      <c r="G947" s="5" t="n">
        <v>0</v>
      </c>
      <c r="H947" s="5" t="n">
        <v>0</v>
      </c>
      <c r="I947" s="5" t="n">
        <v>0</v>
      </c>
      <c r="J947" s="5" t="n">
        <v>0</v>
      </c>
      <c r="K947" s="5" t="n">
        <v>0</v>
      </c>
      <c r="L947" s="5" t="n">
        <v>0</v>
      </c>
      <c r="M947" s="5" t="n">
        <v>0</v>
      </c>
      <c r="N947" s="5" t="n">
        <v>0</v>
      </c>
      <c r="O947" s="5" t="n">
        <v>1</v>
      </c>
      <c r="P947" s="5" t="n">
        <v>0</v>
      </c>
      <c r="Q947" s="5" t="n">
        <v>0</v>
      </c>
      <c r="R947" s="5" t="n">
        <v>0</v>
      </c>
      <c r="S947" s="5" t="n">
        <v>0</v>
      </c>
      <c r="T947" s="5" t="n">
        <v>1</v>
      </c>
      <c r="U947" s="5" t="inlineStr">
        <is>
          <t>training</t>
        </is>
      </c>
      <c r="V947" s="5" t="n">
        <v>0</v>
      </c>
    </row>
    <row r="948">
      <c r="A948" s="5" t="n">
        <v>944</v>
      </c>
      <c r="B948" s="5" t="n">
        <v>0</v>
      </c>
      <c r="C948" s="6" t="n">
        <v>-1.409772625058581</v>
      </c>
      <c r="D948" s="6" t="n">
        <v>-0.6283008968694054</v>
      </c>
      <c r="E948" s="6" t="n">
        <v>0.5618457137091294</v>
      </c>
      <c r="F948" s="6" t="n">
        <v>-0.8850484360866833</v>
      </c>
      <c r="G948" s="5" t="n">
        <v>0</v>
      </c>
      <c r="H948" s="5" t="n">
        <v>0</v>
      </c>
      <c r="I948" s="5" t="n">
        <v>0</v>
      </c>
      <c r="J948" s="5" t="n">
        <v>1</v>
      </c>
      <c r="K948" s="5" t="n">
        <v>0</v>
      </c>
      <c r="L948" s="5" t="n">
        <v>0</v>
      </c>
      <c r="M948" s="5" t="n">
        <v>0</v>
      </c>
      <c r="N948" s="5" t="n">
        <v>0</v>
      </c>
      <c r="O948" s="5" t="n">
        <v>0</v>
      </c>
      <c r="P948" s="5" t="n">
        <v>0</v>
      </c>
      <c r="Q948" s="5" t="n">
        <v>0</v>
      </c>
      <c r="R948" s="5" t="n">
        <v>1</v>
      </c>
      <c r="S948" s="5" t="n">
        <v>0</v>
      </c>
      <c r="T948" s="5" t="n">
        <v>0</v>
      </c>
      <c r="U948" s="5" t="inlineStr">
        <is>
          <t>training</t>
        </is>
      </c>
      <c r="V948" s="5" t="n">
        <v>1</v>
      </c>
    </row>
    <row r="949">
      <c r="A949" s="5" t="n">
        <v>945</v>
      </c>
      <c r="B949" s="5" t="n">
        <v>0</v>
      </c>
      <c r="C949" s="6" t="n">
        <v>-0.4829241608380317</v>
      </c>
      <c r="D949" s="6" t="n">
        <v>-0.4918427275762085</v>
      </c>
      <c r="E949" s="6" t="n">
        <v>0.9097377965011599</v>
      </c>
      <c r="F949" s="6" t="n">
        <v>0.9185437189662378</v>
      </c>
      <c r="G949" s="5" t="n">
        <v>1</v>
      </c>
      <c r="H949" s="5" t="n">
        <v>0</v>
      </c>
      <c r="I949" s="5" t="n">
        <v>0</v>
      </c>
      <c r="J949" s="5" t="n">
        <v>0</v>
      </c>
      <c r="K949" s="5" t="n">
        <v>0</v>
      </c>
      <c r="L949" s="5" t="n">
        <v>0</v>
      </c>
      <c r="M949" s="5" t="n">
        <v>0</v>
      </c>
      <c r="N949" s="5" t="n">
        <v>0</v>
      </c>
      <c r="O949" s="5" t="n">
        <v>0</v>
      </c>
      <c r="P949" s="5" t="n">
        <v>1</v>
      </c>
      <c r="Q949" s="5" t="n">
        <v>0</v>
      </c>
      <c r="R949" s="5" t="n">
        <v>0</v>
      </c>
      <c r="S949" s="5" t="n">
        <v>0</v>
      </c>
      <c r="T949" s="5" t="n">
        <v>1</v>
      </c>
      <c r="U949" s="5" t="inlineStr">
        <is>
          <t>training</t>
        </is>
      </c>
      <c r="V949" s="5" t="n">
        <v>0</v>
      </c>
    </row>
    <row r="950">
      <c r="A950" s="5" t="n">
        <v>946</v>
      </c>
      <c r="B950" s="5" t="n">
        <v>0</v>
      </c>
      <c r="C950" s="6" t="n">
        <v>2.297621231823615</v>
      </c>
      <c r="D950" s="6" t="n">
        <v>1.78700869962018</v>
      </c>
      <c r="E950" s="6" t="n">
        <v>-0.4818305346669622</v>
      </c>
      <c r="F950" s="6" t="n">
        <v>-1.786844513613144</v>
      </c>
      <c r="G950" s="5" t="n">
        <v>0</v>
      </c>
      <c r="H950" s="5" t="n">
        <v>1</v>
      </c>
      <c r="I950" s="5" t="n">
        <v>0</v>
      </c>
      <c r="J950" s="5" t="n">
        <v>0</v>
      </c>
      <c r="K950" s="5" t="n">
        <v>0</v>
      </c>
      <c r="L950" s="5" t="n">
        <v>1</v>
      </c>
      <c r="M950" s="5" t="n">
        <v>1</v>
      </c>
      <c r="N950" s="5" t="n">
        <v>0</v>
      </c>
      <c r="O950" s="5" t="n">
        <v>0</v>
      </c>
      <c r="P950" s="5" t="n">
        <v>0</v>
      </c>
      <c r="Q950" s="5" t="n">
        <v>0</v>
      </c>
      <c r="R950" s="5" t="n">
        <v>1</v>
      </c>
      <c r="S950" s="5" t="n">
        <v>0</v>
      </c>
      <c r="T950" s="5" t="n">
        <v>0</v>
      </c>
      <c r="U950" s="5" t="inlineStr">
        <is>
          <t>training</t>
        </is>
      </c>
      <c r="V950" s="5" t="n">
        <v>1</v>
      </c>
    </row>
    <row r="951">
      <c r="A951" s="5" t="n">
        <v>947</v>
      </c>
      <c r="B951" s="5" t="n">
        <v>1</v>
      </c>
      <c r="C951" s="6" t="n">
        <v>0.275406400796963</v>
      </c>
      <c r="D951" s="6" t="n">
        <v>0.03439595605704315</v>
      </c>
      <c r="E951" s="6" t="n">
        <v>-0.4818305346669622</v>
      </c>
      <c r="F951" s="6" t="n">
        <v>0.9185437189662378</v>
      </c>
      <c r="G951" s="5" t="n">
        <v>1</v>
      </c>
      <c r="H951" s="5" t="n">
        <v>0</v>
      </c>
      <c r="I951" s="5" t="n">
        <v>0</v>
      </c>
      <c r="J951" s="5" t="n">
        <v>0</v>
      </c>
      <c r="K951" s="5" t="n">
        <v>0</v>
      </c>
      <c r="L951" s="5" t="n">
        <v>1</v>
      </c>
      <c r="M951" s="5" t="n">
        <v>1</v>
      </c>
      <c r="N951" s="5" t="n">
        <v>0</v>
      </c>
      <c r="O951" s="5" t="n">
        <v>0</v>
      </c>
      <c r="P951" s="5" t="n">
        <v>0</v>
      </c>
      <c r="Q951" s="5" t="n">
        <v>1</v>
      </c>
      <c r="R951" s="5" t="n">
        <v>0</v>
      </c>
      <c r="S951" s="5" t="n">
        <v>0</v>
      </c>
      <c r="T951" s="5" t="n">
        <v>1</v>
      </c>
      <c r="U951" s="5" t="inlineStr">
        <is>
          <t>training</t>
        </is>
      </c>
      <c r="V951" s="5" t="n">
        <v>1</v>
      </c>
    </row>
    <row r="952">
      <c r="A952" s="5" t="n">
        <v>948</v>
      </c>
      <c r="B952" s="5" t="n">
        <v>0</v>
      </c>
      <c r="C952" s="6" t="n">
        <v>-0.7357010147163632</v>
      </c>
      <c r="D952" s="6" t="n">
        <v>-0.1370514874138966</v>
      </c>
      <c r="E952" s="6" t="n">
        <v>0.2139536309170988</v>
      </c>
      <c r="F952" s="6" t="n">
        <v>0.9185437189662378</v>
      </c>
      <c r="G952" s="5" t="n">
        <v>0</v>
      </c>
      <c r="H952" s="5" t="n">
        <v>0</v>
      </c>
      <c r="I952" s="5" t="n">
        <v>0</v>
      </c>
      <c r="J952" s="5" t="n">
        <v>0</v>
      </c>
      <c r="K952" s="5" t="n">
        <v>0</v>
      </c>
      <c r="L952" s="5" t="n">
        <v>0</v>
      </c>
      <c r="M952" s="5" t="n">
        <v>0</v>
      </c>
      <c r="N952" s="5" t="n">
        <v>0</v>
      </c>
      <c r="O952" s="5" t="n">
        <v>1</v>
      </c>
      <c r="P952" s="5" t="n">
        <v>0</v>
      </c>
      <c r="Q952" s="5" t="n">
        <v>0</v>
      </c>
      <c r="R952" s="5" t="n">
        <v>1</v>
      </c>
      <c r="S952" s="5" t="n">
        <v>0</v>
      </c>
      <c r="T952" s="5" t="n">
        <v>0</v>
      </c>
      <c r="U952" s="5" t="inlineStr">
        <is>
          <t>training</t>
        </is>
      </c>
      <c r="V952" s="5" t="n">
        <v>0</v>
      </c>
    </row>
    <row r="953">
      <c r="A953" s="5" t="n">
        <v>949</v>
      </c>
      <c r="B953" s="5" t="n">
        <v>1</v>
      </c>
      <c r="C953" s="6" t="n">
        <v>-0.2301473069597001</v>
      </c>
      <c r="D953" s="6" t="n">
        <v>-0.601009263010766</v>
      </c>
      <c r="E953" s="6" t="n">
        <v>0.648818734407137</v>
      </c>
      <c r="F953" s="6" t="n">
        <v>0.9185437189662378</v>
      </c>
      <c r="G953" s="5" t="n">
        <v>0</v>
      </c>
      <c r="H953" s="5" t="n">
        <v>0</v>
      </c>
      <c r="I953" s="5" t="n">
        <v>0</v>
      </c>
      <c r="J953" s="5" t="n">
        <v>0</v>
      </c>
      <c r="K953" s="5" t="n">
        <v>0</v>
      </c>
      <c r="L953" s="5" t="n">
        <v>0</v>
      </c>
      <c r="M953" s="5" t="n">
        <v>0</v>
      </c>
      <c r="N953" s="5" t="n">
        <v>0</v>
      </c>
      <c r="O953" s="5" t="n">
        <v>0</v>
      </c>
      <c r="P953" s="5" t="n">
        <v>0</v>
      </c>
      <c r="Q953" s="5" t="n">
        <v>0</v>
      </c>
      <c r="R953" s="5" t="n">
        <v>0</v>
      </c>
      <c r="S953" s="5" t="n">
        <v>0</v>
      </c>
      <c r="T953" s="5" t="n">
        <v>1</v>
      </c>
      <c r="U953" s="5" t="inlineStr">
        <is>
          <t>testing</t>
        </is>
      </c>
      <c r="V953" s="5" t="n">
        <v>0</v>
      </c>
    </row>
    <row r="954">
      <c r="A954" s="5" t="n">
        <v>950</v>
      </c>
      <c r="B954" s="5" t="n">
        <v>1</v>
      </c>
      <c r="C954" s="6" t="n">
        <v>0.275406400796963</v>
      </c>
      <c r="D954" s="6" t="n">
        <v>0.1295667818205035</v>
      </c>
      <c r="E954" s="6" t="n">
        <v>-0.3948575139689546</v>
      </c>
      <c r="F954" s="6" t="n">
        <v>-0.8850484360866833</v>
      </c>
      <c r="G954" s="5" t="n">
        <v>0</v>
      </c>
      <c r="H954" s="5" t="n">
        <v>0</v>
      </c>
      <c r="I954" s="5" t="n">
        <v>0</v>
      </c>
      <c r="J954" s="5" t="n">
        <v>0</v>
      </c>
      <c r="K954" s="5" t="n">
        <v>0</v>
      </c>
      <c r="L954" s="5" t="n">
        <v>0</v>
      </c>
      <c r="M954" s="5" t="n">
        <v>1</v>
      </c>
      <c r="N954" s="5" t="n">
        <v>0</v>
      </c>
      <c r="O954" s="5" t="n">
        <v>0</v>
      </c>
      <c r="P954" s="5" t="n">
        <v>0</v>
      </c>
      <c r="Q954" s="5" t="n">
        <v>0</v>
      </c>
      <c r="R954" s="5" t="n">
        <v>0</v>
      </c>
      <c r="S954" s="5" t="n">
        <v>1</v>
      </c>
      <c r="T954" s="5" t="n">
        <v>0</v>
      </c>
      <c r="U954" s="5" t="inlineStr">
        <is>
          <t>training</t>
        </is>
      </c>
      <c r="V954" s="5" t="n">
        <v>1</v>
      </c>
    </row>
    <row r="955">
      <c r="A955" s="5" t="n">
        <v>951</v>
      </c>
      <c r="B955" s="5" t="n">
        <v>0</v>
      </c>
      <c r="C955" s="6" t="n">
        <v>-0.2301473069597001</v>
      </c>
      <c r="D955" s="6" t="n">
        <v>0.1187201068254033</v>
      </c>
      <c r="E955" s="6" t="n">
        <v>0.3878996723131141</v>
      </c>
      <c r="F955" s="6" t="n">
        <v>0.01674764143977723</v>
      </c>
      <c r="G955" s="5" t="n">
        <v>0</v>
      </c>
      <c r="H955" s="5" t="n">
        <v>1</v>
      </c>
      <c r="I955" s="5" t="n">
        <v>0</v>
      </c>
      <c r="J955" s="5" t="n">
        <v>1</v>
      </c>
      <c r="K955" s="5" t="n">
        <v>0</v>
      </c>
      <c r="L955" s="5" t="n">
        <v>0</v>
      </c>
      <c r="M955" s="5" t="n">
        <v>0</v>
      </c>
      <c r="N955" s="5" t="n">
        <v>0</v>
      </c>
      <c r="O955" s="5" t="n">
        <v>0</v>
      </c>
      <c r="P955" s="5" t="n">
        <v>0</v>
      </c>
      <c r="Q955" s="5" t="n">
        <v>0</v>
      </c>
      <c r="R955" s="5" t="n">
        <v>0</v>
      </c>
      <c r="S955" s="5" t="n">
        <v>0</v>
      </c>
      <c r="T955" s="5" t="n">
        <v>0</v>
      </c>
      <c r="U955" s="5" t="inlineStr">
        <is>
          <t>training</t>
        </is>
      </c>
      <c r="V955" s="5" t="n">
        <v>1</v>
      </c>
    </row>
    <row r="956">
      <c r="A956" s="5" t="n">
        <v>952</v>
      </c>
      <c r="B956" s="5" t="n">
        <v>1</v>
      </c>
      <c r="C956" s="6" t="n">
        <v>1.286513816310289</v>
      </c>
      <c r="D956" s="6" t="n">
        <v>-0.3868749050429801</v>
      </c>
      <c r="E956" s="6" t="n">
        <v>-1.003668658855008</v>
      </c>
      <c r="F956" s="6" t="n">
        <v>-0.8850484360866833</v>
      </c>
      <c r="G956" s="5" t="n">
        <v>1</v>
      </c>
      <c r="H956" s="5" t="n">
        <v>0</v>
      </c>
      <c r="I956" s="5" t="n">
        <v>0</v>
      </c>
      <c r="J956" s="5" t="n">
        <v>0</v>
      </c>
      <c r="K956" s="5" t="n">
        <v>1</v>
      </c>
      <c r="L956" s="5" t="n">
        <v>0</v>
      </c>
      <c r="M956" s="5" t="n">
        <v>0</v>
      </c>
      <c r="N956" s="5" t="n">
        <v>0</v>
      </c>
      <c r="O956" s="5" t="n">
        <v>0</v>
      </c>
      <c r="P956" s="5" t="n">
        <v>0</v>
      </c>
      <c r="Q956" s="5" t="n">
        <v>0</v>
      </c>
      <c r="R956" s="5" t="n">
        <v>0</v>
      </c>
      <c r="S956" s="5" t="n">
        <v>0</v>
      </c>
      <c r="T956" s="5" t="n">
        <v>0</v>
      </c>
      <c r="U956" s="5" t="inlineStr">
        <is>
          <t>training</t>
        </is>
      </c>
      <c r="V956" s="5" t="n">
        <v>1</v>
      </c>
    </row>
    <row r="957">
      <c r="A957" s="5" t="n">
        <v>953</v>
      </c>
      <c r="B957" s="5" t="n">
        <v>1</v>
      </c>
      <c r="C957" s="6" t="n">
        <v>0.275406400796963</v>
      </c>
      <c r="D957" s="6" t="n">
        <v>0.3017140107749981</v>
      </c>
      <c r="E957" s="6" t="n">
        <v>-0.6557765760629775</v>
      </c>
      <c r="F957" s="6" t="n">
        <v>0.01674764143977723</v>
      </c>
      <c r="G957" s="5" t="n">
        <v>0</v>
      </c>
      <c r="H957" s="5" t="n">
        <v>1</v>
      </c>
      <c r="I957" s="5" t="n">
        <v>0</v>
      </c>
      <c r="J957" s="5" t="n">
        <v>0</v>
      </c>
      <c r="K957" s="5" t="n">
        <v>0</v>
      </c>
      <c r="L957" s="5" t="n">
        <v>0</v>
      </c>
      <c r="M957" s="5" t="n">
        <v>1</v>
      </c>
      <c r="N957" s="5" t="n">
        <v>0</v>
      </c>
      <c r="O957" s="5" t="n">
        <v>0</v>
      </c>
      <c r="P957" s="5" t="n">
        <v>1</v>
      </c>
      <c r="Q957" s="5" t="n">
        <v>0</v>
      </c>
      <c r="R957" s="5" t="n">
        <v>1</v>
      </c>
      <c r="S957" s="5" t="n">
        <v>0</v>
      </c>
      <c r="T957" s="5" t="n">
        <v>0</v>
      </c>
      <c r="U957" s="5" t="inlineStr">
        <is>
          <t>training</t>
        </is>
      </c>
      <c r="V957" s="5" t="n">
        <v>1</v>
      </c>
    </row>
    <row r="958">
      <c r="A958" s="5" t="n">
        <v>954</v>
      </c>
      <c r="B958" s="5" t="n">
        <v>1</v>
      </c>
      <c r="C958" s="6" t="n">
        <v>1.286513816310289</v>
      </c>
      <c r="D958" s="6" t="n">
        <v>2.702328112109931</v>
      </c>
      <c r="E958" s="6" t="n">
        <v>-0.8297226174589928</v>
      </c>
      <c r="F958" s="6" t="n">
        <v>0.9185437189662378</v>
      </c>
      <c r="G958" s="5" t="n">
        <v>0</v>
      </c>
      <c r="H958" s="5" t="n">
        <v>0</v>
      </c>
      <c r="I958" s="5" t="n">
        <v>0</v>
      </c>
      <c r="J958" s="5" t="n">
        <v>0</v>
      </c>
      <c r="K958" s="5" t="n">
        <v>0</v>
      </c>
      <c r="L958" s="5" t="n">
        <v>0</v>
      </c>
      <c r="M958" s="5" t="n">
        <v>0</v>
      </c>
      <c r="N958" s="5" t="n">
        <v>0</v>
      </c>
      <c r="O958" s="5" t="n">
        <v>0</v>
      </c>
      <c r="P958" s="5" t="n">
        <v>0</v>
      </c>
      <c r="Q958" s="5" t="n">
        <v>0</v>
      </c>
      <c r="R958" s="5" t="n">
        <v>0</v>
      </c>
      <c r="S958" s="5" t="n">
        <v>0</v>
      </c>
      <c r="T958" s="5" t="n">
        <v>1</v>
      </c>
      <c r="U958" s="5" t="inlineStr">
        <is>
          <t>testing</t>
        </is>
      </c>
      <c r="V958" s="5" t="n">
        <v>0</v>
      </c>
    </row>
    <row r="959">
      <c r="A959" s="5" t="n">
        <v>955</v>
      </c>
      <c r="B959" s="5" t="n">
        <v>0</v>
      </c>
      <c r="C959" s="6" t="n">
        <v>-0.7357010147163632</v>
      </c>
      <c r="D959" s="6" t="n">
        <v>-0.4750478759708919</v>
      </c>
      <c r="E959" s="6" t="n">
        <v>-0.5688035553649698</v>
      </c>
      <c r="F959" s="6" t="n">
        <v>0.9185437189662378</v>
      </c>
      <c r="G959" s="5" t="n">
        <v>1</v>
      </c>
      <c r="H959" s="5" t="n">
        <v>0</v>
      </c>
      <c r="I959" s="5" t="n">
        <v>0</v>
      </c>
      <c r="J959" s="5" t="n">
        <v>0</v>
      </c>
      <c r="K959" s="5" t="n">
        <v>0</v>
      </c>
      <c r="L959" s="5" t="n">
        <v>0</v>
      </c>
      <c r="M959" s="5" t="n">
        <v>0</v>
      </c>
      <c r="N959" s="5" t="n">
        <v>0</v>
      </c>
      <c r="O959" s="5" t="n">
        <v>0</v>
      </c>
      <c r="P959" s="5" t="n">
        <v>0</v>
      </c>
      <c r="Q959" s="5" t="n">
        <v>0</v>
      </c>
      <c r="R959" s="5" t="n">
        <v>1</v>
      </c>
      <c r="S959" s="5" t="n">
        <v>0</v>
      </c>
      <c r="T959" s="5" t="n">
        <v>0</v>
      </c>
      <c r="U959" s="5" t="inlineStr">
        <is>
          <t>testing</t>
        </is>
      </c>
      <c r="V959" s="5" t="n">
        <v>0</v>
      </c>
    </row>
    <row r="960">
      <c r="A960" s="5" t="n">
        <v>956</v>
      </c>
      <c r="B960" s="5" t="n">
        <v>0</v>
      </c>
      <c r="C960" s="6" t="n">
        <v>0.275406400796963</v>
      </c>
      <c r="D960" s="6" t="n">
        <v>-0.7066768710275493</v>
      </c>
      <c r="E960" s="6" t="n">
        <v>1.866441024179244</v>
      </c>
      <c r="F960" s="6" t="n">
        <v>0.9185437189662378</v>
      </c>
      <c r="G960" s="5" t="n">
        <v>1</v>
      </c>
      <c r="H960" s="5" t="n">
        <v>0</v>
      </c>
      <c r="I960" s="5" t="n">
        <v>0</v>
      </c>
      <c r="J960" s="5" t="n">
        <v>1</v>
      </c>
      <c r="K960" s="5" t="n">
        <v>0</v>
      </c>
      <c r="L960" s="5" t="n">
        <v>0</v>
      </c>
      <c r="M960" s="5" t="n">
        <v>0</v>
      </c>
      <c r="N960" s="5" t="n">
        <v>1</v>
      </c>
      <c r="O960" s="5" t="n">
        <v>0</v>
      </c>
      <c r="P960" s="5" t="n">
        <v>1</v>
      </c>
      <c r="Q960" s="5" t="n">
        <v>0</v>
      </c>
      <c r="R960" s="5" t="n">
        <v>0</v>
      </c>
      <c r="S960" s="5" t="n">
        <v>1</v>
      </c>
      <c r="T960" s="5" t="n">
        <v>0</v>
      </c>
      <c r="U960" s="5" t="inlineStr">
        <is>
          <t>training</t>
        </is>
      </c>
      <c r="V960" s="5" t="n">
        <v>0</v>
      </c>
    </row>
    <row r="961">
      <c r="A961" s="5" t="n">
        <v>957</v>
      </c>
      <c r="B961" s="5" t="n">
        <v>0</v>
      </c>
      <c r="C961" s="6" t="n">
        <v>0.7809601085536261</v>
      </c>
      <c r="D961" s="6" t="n">
        <v>0.1418130277827135</v>
      </c>
      <c r="E961" s="6" t="n">
        <v>1.170656858595183</v>
      </c>
      <c r="F961" s="6" t="n">
        <v>0.9185437189662378</v>
      </c>
      <c r="G961" s="5" t="n">
        <v>0</v>
      </c>
      <c r="H961" s="5" t="n">
        <v>0</v>
      </c>
      <c r="I961" s="5" t="n">
        <v>1</v>
      </c>
      <c r="J961" s="5" t="n">
        <v>1</v>
      </c>
      <c r="K961" s="5" t="n">
        <v>0</v>
      </c>
      <c r="L961" s="5" t="n">
        <v>0</v>
      </c>
      <c r="M961" s="5" t="n">
        <v>0</v>
      </c>
      <c r="N961" s="5" t="n">
        <v>0</v>
      </c>
      <c r="O961" s="5" t="n">
        <v>1</v>
      </c>
      <c r="P961" s="5" t="n">
        <v>0</v>
      </c>
      <c r="Q961" s="5" t="n">
        <v>0</v>
      </c>
      <c r="R961" s="5" t="n">
        <v>0</v>
      </c>
      <c r="S961" s="5" t="n">
        <v>1</v>
      </c>
      <c r="T961" s="5" t="n">
        <v>0</v>
      </c>
      <c r="U961" s="5" t="inlineStr">
        <is>
          <t>training</t>
        </is>
      </c>
      <c r="V961" s="5" t="n">
        <v>1</v>
      </c>
    </row>
    <row r="962">
      <c r="A962" s="5" t="n">
        <v>958</v>
      </c>
      <c r="B962" s="5" t="n">
        <v>0</v>
      </c>
      <c r="C962" s="6" t="n">
        <v>-0.9884778685946948</v>
      </c>
      <c r="D962" s="6" t="n">
        <v>-0.7336186121444112</v>
      </c>
      <c r="E962" s="6" t="n">
        <v>0.1269806102190912</v>
      </c>
      <c r="F962" s="6" t="n">
        <v>-0.8850484360866833</v>
      </c>
      <c r="G962" s="5" t="n">
        <v>0</v>
      </c>
      <c r="H962" s="5" t="n">
        <v>1</v>
      </c>
      <c r="I962" s="5" t="n">
        <v>0</v>
      </c>
      <c r="J962" s="5" t="n">
        <v>1</v>
      </c>
      <c r="K962" s="5" t="n">
        <v>0</v>
      </c>
      <c r="L962" s="5" t="n">
        <v>0</v>
      </c>
      <c r="M962" s="5" t="n">
        <v>0</v>
      </c>
      <c r="N962" s="5" t="n">
        <v>0</v>
      </c>
      <c r="O962" s="5" t="n">
        <v>0</v>
      </c>
      <c r="P962" s="5" t="n">
        <v>0</v>
      </c>
      <c r="Q962" s="5" t="n">
        <v>0</v>
      </c>
      <c r="R962" s="5" t="n">
        <v>0</v>
      </c>
      <c r="S962" s="5" t="n">
        <v>1</v>
      </c>
      <c r="T962" s="5" t="n">
        <v>0</v>
      </c>
      <c r="U962" s="5" t="inlineStr">
        <is>
          <t>training</t>
        </is>
      </c>
      <c r="V962" s="5" t="n">
        <v>1</v>
      </c>
    </row>
    <row r="963">
      <c r="A963" s="5" t="n">
        <v>959</v>
      </c>
      <c r="B963" s="5" t="n">
        <v>1</v>
      </c>
      <c r="C963" s="6" t="n">
        <v>0.6124422059680718</v>
      </c>
      <c r="D963" s="6" t="n">
        <v>0.2642754874048133</v>
      </c>
      <c r="E963" s="6" t="n">
        <v>0.8227647758031523</v>
      </c>
      <c r="F963" s="6" t="n">
        <v>0.01674764143977723</v>
      </c>
      <c r="G963" s="5" t="n">
        <v>1</v>
      </c>
      <c r="H963" s="5" t="n">
        <v>0</v>
      </c>
      <c r="I963" s="5" t="n">
        <v>0</v>
      </c>
      <c r="J963" s="5" t="n">
        <v>0</v>
      </c>
      <c r="K963" s="5" t="n">
        <v>0</v>
      </c>
      <c r="L963" s="5" t="n">
        <v>0</v>
      </c>
      <c r="M963" s="5" t="n">
        <v>0</v>
      </c>
      <c r="N963" s="5" t="n">
        <v>0</v>
      </c>
      <c r="O963" s="5" t="n">
        <v>0</v>
      </c>
      <c r="P963" s="5" t="n">
        <v>0</v>
      </c>
      <c r="Q963" s="5" t="n">
        <v>0</v>
      </c>
      <c r="R963" s="5" t="n">
        <v>1</v>
      </c>
      <c r="S963" s="5" t="n">
        <v>0</v>
      </c>
      <c r="T963" s="5" t="n">
        <v>0</v>
      </c>
      <c r="U963" s="5" t="inlineStr">
        <is>
          <t>training</t>
        </is>
      </c>
      <c r="V963" s="5" t="n">
        <v>1</v>
      </c>
    </row>
    <row r="964">
      <c r="A964" s="5" t="n">
        <v>960</v>
      </c>
      <c r="B964" s="5" t="n">
        <v>0</v>
      </c>
      <c r="C964" s="6" t="n">
        <v>0.275406400796963</v>
      </c>
      <c r="D964" s="6" t="n">
        <v>-0.06357401164063668</v>
      </c>
      <c r="E964" s="6" t="n">
        <v>-0.4818305346669622</v>
      </c>
      <c r="F964" s="6" t="n">
        <v>0.9185437189662378</v>
      </c>
      <c r="G964" s="5" t="n">
        <v>0</v>
      </c>
      <c r="H964" s="5" t="n">
        <v>1</v>
      </c>
      <c r="I964" s="5" t="n">
        <v>0</v>
      </c>
      <c r="J964" s="5" t="n">
        <v>0</v>
      </c>
      <c r="K964" s="5" t="n">
        <v>0</v>
      </c>
      <c r="L964" s="5" t="n">
        <v>0</v>
      </c>
      <c r="M964" s="5" t="n">
        <v>1</v>
      </c>
      <c r="N964" s="5" t="n">
        <v>0</v>
      </c>
      <c r="O964" s="5" t="n">
        <v>0</v>
      </c>
      <c r="P964" s="5" t="n">
        <v>0</v>
      </c>
      <c r="Q964" s="5" t="n">
        <v>1</v>
      </c>
      <c r="R964" s="5" t="n">
        <v>0</v>
      </c>
      <c r="S964" s="5" t="n">
        <v>0</v>
      </c>
      <c r="T964" s="5" t="n">
        <v>1</v>
      </c>
      <c r="U964" s="5" t="inlineStr">
        <is>
          <t>training</t>
        </is>
      </c>
      <c r="V964" s="5" t="n">
        <v>0</v>
      </c>
    </row>
    <row r="965">
      <c r="A965" s="5" t="n">
        <v>961</v>
      </c>
      <c r="B965" s="5" t="n">
        <v>0</v>
      </c>
      <c r="C965" s="6" t="n">
        <v>-1.241254722473026</v>
      </c>
      <c r="D965" s="6" t="n">
        <v>-0.5285814654628385</v>
      </c>
      <c r="E965" s="6" t="n">
        <v>-0.4818305346669622</v>
      </c>
      <c r="F965" s="6" t="n">
        <v>-0.8850484360866833</v>
      </c>
      <c r="G965" s="5" t="n">
        <v>0</v>
      </c>
      <c r="H965" s="5" t="n">
        <v>0</v>
      </c>
      <c r="I965" s="5" t="n">
        <v>0</v>
      </c>
      <c r="J965" s="5" t="n">
        <v>1</v>
      </c>
      <c r="K965" s="5" t="n">
        <v>0</v>
      </c>
      <c r="L965" s="5" t="n">
        <v>0</v>
      </c>
      <c r="M965" s="5" t="n">
        <v>0</v>
      </c>
      <c r="N965" s="5" t="n">
        <v>0</v>
      </c>
      <c r="O965" s="5" t="n">
        <v>0</v>
      </c>
      <c r="P965" s="5" t="n">
        <v>1</v>
      </c>
      <c r="Q965" s="5" t="n">
        <v>0</v>
      </c>
      <c r="R965" s="5" t="n">
        <v>0</v>
      </c>
      <c r="S965" s="5" t="n">
        <v>1</v>
      </c>
      <c r="T965" s="5" t="n">
        <v>0</v>
      </c>
      <c r="U965" s="5" t="inlineStr">
        <is>
          <t>training</t>
        </is>
      </c>
      <c r="V965" s="5" t="n">
        <v>0</v>
      </c>
    </row>
    <row r="966">
      <c r="A966" s="5" t="n">
        <v>962</v>
      </c>
      <c r="B966" s="5" t="n">
        <v>0</v>
      </c>
      <c r="C966" s="6" t="n">
        <v>0.02262954691863145</v>
      </c>
      <c r="D966" s="6" t="n">
        <v>-0.3140972147532751</v>
      </c>
      <c r="E966" s="6" t="n">
        <v>0.9967108171991675</v>
      </c>
      <c r="F966" s="6" t="n">
        <v>-1.786844513613144</v>
      </c>
      <c r="G966" s="5" t="n">
        <v>0</v>
      </c>
      <c r="H966" s="5" t="n">
        <v>1</v>
      </c>
      <c r="I966" s="5" t="n">
        <v>0</v>
      </c>
      <c r="J966" s="5" t="n">
        <v>0</v>
      </c>
      <c r="K966" s="5" t="n">
        <v>1</v>
      </c>
      <c r="L966" s="5" t="n">
        <v>0</v>
      </c>
      <c r="M966" s="5" t="n">
        <v>0</v>
      </c>
      <c r="N966" s="5" t="n">
        <v>0</v>
      </c>
      <c r="O966" s="5" t="n">
        <v>0</v>
      </c>
      <c r="P966" s="5" t="n">
        <v>0</v>
      </c>
      <c r="Q966" s="5" t="n">
        <v>0</v>
      </c>
      <c r="R966" s="5" t="n">
        <v>1</v>
      </c>
      <c r="S966" s="5" t="n">
        <v>0</v>
      </c>
      <c r="T966" s="5" t="n">
        <v>0</v>
      </c>
      <c r="U966" s="5" t="inlineStr">
        <is>
          <t>training</t>
        </is>
      </c>
      <c r="V966" s="5" t="n">
        <v>0</v>
      </c>
    </row>
    <row r="967">
      <c r="A967" s="5" t="n">
        <v>963</v>
      </c>
      <c r="B967" s="5" t="n">
        <v>0</v>
      </c>
      <c r="C967" s="6" t="n">
        <v>-0.4829241608380317</v>
      </c>
      <c r="D967" s="6" t="n">
        <v>0.1068237536049707</v>
      </c>
      <c r="E967" s="6" t="n">
        <v>-0.5688035553649698</v>
      </c>
      <c r="F967" s="6" t="n">
        <v>0.01674764143977723</v>
      </c>
      <c r="G967" s="5" t="n">
        <v>0</v>
      </c>
      <c r="H967" s="5" t="n">
        <v>0</v>
      </c>
      <c r="I967" s="5" t="n">
        <v>0</v>
      </c>
      <c r="J967" s="5" t="n">
        <v>0</v>
      </c>
      <c r="K967" s="5" t="n">
        <v>0</v>
      </c>
      <c r="L967" s="5" t="n">
        <v>0</v>
      </c>
      <c r="M967" s="5" t="n">
        <v>0</v>
      </c>
      <c r="N967" s="5" t="n">
        <v>0</v>
      </c>
      <c r="O967" s="5" t="n">
        <v>1</v>
      </c>
      <c r="P967" s="5" t="n">
        <v>0</v>
      </c>
      <c r="Q967" s="5" t="n">
        <v>0</v>
      </c>
      <c r="R967" s="5" t="n">
        <v>1</v>
      </c>
      <c r="S967" s="5" t="n">
        <v>0</v>
      </c>
      <c r="T967" s="5" t="n">
        <v>0</v>
      </c>
      <c r="U967" s="5" t="inlineStr">
        <is>
          <t>training</t>
        </is>
      </c>
      <c r="V967" s="5" t="n">
        <v>0</v>
      </c>
    </row>
    <row r="968">
      <c r="A968" s="5" t="n">
        <v>964</v>
      </c>
      <c r="B968" s="5" t="n">
        <v>1</v>
      </c>
      <c r="C968" s="6" t="n">
        <v>0.275406400796963</v>
      </c>
      <c r="D968" s="6" t="n">
        <v>-0.2987019341150682</v>
      </c>
      <c r="E968" s="6" t="n">
        <v>-0.04696543117692405</v>
      </c>
      <c r="F968" s="6" t="n">
        <v>0.01674764143977723</v>
      </c>
      <c r="G968" s="5" t="n">
        <v>0</v>
      </c>
      <c r="H968" s="5" t="n">
        <v>0</v>
      </c>
      <c r="I968" s="5" t="n">
        <v>0</v>
      </c>
      <c r="J968" s="5" t="n">
        <v>0</v>
      </c>
      <c r="K968" s="5" t="n">
        <v>0</v>
      </c>
      <c r="L968" s="5" t="n">
        <v>0</v>
      </c>
      <c r="M968" s="5" t="n">
        <v>1</v>
      </c>
      <c r="N968" s="5" t="n">
        <v>0</v>
      </c>
      <c r="O968" s="5" t="n">
        <v>0</v>
      </c>
      <c r="P968" s="5" t="n">
        <v>0</v>
      </c>
      <c r="Q968" s="5" t="n">
        <v>0</v>
      </c>
      <c r="R968" s="5" t="n">
        <v>0</v>
      </c>
      <c r="S968" s="5" t="n">
        <v>1</v>
      </c>
      <c r="T968" s="5" t="n">
        <v>0</v>
      </c>
      <c r="U968" s="5" t="inlineStr">
        <is>
          <t>training</t>
        </is>
      </c>
      <c r="V968" s="5" t="n">
        <v>1</v>
      </c>
    </row>
    <row r="969">
      <c r="A969" s="5" t="n">
        <v>965</v>
      </c>
      <c r="B969" s="5" t="n">
        <v>0</v>
      </c>
      <c r="C969" s="6" t="n">
        <v>-1.241254722473026</v>
      </c>
      <c r="D969" s="6" t="n">
        <v>-0.9785435313886107</v>
      </c>
      <c r="E969" s="6" t="n">
        <v>-1.177614700251023</v>
      </c>
      <c r="F969" s="6" t="n">
        <v>0.01674764143977723</v>
      </c>
      <c r="G969" s="5" t="n">
        <v>0</v>
      </c>
      <c r="H969" s="5" t="n">
        <v>1</v>
      </c>
      <c r="I969" s="5" t="n">
        <v>0</v>
      </c>
      <c r="J969" s="5" t="n">
        <v>0</v>
      </c>
      <c r="K969" s="5" t="n">
        <v>0</v>
      </c>
      <c r="L969" s="5" t="n">
        <v>0</v>
      </c>
      <c r="M969" s="5" t="n">
        <v>0</v>
      </c>
      <c r="N969" s="5" t="n">
        <v>0</v>
      </c>
      <c r="O969" s="5" t="n">
        <v>0</v>
      </c>
      <c r="P969" s="5" t="n">
        <v>0</v>
      </c>
      <c r="Q969" s="5" t="n">
        <v>0</v>
      </c>
      <c r="R969" s="5" t="n">
        <v>0</v>
      </c>
      <c r="S969" s="5" t="n">
        <v>0</v>
      </c>
      <c r="T969" s="5" t="n">
        <v>0</v>
      </c>
      <c r="U969" s="5" t="inlineStr">
        <is>
          <t>testing</t>
        </is>
      </c>
      <c r="V969" s="5" t="n">
        <v>0</v>
      </c>
    </row>
    <row r="970">
      <c r="A970" s="5" t="n">
        <v>966</v>
      </c>
      <c r="B970" s="5" t="n">
        <v>0</v>
      </c>
      <c r="C970" s="6" t="n">
        <v>0.7809601085536261</v>
      </c>
      <c r="D970" s="6" t="n">
        <v>-0.5373287840072741</v>
      </c>
      <c r="E970" s="6" t="n">
        <v>-0.8297226174589928</v>
      </c>
      <c r="F970" s="6" t="n">
        <v>0.9185437189662378</v>
      </c>
      <c r="G970" s="5" t="n">
        <v>0</v>
      </c>
      <c r="H970" s="5" t="n">
        <v>1</v>
      </c>
      <c r="I970" s="5" t="n">
        <v>0</v>
      </c>
      <c r="J970" s="5" t="n">
        <v>0</v>
      </c>
      <c r="K970" s="5" t="n">
        <v>0</v>
      </c>
      <c r="L970" s="5" t="n">
        <v>0</v>
      </c>
      <c r="M970" s="5" t="n">
        <v>0</v>
      </c>
      <c r="N970" s="5" t="n">
        <v>0</v>
      </c>
      <c r="O970" s="5" t="n">
        <v>1</v>
      </c>
      <c r="P970" s="5" t="n">
        <v>0</v>
      </c>
      <c r="Q970" s="5" t="n">
        <v>0</v>
      </c>
      <c r="R970" s="5" t="n">
        <v>0</v>
      </c>
      <c r="S970" s="5" t="n">
        <v>1</v>
      </c>
      <c r="T970" s="5" t="n">
        <v>0</v>
      </c>
      <c r="U970" s="5" t="inlineStr">
        <is>
          <t>testing</t>
        </is>
      </c>
      <c r="V970" s="5" t="n">
        <v>0</v>
      </c>
    </row>
    <row r="971">
      <c r="A971" s="5" t="n">
        <v>967</v>
      </c>
      <c r="B971" s="5" t="n">
        <v>1</v>
      </c>
      <c r="C971" s="6" t="n">
        <v>0.5281832546752946</v>
      </c>
      <c r="D971" s="6" t="n">
        <v>-0.2556651268764446</v>
      </c>
      <c r="E971" s="6" t="n">
        <v>-1.090641679553016</v>
      </c>
      <c r="F971" s="6" t="n">
        <v>0.9185437189662378</v>
      </c>
      <c r="G971" s="5" t="n">
        <v>0</v>
      </c>
      <c r="H971" s="5" t="n">
        <v>1</v>
      </c>
      <c r="I971" s="5" t="n">
        <v>0</v>
      </c>
      <c r="J971" s="5" t="n">
        <v>1</v>
      </c>
      <c r="K971" s="5" t="n">
        <v>0</v>
      </c>
      <c r="L971" s="5" t="n">
        <v>0</v>
      </c>
      <c r="M971" s="5" t="n">
        <v>1</v>
      </c>
      <c r="N971" s="5" t="n">
        <v>0</v>
      </c>
      <c r="O971" s="5" t="n">
        <v>0</v>
      </c>
      <c r="P971" s="5" t="n">
        <v>0</v>
      </c>
      <c r="Q971" s="5" t="n">
        <v>0</v>
      </c>
      <c r="R971" s="5" t="n">
        <v>0</v>
      </c>
      <c r="S971" s="5" t="n">
        <v>1</v>
      </c>
      <c r="T971" s="5" t="n">
        <v>0</v>
      </c>
      <c r="U971" s="5" t="inlineStr">
        <is>
          <t>training</t>
        </is>
      </c>
      <c r="V971" s="5" t="n">
        <v>1</v>
      </c>
    </row>
    <row r="972">
      <c r="A972" s="5" t="n">
        <v>968</v>
      </c>
      <c r="B972" s="5" t="n">
        <v>0</v>
      </c>
      <c r="C972" s="6" t="n">
        <v>-0.4829241608380317</v>
      </c>
      <c r="D972" s="6" t="n">
        <v>0.1110224665062999</v>
      </c>
      <c r="E972" s="6" t="n">
        <v>1.605521962085221</v>
      </c>
      <c r="F972" s="6" t="n">
        <v>0.9185437189662378</v>
      </c>
      <c r="G972" s="5" t="n">
        <v>0</v>
      </c>
      <c r="H972" s="5" t="n">
        <v>0</v>
      </c>
      <c r="I972" s="5" t="n">
        <v>0</v>
      </c>
      <c r="J972" s="5" t="n">
        <v>0</v>
      </c>
      <c r="K972" s="5" t="n">
        <v>0</v>
      </c>
      <c r="L972" s="5" t="n">
        <v>0</v>
      </c>
      <c r="M972" s="5" t="n">
        <v>0</v>
      </c>
      <c r="N972" s="5" t="n">
        <v>0</v>
      </c>
      <c r="O972" s="5" t="n">
        <v>0</v>
      </c>
      <c r="P972" s="5" t="n">
        <v>1</v>
      </c>
      <c r="Q972" s="5" t="n">
        <v>0</v>
      </c>
      <c r="R972" s="5" t="n">
        <v>0</v>
      </c>
      <c r="S972" s="5" t="n">
        <v>1</v>
      </c>
      <c r="T972" s="5" t="n">
        <v>0</v>
      </c>
      <c r="U972" s="5" t="inlineStr">
        <is>
          <t>testing</t>
        </is>
      </c>
      <c r="V972" s="5" t="n">
        <v>0</v>
      </c>
    </row>
    <row r="973">
      <c r="A973" s="5" t="n">
        <v>969</v>
      </c>
      <c r="B973" s="5" t="n">
        <v>0</v>
      </c>
      <c r="C973" s="6" t="n">
        <v>1.792067524066952</v>
      </c>
      <c r="D973" s="6" t="n">
        <v>1.369936551421486</v>
      </c>
      <c r="E973" s="6" t="n">
        <v>-0.5688035553649698</v>
      </c>
      <c r="F973" s="6" t="n">
        <v>-0.8850484360866833</v>
      </c>
      <c r="G973" s="5" t="n">
        <v>0</v>
      </c>
      <c r="H973" s="5" t="n">
        <v>0</v>
      </c>
      <c r="I973" s="5" t="n">
        <v>0</v>
      </c>
      <c r="J973" s="5" t="n">
        <v>0</v>
      </c>
      <c r="K973" s="5" t="n">
        <v>0</v>
      </c>
      <c r="L973" s="5" t="n">
        <v>0</v>
      </c>
      <c r="M973" s="5" t="n">
        <v>0</v>
      </c>
      <c r="N973" s="5" t="n">
        <v>0</v>
      </c>
      <c r="O973" s="5" t="n">
        <v>1</v>
      </c>
      <c r="P973" s="5" t="n">
        <v>1</v>
      </c>
      <c r="Q973" s="5" t="n">
        <v>0</v>
      </c>
      <c r="R973" s="5" t="n">
        <v>0</v>
      </c>
      <c r="S973" s="5" t="n">
        <v>1</v>
      </c>
      <c r="T973" s="5" t="n">
        <v>0</v>
      </c>
      <c r="U973" s="5" t="inlineStr">
        <is>
          <t>training</t>
        </is>
      </c>
      <c r="V973" s="5" t="n">
        <v>1</v>
      </c>
    </row>
    <row r="974">
      <c r="A974" s="5" t="n">
        <v>970</v>
      </c>
      <c r="B974" s="5" t="n">
        <v>0</v>
      </c>
      <c r="C974" s="6" t="n">
        <v>-0.8199599660091405</v>
      </c>
      <c r="D974" s="6" t="n">
        <v>0.2408326737057256</v>
      </c>
      <c r="E974" s="6" t="n">
        <v>0.3878996723131141</v>
      </c>
      <c r="F974" s="6" t="n">
        <v>-1.786844513613144</v>
      </c>
      <c r="G974" s="5" t="n">
        <v>1</v>
      </c>
      <c r="H974" s="5" t="n">
        <v>0</v>
      </c>
      <c r="I974" s="5" t="n">
        <v>0</v>
      </c>
      <c r="J974" s="5" t="n">
        <v>1</v>
      </c>
      <c r="K974" s="5" t="n">
        <v>0</v>
      </c>
      <c r="L974" s="5" t="n">
        <v>0</v>
      </c>
      <c r="M974" s="5" t="n">
        <v>0</v>
      </c>
      <c r="N974" s="5" t="n">
        <v>0</v>
      </c>
      <c r="O974" s="5" t="n">
        <v>0</v>
      </c>
      <c r="P974" s="5" t="n">
        <v>0</v>
      </c>
      <c r="Q974" s="5" t="n">
        <v>0</v>
      </c>
      <c r="R974" s="5" t="n">
        <v>1</v>
      </c>
      <c r="S974" s="5" t="n">
        <v>0</v>
      </c>
      <c r="T974" s="5" t="n">
        <v>0</v>
      </c>
      <c r="U974" s="5" t="inlineStr">
        <is>
          <t>training</t>
        </is>
      </c>
      <c r="V974" s="5" t="n">
        <v>0</v>
      </c>
    </row>
    <row r="975">
      <c r="A975" s="5" t="n">
        <v>971</v>
      </c>
      <c r="B975" s="5" t="n">
        <v>0</v>
      </c>
      <c r="C975" s="6" t="n">
        <v>-0.4829241608380317</v>
      </c>
      <c r="D975" s="6" t="n">
        <v>-0.6076572251045371</v>
      </c>
      <c r="E975" s="6" t="n">
        <v>-1.177614700251023</v>
      </c>
      <c r="F975" s="6" t="n">
        <v>0.9185437189662378</v>
      </c>
      <c r="G975" s="5" t="n">
        <v>0</v>
      </c>
      <c r="H975" s="5" t="n">
        <v>1</v>
      </c>
      <c r="I975" s="5" t="n">
        <v>0</v>
      </c>
      <c r="J975" s="5" t="n">
        <v>0</v>
      </c>
      <c r="K975" s="5" t="n">
        <v>0</v>
      </c>
      <c r="L975" s="5" t="n">
        <v>0</v>
      </c>
      <c r="M975" s="5" t="n">
        <v>1</v>
      </c>
      <c r="N975" s="5" t="n">
        <v>0</v>
      </c>
      <c r="O975" s="5" t="n">
        <v>0</v>
      </c>
      <c r="P975" s="5" t="n">
        <v>0</v>
      </c>
      <c r="Q975" s="5" t="n">
        <v>0</v>
      </c>
      <c r="R975" s="5" t="n">
        <v>0</v>
      </c>
      <c r="S975" s="5" t="n">
        <v>0</v>
      </c>
      <c r="T975" s="5" t="n">
        <v>0</v>
      </c>
      <c r="U975" s="5" t="inlineStr">
        <is>
          <t>training</t>
        </is>
      </c>
      <c r="V975" s="5" t="n">
        <v>0</v>
      </c>
    </row>
    <row r="976">
      <c r="A976" s="5" t="n">
        <v>972</v>
      </c>
      <c r="B976" s="5" t="n">
        <v>0</v>
      </c>
      <c r="C976" s="6" t="n">
        <v>0.275406400796963</v>
      </c>
      <c r="D976" s="6" t="n">
        <v>1.449362203804962</v>
      </c>
      <c r="E976" s="6" t="n">
        <v>0.648818734407137</v>
      </c>
      <c r="F976" s="6" t="n">
        <v>-1.786844513613144</v>
      </c>
      <c r="G976" s="5" t="n">
        <v>0</v>
      </c>
      <c r="H976" s="5" t="n">
        <v>0</v>
      </c>
      <c r="I976" s="5" t="n">
        <v>0</v>
      </c>
      <c r="J976" s="5" t="n">
        <v>0</v>
      </c>
      <c r="K976" s="5" t="n">
        <v>0</v>
      </c>
      <c r="L976" s="5" t="n">
        <v>0</v>
      </c>
      <c r="M976" s="5" t="n">
        <v>0</v>
      </c>
      <c r="N976" s="5" t="n">
        <v>0</v>
      </c>
      <c r="O976" s="5" t="n">
        <v>0</v>
      </c>
      <c r="P976" s="5" t="n">
        <v>0</v>
      </c>
      <c r="Q976" s="5" t="n">
        <v>0</v>
      </c>
      <c r="R976" s="5" t="n">
        <v>1</v>
      </c>
      <c r="S976" s="5" t="n">
        <v>0</v>
      </c>
      <c r="T976" s="5" t="n">
        <v>0</v>
      </c>
      <c r="U976" s="5" t="inlineStr">
        <is>
          <t>training</t>
        </is>
      </c>
      <c r="V976" s="5" t="n">
        <v>1</v>
      </c>
    </row>
    <row r="977">
      <c r="A977" s="5" t="n">
        <v>973</v>
      </c>
      <c r="B977" s="5" t="n">
        <v>1</v>
      </c>
      <c r="C977" s="6" t="n">
        <v>0.275406400796963</v>
      </c>
      <c r="D977" s="6" t="n">
        <v>-0.7199727952150915</v>
      </c>
      <c r="E977" s="6" t="n">
        <v>-0.5688035553649698</v>
      </c>
      <c r="F977" s="6" t="n">
        <v>-1.786844513613144</v>
      </c>
      <c r="G977" s="5" t="n">
        <v>1</v>
      </c>
      <c r="H977" s="5" t="n">
        <v>0</v>
      </c>
      <c r="I977" s="5" t="n">
        <v>0</v>
      </c>
      <c r="J977" s="5" t="n">
        <v>0</v>
      </c>
      <c r="K977" s="5" t="n">
        <v>0</v>
      </c>
      <c r="L977" s="5" t="n">
        <v>1</v>
      </c>
      <c r="M977" s="5" t="n">
        <v>0</v>
      </c>
      <c r="N977" s="5" t="n">
        <v>0</v>
      </c>
      <c r="O977" s="5" t="n">
        <v>0</v>
      </c>
      <c r="P977" s="5" t="n">
        <v>1</v>
      </c>
      <c r="Q977" s="5" t="n">
        <v>0</v>
      </c>
      <c r="R977" s="5" t="n">
        <v>1</v>
      </c>
      <c r="S977" s="5" t="n">
        <v>0</v>
      </c>
      <c r="T977" s="5" t="n">
        <v>0</v>
      </c>
      <c r="U977" s="5" t="inlineStr">
        <is>
          <t>training</t>
        </is>
      </c>
      <c r="V977" s="5" t="n">
        <v>1</v>
      </c>
    </row>
    <row r="978">
      <c r="A978" s="5" t="n">
        <v>974</v>
      </c>
      <c r="B978" s="5" t="n">
        <v>1</v>
      </c>
      <c r="C978" s="6" t="n">
        <v>3.308728647336942</v>
      </c>
      <c r="D978" s="6" t="n">
        <v>1.415772500594329</v>
      </c>
      <c r="E978" s="6" t="n">
        <v>0.04000758952108359</v>
      </c>
      <c r="F978" s="6" t="n">
        <v>0.9185437189662378</v>
      </c>
      <c r="G978" s="5" t="n">
        <v>1</v>
      </c>
      <c r="H978" s="5" t="n">
        <v>0</v>
      </c>
      <c r="I978" s="5" t="n">
        <v>0</v>
      </c>
      <c r="J978" s="5" t="n">
        <v>0</v>
      </c>
      <c r="K978" s="5" t="n">
        <v>0</v>
      </c>
      <c r="L978" s="5" t="n">
        <v>0</v>
      </c>
      <c r="M978" s="5" t="n">
        <v>0</v>
      </c>
      <c r="N978" s="5" t="n">
        <v>0</v>
      </c>
      <c r="O978" s="5" t="n">
        <v>0</v>
      </c>
      <c r="P978" s="5" t="n">
        <v>1</v>
      </c>
      <c r="Q978" s="5" t="n">
        <v>0</v>
      </c>
      <c r="R978" s="5" t="n">
        <v>0</v>
      </c>
      <c r="S978" s="5" t="n">
        <v>0</v>
      </c>
      <c r="T978" s="5" t="n">
        <v>0</v>
      </c>
      <c r="U978" s="5" t="inlineStr">
        <is>
          <t>testing</t>
        </is>
      </c>
      <c r="V978" s="5" t="n">
        <v>0</v>
      </c>
    </row>
    <row r="979">
      <c r="A979" s="5" t="n">
        <v>975</v>
      </c>
      <c r="B979" s="5" t="n">
        <v>0</v>
      </c>
      <c r="C979" s="6" t="n">
        <v>0.7809601085536261</v>
      </c>
      <c r="D979" s="6" t="n">
        <v>-0.1468484841836645</v>
      </c>
      <c r="E979" s="6" t="n">
        <v>-0.2209114725729393</v>
      </c>
      <c r="F979" s="6" t="n">
        <v>0.9185437189662378</v>
      </c>
      <c r="G979" s="5" t="n">
        <v>0</v>
      </c>
      <c r="H979" s="5" t="n">
        <v>0</v>
      </c>
      <c r="I979" s="5" t="n">
        <v>0</v>
      </c>
      <c r="J979" s="5" t="n">
        <v>1</v>
      </c>
      <c r="K979" s="5" t="n">
        <v>0</v>
      </c>
      <c r="L979" s="5" t="n">
        <v>0</v>
      </c>
      <c r="M979" s="5" t="n">
        <v>0</v>
      </c>
      <c r="N979" s="5" t="n">
        <v>0</v>
      </c>
      <c r="O979" s="5" t="n">
        <v>0</v>
      </c>
      <c r="P979" s="5" t="n">
        <v>0</v>
      </c>
      <c r="Q979" s="5" t="n">
        <v>0</v>
      </c>
      <c r="R979" s="5" t="n">
        <v>0</v>
      </c>
      <c r="S979" s="5" t="n">
        <v>1</v>
      </c>
      <c r="T979" s="5" t="n">
        <v>0</v>
      </c>
      <c r="U979" s="5" t="inlineStr">
        <is>
          <t>training</t>
        </is>
      </c>
      <c r="V979" s="5" t="n">
        <v>1</v>
      </c>
    </row>
    <row r="980">
      <c r="A980" s="5" t="n">
        <v>976</v>
      </c>
      <c r="B980" s="5" t="n">
        <v>0</v>
      </c>
      <c r="C980" s="6" t="n">
        <v>0.275406400796963</v>
      </c>
      <c r="D980" s="6" t="n">
        <v>-0.6972297669995587</v>
      </c>
      <c r="E980" s="6" t="n">
        <v>1.866441024179244</v>
      </c>
      <c r="F980" s="6" t="n">
        <v>0.01674764143977723</v>
      </c>
      <c r="G980" s="5" t="n">
        <v>0</v>
      </c>
      <c r="H980" s="5" t="n">
        <v>0</v>
      </c>
      <c r="I980" s="5" t="n">
        <v>1</v>
      </c>
      <c r="J980" s="5" t="n">
        <v>0</v>
      </c>
      <c r="K980" s="5" t="n">
        <v>0</v>
      </c>
      <c r="L980" s="5" t="n">
        <v>0</v>
      </c>
      <c r="M980" s="5" t="n">
        <v>1</v>
      </c>
      <c r="N980" s="5" t="n">
        <v>0</v>
      </c>
      <c r="O980" s="5" t="n">
        <v>0</v>
      </c>
      <c r="P980" s="5" t="n">
        <v>0</v>
      </c>
      <c r="Q980" s="5" t="n">
        <v>0</v>
      </c>
      <c r="R980" s="5" t="n">
        <v>0</v>
      </c>
      <c r="S980" s="5" t="n">
        <v>1</v>
      </c>
      <c r="T980" s="5" t="n">
        <v>0</v>
      </c>
      <c r="U980" s="5" t="inlineStr">
        <is>
          <t>training</t>
        </is>
      </c>
      <c r="V980" s="5" t="n">
        <v>0</v>
      </c>
    </row>
    <row r="981">
      <c r="A981" s="5" t="n">
        <v>977</v>
      </c>
      <c r="B981" s="5" t="n">
        <v>0</v>
      </c>
      <c r="C981" s="6" t="n">
        <v>-1.241254722473026</v>
      </c>
      <c r="D981" s="6" t="n">
        <v>-0.8739256015971598</v>
      </c>
      <c r="E981" s="6" t="n">
        <v>2.475252169065298</v>
      </c>
      <c r="F981" s="6" t="n">
        <v>-0.8850484360866833</v>
      </c>
      <c r="G981" s="5" t="n">
        <v>0</v>
      </c>
      <c r="H981" s="5" t="n">
        <v>1</v>
      </c>
      <c r="I981" s="5" t="n">
        <v>0</v>
      </c>
      <c r="J981" s="5" t="n">
        <v>0</v>
      </c>
      <c r="K981" s="5" t="n">
        <v>0</v>
      </c>
      <c r="L981" s="5" t="n">
        <v>0</v>
      </c>
      <c r="M981" s="5" t="n">
        <v>0</v>
      </c>
      <c r="N981" s="5" t="n">
        <v>0</v>
      </c>
      <c r="O981" s="5" t="n">
        <v>0</v>
      </c>
      <c r="P981" s="5" t="n">
        <v>0</v>
      </c>
      <c r="Q981" s="5" t="n">
        <v>0</v>
      </c>
      <c r="R981" s="5" t="n">
        <v>0</v>
      </c>
      <c r="S981" s="5" t="n">
        <v>1</v>
      </c>
      <c r="T981" s="5" t="n">
        <v>0</v>
      </c>
      <c r="U981" s="5" t="inlineStr">
        <is>
          <t>testing</t>
        </is>
      </c>
      <c r="V981" s="5" t="n">
        <v>0</v>
      </c>
    </row>
    <row r="982">
      <c r="A982" s="5" t="n">
        <v>978</v>
      </c>
      <c r="B982" s="5" t="n">
        <v>0</v>
      </c>
      <c r="C982" s="6" t="n">
        <v>-0.2301473069597001</v>
      </c>
      <c r="D982" s="6" t="n">
        <v>-0.2882051518617454</v>
      </c>
      <c r="E982" s="6" t="n">
        <v>0.5618457137091294</v>
      </c>
      <c r="F982" s="6" t="n">
        <v>0.9185437189662378</v>
      </c>
      <c r="G982" s="5" t="n">
        <v>0</v>
      </c>
      <c r="H982" s="5" t="n">
        <v>1</v>
      </c>
      <c r="I982" s="5" t="n">
        <v>0</v>
      </c>
      <c r="J982" s="5" t="n">
        <v>0</v>
      </c>
      <c r="K982" s="5" t="n">
        <v>1</v>
      </c>
      <c r="L982" s="5" t="n">
        <v>0</v>
      </c>
      <c r="M982" s="5" t="n">
        <v>0</v>
      </c>
      <c r="N982" s="5" t="n">
        <v>0</v>
      </c>
      <c r="O982" s="5" t="n">
        <v>1</v>
      </c>
      <c r="P982" s="5" t="n">
        <v>0</v>
      </c>
      <c r="Q982" s="5" t="n">
        <v>0</v>
      </c>
      <c r="R982" s="5" t="n">
        <v>0</v>
      </c>
      <c r="S982" s="5" t="n">
        <v>0</v>
      </c>
      <c r="T982" s="5" t="n">
        <v>0</v>
      </c>
      <c r="U982" s="5" t="inlineStr">
        <is>
          <t>testing</t>
        </is>
      </c>
      <c r="V982" s="5" t="n">
        <v>0</v>
      </c>
    </row>
    <row r="983">
      <c r="A983" s="5" t="n">
        <v>979</v>
      </c>
      <c r="B983" s="5" t="n">
        <v>1</v>
      </c>
      <c r="C983" s="6" t="n">
        <v>0.275406400796963</v>
      </c>
      <c r="D983" s="6" t="n">
        <v>-0.2493670575244509</v>
      </c>
      <c r="E983" s="6" t="n">
        <v>0.9967108171991675</v>
      </c>
      <c r="F983" s="6" t="n">
        <v>0.9185437189662378</v>
      </c>
      <c r="G983" s="5" t="n">
        <v>0</v>
      </c>
      <c r="H983" s="5" t="n">
        <v>0</v>
      </c>
      <c r="I983" s="5" t="n">
        <v>0</v>
      </c>
      <c r="J983" s="5" t="n">
        <v>0</v>
      </c>
      <c r="K983" s="5" t="n">
        <v>1</v>
      </c>
      <c r="L983" s="5" t="n">
        <v>0</v>
      </c>
      <c r="M983" s="5" t="n">
        <v>0</v>
      </c>
      <c r="N983" s="5" t="n">
        <v>0</v>
      </c>
      <c r="O983" s="5" t="n">
        <v>0</v>
      </c>
      <c r="P983" s="5" t="n">
        <v>0</v>
      </c>
      <c r="Q983" s="5" t="n">
        <v>0</v>
      </c>
      <c r="R983" s="5" t="n">
        <v>1</v>
      </c>
      <c r="S983" s="5" t="n">
        <v>0</v>
      </c>
      <c r="T983" s="5" t="n">
        <v>0</v>
      </c>
      <c r="U983" s="5" t="inlineStr">
        <is>
          <t>training</t>
        </is>
      </c>
      <c r="V983" s="5" t="n">
        <v>1</v>
      </c>
    </row>
    <row r="984">
      <c r="A984" s="5" t="n">
        <v>980</v>
      </c>
      <c r="B984" s="5" t="n">
        <v>1</v>
      </c>
      <c r="C984" s="6" t="n">
        <v>-0.4829241608380317</v>
      </c>
      <c r="D984" s="6" t="n">
        <v>-0.6951304105488941</v>
      </c>
      <c r="E984" s="6" t="n">
        <v>-0.9166956381570004</v>
      </c>
      <c r="F984" s="6" t="n">
        <v>-0.8850484360866833</v>
      </c>
      <c r="G984" s="5" t="n">
        <v>0</v>
      </c>
      <c r="H984" s="5" t="n">
        <v>1</v>
      </c>
      <c r="I984" s="5" t="n">
        <v>0</v>
      </c>
      <c r="J984" s="5" t="n">
        <v>0</v>
      </c>
      <c r="K984" s="5" t="n">
        <v>0</v>
      </c>
      <c r="L984" s="5" t="n">
        <v>1</v>
      </c>
      <c r="M984" s="5" t="n">
        <v>1</v>
      </c>
      <c r="N984" s="5" t="n">
        <v>0</v>
      </c>
      <c r="O984" s="5" t="n">
        <v>0</v>
      </c>
      <c r="P984" s="5" t="n">
        <v>1</v>
      </c>
      <c r="Q984" s="5" t="n">
        <v>0</v>
      </c>
      <c r="R984" s="5" t="n">
        <v>1</v>
      </c>
      <c r="S984" s="5" t="n">
        <v>0</v>
      </c>
      <c r="T984" s="5" t="n">
        <v>0</v>
      </c>
      <c r="U984" s="5" t="inlineStr">
        <is>
          <t>training</t>
        </is>
      </c>
      <c r="V984" s="5" t="n">
        <v>1</v>
      </c>
    </row>
    <row r="985">
      <c r="A985" s="5" t="n">
        <v>981</v>
      </c>
      <c r="B985" s="5" t="n">
        <v>1</v>
      </c>
      <c r="C985" s="6" t="n">
        <v>0.7809601085536261</v>
      </c>
      <c r="D985" s="6" t="n">
        <v>1.796805696389948</v>
      </c>
      <c r="E985" s="6" t="n">
        <v>1.170656858595183</v>
      </c>
      <c r="F985" s="6" t="n">
        <v>-0.8850484360866833</v>
      </c>
      <c r="G985" s="5" t="n">
        <v>0</v>
      </c>
      <c r="H985" s="5" t="n">
        <v>1</v>
      </c>
      <c r="I985" s="5" t="n">
        <v>0</v>
      </c>
      <c r="J985" s="5" t="n">
        <v>1</v>
      </c>
      <c r="K985" s="5" t="n">
        <v>0</v>
      </c>
      <c r="L985" s="5" t="n">
        <v>0</v>
      </c>
      <c r="M985" s="5" t="n">
        <v>0</v>
      </c>
      <c r="N985" s="5" t="n">
        <v>0</v>
      </c>
      <c r="O985" s="5" t="n">
        <v>0</v>
      </c>
      <c r="P985" s="5" t="n">
        <v>0</v>
      </c>
      <c r="Q985" s="5" t="n">
        <v>0</v>
      </c>
      <c r="R985" s="5" t="n">
        <v>0</v>
      </c>
      <c r="S985" s="5" t="n">
        <v>0</v>
      </c>
      <c r="T985" s="5" t="n">
        <v>1</v>
      </c>
      <c r="U985" s="5" t="inlineStr">
        <is>
          <t>training</t>
        </is>
      </c>
      <c r="V985" s="5" t="n">
        <v>1</v>
      </c>
    </row>
    <row r="986">
      <c r="A986" s="5" t="n">
        <v>982</v>
      </c>
      <c r="B986" s="5" t="n">
        <v>1</v>
      </c>
      <c r="C986" s="6" t="n">
        <v>2.297621231823615</v>
      </c>
      <c r="D986" s="6" t="n">
        <v>0.5574856050142979</v>
      </c>
      <c r="E986" s="6" t="n">
        <v>-0.2209114725729393</v>
      </c>
      <c r="F986" s="6" t="n">
        <v>0.01674764143977723</v>
      </c>
      <c r="G986" s="5" t="n">
        <v>0</v>
      </c>
      <c r="H986" s="5" t="n">
        <v>0</v>
      </c>
      <c r="I986" s="5" t="n">
        <v>0</v>
      </c>
      <c r="J986" s="5" t="n">
        <v>0</v>
      </c>
      <c r="K986" s="5" t="n">
        <v>0</v>
      </c>
      <c r="L986" s="5" t="n">
        <v>0</v>
      </c>
      <c r="M986" s="5" t="n">
        <v>0</v>
      </c>
      <c r="N986" s="5" t="n">
        <v>0</v>
      </c>
      <c r="O986" s="5" t="n">
        <v>0</v>
      </c>
      <c r="P986" s="5" t="n">
        <v>1</v>
      </c>
      <c r="Q986" s="5" t="n">
        <v>0</v>
      </c>
      <c r="R986" s="5" t="n">
        <v>0</v>
      </c>
      <c r="S986" s="5" t="n">
        <v>0</v>
      </c>
      <c r="T986" s="5" t="n">
        <v>0</v>
      </c>
      <c r="U986" s="5" t="inlineStr">
        <is>
          <t>training</t>
        </is>
      </c>
      <c r="V986" s="5" t="n">
        <v>1</v>
      </c>
    </row>
    <row r="987">
      <c r="A987" s="5" t="n">
        <v>983</v>
      </c>
      <c r="B987" s="5" t="n">
        <v>0</v>
      </c>
      <c r="C987" s="6" t="n">
        <v>0.02262954691863145</v>
      </c>
      <c r="D987" s="6" t="n">
        <v>-0.1146583519401412</v>
      </c>
      <c r="E987" s="6" t="n">
        <v>-0.6557765760629775</v>
      </c>
      <c r="F987" s="6" t="n">
        <v>-1.786844513613144</v>
      </c>
      <c r="G987" s="5" t="n">
        <v>0</v>
      </c>
      <c r="H987" s="5" t="n">
        <v>0</v>
      </c>
      <c r="I987" s="5" t="n">
        <v>1</v>
      </c>
      <c r="J987" s="5" t="n">
        <v>0</v>
      </c>
      <c r="K987" s="5" t="n">
        <v>0</v>
      </c>
      <c r="L987" s="5" t="n">
        <v>0</v>
      </c>
      <c r="M987" s="5" t="n">
        <v>1</v>
      </c>
      <c r="N987" s="5" t="n">
        <v>0</v>
      </c>
      <c r="O987" s="5" t="n">
        <v>0</v>
      </c>
      <c r="P987" s="5" t="n">
        <v>0</v>
      </c>
      <c r="Q987" s="5" t="n">
        <v>0</v>
      </c>
      <c r="R987" s="5" t="n">
        <v>1</v>
      </c>
      <c r="S987" s="5" t="n">
        <v>0</v>
      </c>
      <c r="T987" s="5" t="n">
        <v>0</v>
      </c>
      <c r="U987" s="5" t="inlineStr">
        <is>
          <t>training</t>
        </is>
      </c>
      <c r="V987" s="5" t="n">
        <v>1</v>
      </c>
    </row>
    <row r="988">
      <c r="A988" s="5" t="n">
        <v>984</v>
      </c>
      <c r="B988" s="5" t="n">
        <v>1</v>
      </c>
      <c r="C988" s="6" t="n">
        <v>1.286513816310289</v>
      </c>
      <c r="D988" s="6" t="n">
        <v>1.741872535930892</v>
      </c>
      <c r="E988" s="6" t="n">
        <v>-0.8297226174589928</v>
      </c>
      <c r="F988" s="6" t="n">
        <v>-0.8850484360866833</v>
      </c>
      <c r="G988" s="5" t="n">
        <v>1</v>
      </c>
      <c r="H988" s="5" t="n">
        <v>0</v>
      </c>
      <c r="I988" s="5" t="n">
        <v>0</v>
      </c>
      <c r="J988" s="5" t="n">
        <v>0</v>
      </c>
      <c r="K988" s="5" t="n">
        <v>0</v>
      </c>
      <c r="L988" s="5" t="n">
        <v>0</v>
      </c>
      <c r="M988" s="5" t="n">
        <v>0</v>
      </c>
      <c r="N988" s="5" t="n">
        <v>0</v>
      </c>
      <c r="O988" s="5" t="n">
        <v>0</v>
      </c>
      <c r="P988" s="5" t="n">
        <v>0</v>
      </c>
      <c r="Q988" s="5" t="n">
        <v>0</v>
      </c>
      <c r="R988" s="5" t="n">
        <v>1</v>
      </c>
      <c r="S988" s="5" t="n">
        <v>0</v>
      </c>
      <c r="T988" s="5" t="n">
        <v>0</v>
      </c>
      <c r="U988" s="5" t="inlineStr">
        <is>
          <t>training</t>
        </is>
      </c>
      <c r="V988" s="5" t="n">
        <v>1</v>
      </c>
    </row>
    <row r="989">
      <c r="A989" s="5" t="n">
        <v>985</v>
      </c>
      <c r="B989" s="5" t="n">
        <v>0</v>
      </c>
      <c r="C989" s="6" t="n">
        <v>0.275406400796963</v>
      </c>
      <c r="D989" s="6" t="n">
        <v>-0.4278123558309392</v>
      </c>
      <c r="E989" s="6" t="n">
        <v>-0.4818305346669622</v>
      </c>
      <c r="F989" s="6" t="n">
        <v>-0.8850484360866833</v>
      </c>
      <c r="G989" s="5" t="n">
        <v>0</v>
      </c>
      <c r="H989" s="5" t="n">
        <v>0</v>
      </c>
      <c r="I989" s="5" t="n">
        <v>0</v>
      </c>
      <c r="J989" s="5" t="n">
        <v>1</v>
      </c>
      <c r="K989" s="5" t="n">
        <v>0</v>
      </c>
      <c r="L989" s="5" t="n">
        <v>0</v>
      </c>
      <c r="M989" s="5" t="n">
        <v>0</v>
      </c>
      <c r="N989" s="5" t="n">
        <v>0</v>
      </c>
      <c r="O989" s="5" t="n">
        <v>0</v>
      </c>
      <c r="P989" s="5" t="n">
        <v>0</v>
      </c>
      <c r="Q989" s="5" t="n">
        <v>0</v>
      </c>
      <c r="R989" s="5" t="n">
        <v>0</v>
      </c>
      <c r="S989" s="5" t="n">
        <v>0</v>
      </c>
      <c r="T989" s="5" t="n">
        <v>1</v>
      </c>
      <c r="U989" s="5" t="inlineStr">
        <is>
          <t>testing</t>
        </is>
      </c>
      <c r="V989" s="5" t="n">
        <v>0</v>
      </c>
    </row>
    <row r="990">
      <c r="A990" s="5" t="n">
        <v>986</v>
      </c>
      <c r="B990" s="5" t="n">
        <v>0</v>
      </c>
      <c r="C990" s="6" t="n">
        <v>-0.4829241608380317</v>
      </c>
      <c r="D990" s="6" t="n">
        <v>-0.6359985371885089</v>
      </c>
      <c r="E990" s="6" t="n">
        <v>-0.9166956381570004</v>
      </c>
      <c r="F990" s="6" t="n">
        <v>0.9185437189662378</v>
      </c>
      <c r="G990" s="5" t="n">
        <v>1</v>
      </c>
      <c r="H990" s="5" t="n">
        <v>0</v>
      </c>
      <c r="I990" s="5" t="n">
        <v>0</v>
      </c>
      <c r="J990" s="5" t="n">
        <v>1</v>
      </c>
      <c r="K990" s="5" t="n">
        <v>0</v>
      </c>
      <c r="L990" s="5" t="n">
        <v>0</v>
      </c>
      <c r="M990" s="5" t="n">
        <v>0</v>
      </c>
      <c r="N990" s="5" t="n">
        <v>0</v>
      </c>
      <c r="O990" s="5" t="n">
        <v>0</v>
      </c>
      <c r="P990" s="5" t="n">
        <v>1</v>
      </c>
      <c r="Q990" s="5" t="n">
        <v>0</v>
      </c>
      <c r="R990" s="5" t="n">
        <v>0</v>
      </c>
      <c r="S990" s="5" t="n">
        <v>0</v>
      </c>
      <c r="T990" s="5" t="n">
        <v>1</v>
      </c>
      <c r="U990" s="5" t="inlineStr">
        <is>
          <t>testing</t>
        </is>
      </c>
      <c r="V990" s="5" t="n">
        <v>0</v>
      </c>
    </row>
    <row r="991">
      <c r="A991" s="5" t="n">
        <v>987</v>
      </c>
      <c r="B991" s="5" t="n">
        <v>0</v>
      </c>
      <c r="C991" s="6" t="n">
        <v>1.792067524066952</v>
      </c>
      <c r="D991" s="6" t="n">
        <v>1.063080616882681</v>
      </c>
      <c r="E991" s="6" t="n">
        <v>-0.2209114725729393</v>
      </c>
      <c r="F991" s="6" t="n">
        <v>-0.8850484360866833</v>
      </c>
      <c r="G991" s="5" t="n">
        <v>0</v>
      </c>
      <c r="H991" s="5" t="n">
        <v>0</v>
      </c>
      <c r="I991" s="5" t="n">
        <v>1</v>
      </c>
      <c r="J991" s="5" t="n">
        <v>0</v>
      </c>
      <c r="K991" s="5" t="n">
        <v>0</v>
      </c>
      <c r="L991" s="5" t="n">
        <v>1</v>
      </c>
      <c r="M991" s="5" t="n">
        <v>0</v>
      </c>
      <c r="N991" s="5" t="n">
        <v>0</v>
      </c>
      <c r="O991" s="5" t="n">
        <v>0</v>
      </c>
      <c r="P991" s="5" t="n">
        <v>0</v>
      </c>
      <c r="Q991" s="5" t="n">
        <v>0</v>
      </c>
      <c r="R991" s="5" t="n">
        <v>0</v>
      </c>
      <c r="S991" s="5" t="n">
        <v>0</v>
      </c>
      <c r="T991" s="5" t="n">
        <v>0</v>
      </c>
      <c r="U991" s="5" t="inlineStr">
        <is>
          <t>testing</t>
        </is>
      </c>
      <c r="V991" s="5" t="n">
        <v>0</v>
      </c>
    </row>
    <row r="992">
      <c r="A992" s="5" t="n">
        <v>988</v>
      </c>
      <c r="B992" s="5" t="n">
        <v>0</v>
      </c>
      <c r="C992" s="6" t="n">
        <v>-0.651442063423586</v>
      </c>
      <c r="D992" s="6" t="n">
        <v>-0.6443959629911671</v>
      </c>
      <c r="E992" s="6" t="n">
        <v>2.475252169065298</v>
      </c>
      <c r="F992" s="6" t="n">
        <v>-0.8850484360866833</v>
      </c>
      <c r="G992" s="5" t="n">
        <v>0</v>
      </c>
      <c r="H992" s="5" t="n">
        <v>0</v>
      </c>
      <c r="I992" s="5" t="n">
        <v>0</v>
      </c>
      <c r="J992" s="5" t="n">
        <v>0</v>
      </c>
      <c r="K992" s="5" t="n">
        <v>0</v>
      </c>
      <c r="L992" s="5" t="n">
        <v>0</v>
      </c>
      <c r="M992" s="5" t="n">
        <v>1</v>
      </c>
      <c r="N992" s="5" t="n">
        <v>0</v>
      </c>
      <c r="O992" s="5" t="n">
        <v>0</v>
      </c>
      <c r="P992" s="5" t="n">
        <v>0</v>
      </c>
      <c r="Q992" s="5" t="n">
        <v>0</v>
      </c>
      <c r="R992" s="5" t="n">
        <v>0</v>
      </c>
      <c r="S992" s="5" t="n">
        <v>1</v>
      </c>
      <c r="T992" s="5" t="n">
        <v>0</v>
      </c>
      <c r="U992" s="5" t="inlineStr">
        <is>
          <t>training</t>
        </is>
      </c>
      <c r="V992" s="5" t="n">
        <v>1</v>
      </c>
    </row>
    <row r="993">
      <c r="A993" s="5" t="n">
        <v>989</v>
      </c>
      <c r="B993" s="5" t="n">
        <v>0</v>
      </c>
      <c r="C993" s="6" t="n">
        <v>0.275406400796963</v>
      </c>
      <c r="D993" s="6" t="n">
        <v>1.164549511998136</v>
      </c>
      <c r="E993" s="6" t="n">
        <v>-0.5688035553649698</v>
      </c>
      <c r="F993" s="6" t="n">
        <v>0.9185437189662378</v>
      </c>
      <c r="G993" s="5" t="n">
        <v>1</v>
      </c>
      <c r="H993" s="5" t="n">
        <v>0</v>
      </c>
      <c r="I993" s="5" t="n">
        <v>0</v>
      </c>
      <c r="J993" s="5" t="n">
        <v>0</v>
      </c>
      <c r="K993" s="5" t="n">
        <v>0</v>
      </c>
      <c r="L993" s="5" t="n">
        <v>0</v>
      </c>
      <c r="M993" s="5" t="n">
        <v>0</v>
      </c>
      <c r="N993" s="5" t="n">
        <v>0</v>
      </c>
      <c r="O993" s="5" t="n">
        <v>0</v>
      </c>
      <c r="P993" s="5" t="n">
        <v>0</v>
      </c>
      <c r="Q993" s="5" t="n">
        <v>1</v>
      </c>
      <c r="R993" s="5" t="n">
        <v>1</v>
      </c>
      <c r="S993" s="5" t="n">
        <v>0</v>
      </c>
      <c r="T993" s="5" t="n">
        <v>0</v>
      </c>
      <c r="U993" s="5" t="inlineStr">
        <is>
          <t>testing</t>
        </is>
      </c>
      <c r="V993" s="5" t="n">
        <v>0</v>
      </c>
    </row>
    <row r="994">
      <c r="A994" s="5" t="n">
        <v>990</v>
      </c>
      <c r="B994" s="5" t="n">
        <v>0</v>
      </c>
      <c r="C994" s="6" t="n">
        <v>0.275406400796963</v>
      </c>
      <c r="D994" s="6" t="n">
        <v>-0.5275317872375062</v>
      </c>
      <c r="E994" s="6" t="n">
        <v>1.083683837897175</v>
      </c>
      <c r="F994" s="6" t="n">
        <v>0.9185437189662378</v>
      </c>
      <c r="G994" s="5" t="n">
        <v>0</v>
      </c>
      <c r="H994" s="5" t="n">
        <v>1</v>
      </c>
      <c r="I994" s="5" t="n">
        <v>0</v>
      </c>
      <c r="J994" s="5" t="n">
        <v>1</v>
      </c>
      <c r="K994" s="5" t="n">
        <v>0</v>
      </c>
      <c r="L994" s="5" t="n">
        <v>0</v>
      </c>
      <c r="M994" s="5" t="n">
        <v>0</v>
      </c>
      <c r="N994" s="5" t="n">
        <v>0</v>
      </c>
      <c r="O994" s="5" t="n">
        <v>0</v>
      </c>
      <c r="P994" s="5" t="n">
        <v>0</v>
      </c>
      <c r="Q994" s="5" t="n">
        <v>0</v>
      </c>
      <c r="R994" s="5" t="n">
        <v>0</v>
      </c>
      <c r="S994" s="5" t="n">
        <v>1</v>
      </c>
      <c r="T994" s="5" t="n">
        <v>0</v>
      </c>
      <c r="U994" s="5" t="inlineStr">
        <is>
          <t>training</t>
        </is>
      </c>
      <c r="V994" s="5" t="n">
        <v>0</v>
      </c>
    </row>
    <row r="995">
      <c r="A995" s="5" t="n">
        <v>991</v>
      </c>
      <c r="B995" s="5" t="n">
        <v>0</v>
      </c>
      <c r="C995" s="6" t="n">
        <v>-0.7357010147163632</v>
      </c>
      <c r="D995" s="6" t="n">
        <v>0.1099727882809676</v>
      </c>
      <c r="E995" s="6" t="n">
        <v>0.1269806102190912</v>
      </c>
      <c r="F995" s="6" t="n">
        <v>-0.8850484360866833</v>
      </c>
      <c r="G995" s="5" t="n">
        <v>0</v>
      </c>
      <c r="H995" s="5" t="n">
        <v>0</v>
      </c>
      <c r="I995" s="5" t="n">
        <v>0</v>
      </c>
      <c r="J995" s="5" t="n">
        <v>1</v>
      </c>
      <c r="K995" s="5" t="n">
        <v>0</v>
      </c>
      <c r="L995" s="5" t="n">
        <v>0</v>
      </c>
      <c r="M995" s="5" t="n">
        <v>0</v>
      </c>
      <c r="N995" s="5" t="n">
        <v>0</v>
      </c>
      <c r="O995" s="5" t="n">
        <v>1</v>
      </c>
      <c r="P995" s="5" t="n">
        <v>0</v>
      </c>
      <c r="Q995" s="5" t="n">
        <v>0</v>
      </c>
      <c r="R995" s="5" t="n">
        <v>0</v>
      </c>
      <c r="S995" s="5" t="n">
        <v>0</v>
      </c>
      <c r="T995" s="5" t="n">
        <v>0</v>
      </c>
      <c r="U995" s="5" t="inlineStr">
        <is>
          <t>training</t>
        </is>
      </c>
      <c r="V995" s="5" t="n">
        <v>1</v>
      </c>
    </row>
    <row r="996">
      <c r="A996" s="5" t="n">
        <v>992</v>
      </c>
      <c r="B996" s="5" t="n">
        <v>0</v>
      </c>
      <c r="C996" s="6" t="n">
        <v>-0.4829241608380317</v>
      </c>
      <c r="D996" s="6" t="n">
        <v>-0.5884131243067786</v>
      </c>
      <c r="E996" s="6" t="n">
        <v>-0.1339384518749317</v>
      </c>
      <c r="F996" s="6" t="n">
        <v>0.9185437189662378</v>
      </c>
      <c r="G996" s="5" t="n">
        <v>0</v>
      </c>
      <c r="H996" s="5" t="n">
        <v>0</v>
      </c>
      <c r="I996" s="5" t="n">
        <v>0</v>
      </c>
      <c r="J996" s="5" t="n">
        <v>0</v>
      </c>
      <c r="K996" s="5" t="n">
        <v>0</v>
      </c>
      <c r="L996" s="5" t="n">
        <v>1</v>
      </c>
      <c r="M996" s="5" t="n">
        <v>1</v>
      </c>
      <c r="N996" s="5" t="n">
        <v>0</v>
      </c>
      <c r="O996" s="5" t="n">
        <v>0</v>
      </c>
      <c r="P996" s="5" t="n">
        <v>0</v>
      </c>
      <c r="Q996" s="5" t="n">
        <v>0</v>
      </c>
      <c r="R996" s="5" t="n">
        <v>0</v>
      </c>
      <c r="S996" s="5" t="n">
        <v>1</v>
      </c>
      <c r="T996" s="5" t="n">
        <v>0</v>
      </c>
      <c r="U996" s="5" t="inlineStr">
        <is>
          <t>training</t>
        </is>
      </c>
      <c r="V996" s="5" t="n">
        <v>0</v>
      </c>
    </row>
    <row r="997">
      <c r="A997" s="5" t="n">
        <v>993</v>
      </c>
      <c r="B997" s="5" t="n">
        <v>0</v>
      </c>
      <c r="C997" s="6" t="n">
        <v>-0.2301473069597001</v>
      </c>
      <c r="D997" s="6" t="n">
        <v>-0.4600024880744625</v>
      </c>
      <c r="E997" s="6" t="n">
        <v>-1.090641679553016</v>
      </c>
      <c r="F997" s="6" t="n">
        <v>-0.8850484360866833</v>
      </c>
      <c r="G997" s="5" t="n">
        <v>1</v>
      </c>
      <c r="H997" s="5" t="n">
        <v>0</v>
      </c>
      <c r="I997" s="5" t="n">
        <v>0</v>
      </c>
      <c r="J997" s="5" t="n">
        <v>0</v>
      </c>
      <c r="K997" s="5" t="n">
        <v>0</v>
      </c>
      <c r="L997" s="5" t="n">
        <v>0</v>
      </c>
      <c r="M997" s="5" t="n">
        <v>0</v>
      </c>
      <c r="N997" s="5" t="n">
        <v>0</v>
      </c>
      <c r="O997" s="5" t="n">
        <v>1</v>
      </c>
      <c r="P997" s="5" t="n">
        <v>1</v>
      </c>
      <c r="Q997" s="5" t="n">
        <v>0</v>
      </c>
      <c r="R997" s="5" t="n">
        <v>0</v>
      </c>
      <c r="S997" s="5" t="n">
        <v>1</v>
      </c>
      <c r="T997" s="5" t="n">
        <v>0</v>
      </c>
      <c r="U997" s="5" t="inlineStr">
        <is>
          <t>testing</t>
        </is>
      </c>
      <c r="V997" s="5" t="n">
        <v>0</v>
      </c>
    </row>
    <row r="998">
      <c r="A998" s="5" t="n">
        <v>994</v>
      </c>
      <c r="B998" s="5" t="n">
        <v>0</v>
      </c>
      <c r="C998" s="6" t="n">
        <v>1.286513816310289</v>
      </c>
      <c r="D998" s="6" t="n">
        <v>0.2478305285412742</v>
      </c>
      <c r="E998" s="6" t="n">
        <v>-0.4818305346669622</v>
      </c>
      <c r="F998" s="6" t="n">
        <v>0.9185437189662378</v>
      </c>
      <c r="G998" s="5" t="n">
        <v>1</v>
      </c>
      <c r="H998" s="5" t="n">
        <v>0</v>
      </c>
      <c r="I998" s="5" t="n">
        <v>0</v>
      </c>
      <c r="J998" s="5" t="n">
        <v>0</v>
      </c>
      <c r="K998" s="5" t="n">
        <v>0</v>
      </c>
      <c r="L998" s="5" t="n">
        <v>0</v>
      </c>
      <c r="M998" s="5" t="n">
        <v>0</v>
      </c>
      <c r="N998" s="5" t="n">
        <v>0</v>
      </c>
      <c r="O998" s="5" t="n">
        <v>0</v>
      </c>
      <c r="P998" s="5" t="n">
        <v>0</v>
      </c>
      <c r="Q998" s="5" t="n">
        <v>0</v>
      </c>
      <c r="R998" s="5" t="n">
        <v>0</v>
      </c>
      <c r="S998" s="5" t="n">
        <v>0</v>
      </c>
      <c r="T998" s="5" t="n">
        <v>1</v>
      </c>
      <c r="U998" s="5" t="inlineStr">
        <is>
          <t>training</t>
        </is>
      </c>
      <c r="V998" s="5" t="n">
        <v>0</v>
      </c>
    </row>
    <row r="999">
      <c r="A999" s="5" t="n">
        <v>995</v>
      </c>
      <c r="B999" s="5" t="n">
        <v>0</v>
      </c>
      <c r="C999" s="6" t="n">
        <v>-0.7357010147163632</v>
      </c>
      <c r="D999" s="6" t="n">
        <v>-0.3011511833075103</v>
      </c>
      <c r="E999" s="6" t="n">
        <v>1.257629879293191</v>
      </c>
      <c r="F999" s="6" t="n">
        <v>0.9185437189662378</v>
      </c>
      <c r="G999" s="5" t="n">
        <v>0</v>
      </c>
      <c r="H999" s="5" t="n">
        <v>0</v>
      </c>
      <c r="I999" s="5" t="n">
        <v>0</v>
      </c>
      <c r="J999" s="5" t="n">
        <v>0</v>
      </c>
      <c r="K999" s="5" t="n">
        <v>0</v>
      </c>
      <c r="L999" s="5" t="n">
        <v>0</v>
      </c>
      <c r="M999" s="5" t="n">
        <v>0</v>
      </c>
      <c r="N999" s="5" t="n">
        <v>0</v>
      </c>
      <c r="O999" s="5" t="n">
        <v>1</v>
      </c>
      <c r="P999" s="5" t="n">
        <v>0</v>
      </c>
      <c r="Q999" s="5" t="n">
        <v>0</v>
      </c>
      <c r="R999" s="5" t="n">
        <v>1</v>
      </c>
      <c r="S999" s="5" t="n">
        <v>0</v>
      </c>
      <c r="T999" s="5" t="n">
        <v>0</v>
      </c>
      <c r="U999" s="5" t="inlineStr">
        <is>
          <t>training</t>
        </is>
      </c>
      <c r="V999" s="5" t="n">
        <v>0</v>
      </c>
    </row>
    <row r="1000">
      <c r="A1000" s="5" t="n">
        <v>996</v>
      </c>
      <c r="B1000" s="5" t="n">
        <v>0</v>
      </c>
      <c r="C1000" s="6" t="n">
        <v>-0.7357010147163632</v>
      </c>
      <c r="D1000" s="6" t="n">
        <v>-0.5299810364299481</v>
      </c>
      <c r="E1000" s="6" t="n">
        <v>-0.3948575139689546</v>
      </c>
      <c r="F1000" s="6" t="n">
        <v>0.01674764143977723</v>
      </c>
      <c r="G1000" s="5" t="n">
        <v>0</v>
      </c>
      <c r="H1000" s="5" t="n">
        <v>0</v>
      </c>
      <c r="I1000" s="5" t="n">
        <v>0</v>
      </c>
      <c r="J1000" s="5" t="n">
        <v>0</v>
      </c>
      <c r="K1000" s="5" t="n">
        <v>0</v>
      </c>
      <c r="L1000" s="5" t="n">
        <v>0</v>
      </c>
      <c r="M1000" s="5" t="n">
        <v>0</v>
      </c>
      <c r="N1000" s="5" t="n">
        <v>0</v>
      </c>
      <c r="O1000" s="5" t="n">
        <v>0</v>
      </c>
      <c r="P1000" s="5" t="n">
        <v>0</v>
      </c>
      <c r="Q1000" s="5" t="n">
        <v>0</v>
      </c>
      <c r="R1000" s="5" t="n">
        <v>0</v>
      </c>
      <c r="S1000" s="5" t="n">
        <v>0</v>
      </c>
      <c r="T1000" s="5" t="n">
        <v>1</v>
      </c>
      <c r="U1000" s="5" t="inlineStr">
        <is>
          <t>training</t>
        </is>
      </c>
      <c r="V1000" s="5" t="n">
        <v>0</v>
      </c>
    </row>
    <row r="1001">
      <c r="A1001" s="5" t="n">
        <v>997</v>
      </c>
      <c r="B1001" s="5" t="n">
        <v>0</v>
      </c>
      <c r="C1001" s="6" t="n">
        <v>0.7809601085536261</v>
      </c>
      <c r="D1001" s="6" t="n">
        <v>0.2121414688799765</v>
      </c>
      <c r="E1001" s="6" t="n">
        <v>0.3878996723131141</v>
      </c>
      <c r="F1001" s="6" t="n">
        <v>0.9185437189662378</v>
      </c>
      <c r="G1001" s="5" t="n">
        <v>1</v>
      </c>
      <c r="H1001" s="5" t="n">
        <v>0</v>
      </c>
      <c r="I1001" s="5" t="n">
        <v>0</v>
      </c>
      <c r="J1001" s="5" t="n">
        <v>0</v>
      </c>
      <c r="K1001" s="5" t="n">
        <v>0</v>
      </c>
      <c r="L1001" s="5" t="n">
        <v>0</v>
      </c>
      <c r="M1001" s="5" t="n">
        <v>0</v>
      </c>
      <c r="N1001" s="5" t="n">
        <v>0</v>
      </c>
      <c r="O1001" s="5" t="n">
        <v>0</v>
      </c>
      <c r="P1001" s="5" t="n">
        <v>0</v>
      </c>
      <c r="Q1001" s="5" t="n">
        <v>0</v>
      </c>
      <c r="R1001" s="5" t="n">
        <v>1</v>
      </c>
      <c r="S1001" s="5" t="n">
        <v>0</v>
      </c>
      <c r="T1001" s="5" t="n">
        <v>0</v>
      </c>
      <c r="U1001" s="5" t="inlineStr">
        <is>
          <t>training</t>
        </is>
      </c>
      <c r="V1001" s="5" t="n">
        <v>0</v>
      </c>
    </row>
    <row r="1002">
      <c r="A1002" s="5" t="n">
        <v>998</v>
      </c>
      <c r="B1002" s="5" t="n">
        <v>0</v>
      </c>
      <c r="C1002" s="6" t="n">
        <v>-0.7357010147163632</v>
      </c>
      <c r="D1002" s="6" t="n">
        <v>-0.8560810717665109</v>
      </c>
      <c r="E1002" s="6" t="n">
        <v>0.2139536309170988</v>
      </c>
      <c r="F1002" s="6" t="n">
        <v>0.9185437189662378</v>
      </c>
      <c r="G1002" s="5" t="n">
        <v>0</v>
      </c>
      <c r="H1002" s="5" t="n">
        <v>0</v>
      </c>
      <c r="I1002" s="5" t="n">
        <v>0</v>
      </c>
      <c r="J1002" s="5" t="n">
        <v>0</v>
      </c>
      <c r="K1002" s="5" t="n">
        <v>0</v>
      </c>
      <c r="L1002" s="5" t="n">
        <v>0</v>
      </c>
      <c r="M1002" s="5" t="n">
        <v>0</v>
      </c>
      <c r="N1002" s="5" t="n">
        <v>0</v>
      </c>
      <c r="O1002" s="5" t="n">
        <v>0</v>
      </c>
      <c r="P1002" s="5" t="n">
        <v>0</v>
      </c>
      <c r="Q1002" s="5" t="n">
        <v>0</v>
      </c>
      <c r="R1002" s="5" t="n">
        <v>0</v>
      </c>
      <c r="S1002" s="5" t="n">
        <v>1</v>
      </c>
      <c r="T1002" s="5" t="n">
        <v>0</v>
      </c>
      <c r="U1002" s="5" t="inlineStr">
        <is>
          <t>testing</t>
        </is>
      </c>
      <c r="V1002" s="5" t="n">
        <v>0</v>
      </c>
    </row>
    <row r="1003">
      <c r="A1003" s="5" t="n">
        <v>999</v>
      </c>
      <c r="B1003" s="5" t="n">
        <v>1</v>
      </c>
      <c r="C1003" s="6" t="n">
        <v>2.044844377945284</v>
      </c>
      <c r="D1003" s="6" t="n">
        <v>-0.4918427275762085</v>
      </c>
      <c r="E1003" s="6" t="n">
        <v>-1.090641679553016</v>
      </c>
      <c r="F1003" s="6" t="n">
        <v>0.9185437189662378</v>
      </c>
      <c r="G1003" s="5" t="n">
        <v>1</v>
      </c>
      <c r="H1003" s="5" t="n">
        <v>0</v>
      </c>
      <c r="I1003" s="5" t="n">
        <v>0</v>
      </c>
      <c r="J1003" s="5" t="n">
        <v>0</v>
      </c>
      <c r="K1003" s="5" t="n">
        <v>0</v>
      </c>
      <c r="L1003" s="5" t="n">
        <v>0</v>
      </c>
      <c r="M1003" s="5" t="n">
        <v>0</v>
      </c>
      <c r="N1003" s="5" t="n">
        <v>0</v>
      </c>
      <c r="O1003" s="5" t="n">
        <v>0</v>
      </c>
      <c r="P1003" s="5" t="n">
        <v>0</v>
      </c>
      <c r="Q1003" s="5" t="n">
        <v>1</v>
      </c>
      <c r="R1003" s="5" t="n">
        <v>0</v>
      </c>
      <c r="S1003" s="5" t="n">
        <v>1</v>
      </c>
      <c r="T1003" s="5" t="n">
        <v>0</v>
      </c>
      <c r="U1003" s="5" t="inlineStr">
        <is>
          <t>training</t>
        </is>
      </c>
      <c r="V1003" s="5" t="n">
        <v>1</v>
      </c>
    </row>
    <row r="1004">
      <c r="A1004" s="5" t="n">
        <v>1000</v>
      </c>
      <c r="B1004" s="5" t="n">
        <v>0</v>
      </c>
      <c r="C1004" s="6" t="n">
        <v>2.044844377945284</v>
      </c>
      <c r="D1004" s="6" t="n">
        <v>0.4637143502179472</v>
      </c>
      <c r="E1004" s="6" t="n">
        <v>-0.7427495967609852</v>
      </c>
      <c r="F1004" s="6" t="n">
        <v>0.01674764143977723</v>
      </c>
      <c r="G1004" s="5" t="n">
        <v>0</v>
      </c>
      <c r="H1004" s="5" t="n">
        <v>1</v>
      </c>
      <c r="I1004" s="5" t="n">
        <v>0</v>
      </c>
      <c r="J1004" s="5" t="n">
        <v>1</v>
      </c>
      <c r="K1004" s="5" t="n">
        <v>0</v>
      </c>
      <c r="L1004" s="5" t="n">
        <v>0</v>
      </c>
      <c r="M1004" s="5" t="n">
        <v>1</v>
      </c>
      <c r="N1004" s="5" t="n">
        <v>0</v>
      </c>
      <c r="O1004" s="5" t="n">
        <v>0</v>
      </c>
      <c r="P1004" s="5" t="n">
        <v>0</v>
      </c>
      <c r="Q1004" s="5" t="n">
        <v>0</v>
      </c>
      <c r="R1004" s="5" t="n">
        <v>1</v>
      </c>
      <c r="S1004" s="5" t="n">
        <v>0</v>
      </c>
      <c r="T1004" s="5" t="n">
        <v>0</v>
      </c>
      <c r="U1004" s="5" t="inlineStr">
        <is>
          <t>training</t>
        </is>
      </c>
      <c r="V1004" s="5" t="n">
        <v>0</v>
      </c>
    </row>
  </sheetData>
  <mergeCells count="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4"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2" customWidth="1" min="37" max="37"/>
    <col width="12" customWidth="1" min="38" max="38"/>
    <col width="10" customWidth="1" min="39" max="39"/>
  </cols>
  <sheetData>
    <row r="1">
      <c r="A1" s="3" t="inlineStr">
        <is>
          <t>Without correcting anything: the base workbook model and what class imbalance does to the recall of class 1</t>
        </is>
      </c>
    </row>
    <row r="2" ht="65" customHeight="1">
      <c r="A2" s="2" t="inlineStr">
        <is>
          <t>Training has 210 defaulters and 490 good payers. Cross-entropy adds up each customer's loss equally (column 'row weight' at 1), so reducing the error on the 490 good payers is worth more than on the 210 defaulters, and the model accommodates them. Look at the report on the right with the weights already trained (gray column, or Solver): class 0 has recall 0.87 and class 1 only 0.57. The overall accuracy, 78%, hides the fact that the model lets 4 out of every 10 defaulters through.</t>
        </is>
      </c>
    </row>
    <row r="3" ht="34" customHeight="1">
      <c r="A3" s="2" t="inlineStr">
        <is>
          <t>This sheet is the point of comparison for the ones that follow. Also note the average p on testing: 0.33, very close to the actual rate of 0.30. That means the probabilities are calibrated, and it is something the balancing methods are going to break.</t>
        </is>
      </c>
    </row>
    <row r="4"/>
    <row r="5"/>
    <row r="6"/>
    <row r="7"/>
    <row r="8"/>
    <row r="9"/>
    <row r="10">
      <c r="AD10" s="3" t="inlineStr">
        <is>
          <t>Model weights (theta): start from the unbalanced solution</t>
        </is>
      </c>
      <c r="AI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row weight</t>
        </is>
      </c>
      <c r="Z11" s="4" t="inlineStr">
        <is>
          <t>weighted loss</t>
        </is>
      </c>
      <c r="AA11" s="4" t="inlineStr">
        <is>
          <t>prediction</t>
        </is>
      </c>
      <c r="AB11" s="4" t="inlineStr">
        <is>
          <t>correct</t>
        </is>
      </c>
      <c r="AD11" s="4" t="inlineStr">
        <is>
          <t>variable</t>
        </is>
      </c>
      <c r="AE11" s="4" t="inlineStr">
        <is>
          <t>theta (light blue)</t>
        </is>
      </c>
      <c r="AF11" s="4" t="inlineStr">
        <is>
          <t>scikit-learn reference for this variant</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$AE$12+D12*$AE$13+E12*$AE$14+F12*$AE$15+G12*$AE$16+H12*$AE$17+I12*$AE$18+J12*$AE$19+K12*$AE$20+L12*$AE$21+M12*$AE$22+N12*$AE$23+O12*$AE$24+P12*$AE$25+Q12*$AE$26+R12*$AE$27+S12*$AE$28+T12*$AE$29+U12*$AE$30</f>
        <v/>
      </c>
      <c r="W12" s="8">
        <f>1/(1+EXP(-V12))</f>
        <v/>
      </c>
      <c r="X12" s="9">
        <f>-IF(C12=1,LN(W12),LN(1-W12))</f>
        <v/>
      </c>
      <c r="Y12" s="8">
        <f>1</f>
        <v/>
      </c>
      <c r="Z12" s="9">
        <f>Y12*X12</f>
        <v/>
      </c>
      <c r="AA12" s="10">
        <f>IF(W12&gt;$AE$32,1,0)</f>
        <v/>
      </c>
      <c r="AB12">
        <f>IF(AA12=C12,1,0)</f>
        <v/>
      </c>
      <c r="AD12" t="inlineStr">
        <is>
          <t>intercept</t>
        </is>
      </c>
      <c r="AE12" s="11" t="n">
        <v>-1.341270962110326</v>
      </c>
      <c r="AF12" s="12" t="n">
        <v>-1.341270962110326</v>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$AE$12+D13*$AE$13+E13*$AE$14+F13*$AE$15+G13*$AE$16+H13*$AE$17+I13*$AE$18+J13*$AE$19+K13*$AE$20+L13*$AE$21+M13*$AE$22+N13*$AE$23+O13*$AE$24+P13*$AE$25+Q13*$AE$26+R13*$AE$27+S13*$AE$28+T13*$AE$29+U13*$AE$30</f>
        <v/>
      </c>
      <c r="W13" s="8">
        <f>1/(1+EXP(-V13))</f>
        <v/>
      </c>
      <c r="X13" s="9">
        <f>-IF(C13=1,LN(W13),LN(1-W13))</f>
        <v/>
      </c>
      <c r="Y13" s="8">
        <f>1</f>
        <v/>
      </c>
      <c r="Z13" s="9">
        <f>Y13*X13</f>
        <v/>
      </c>
      <c r="AA13" s="10">
        <f>IF(W13&gt;$AE$32,1,0)</f>
        <v/>
      </c>
      <c r="AB13">
        <f>IF(AA13=C13,1,0)</f>
        <v/>
      </c>
      <c r="AD13" t="inlineStr">
        <is>
          <t>duration</t>
        </is>
      </c>
      <c r="AE13" s="11" t="n">
        <v>0.3247012549391071</v>
      </c>
      <c r="AF13" s="12" t="n">
        <v>0.3247012549391071</v>
      </c>
      <c r="AK13" s="3" t="inlineStr">
        <is>
          <t>predicted 0</t>
        </is>
      </c>
      <c r="AL13" s="3" t="inlineStr">
        <is>
          <t>predicted 1</t>
        </is>
      </c>
      <c r="AM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$AE$12+D14*$AE$13+E14*$AE$14+F14*$AE$15+G14*$AE$16+H14*$AE$17+I14*$AE$18+J14*$AE$19+K14*$AE$20+L14*$AE$21+M14*$AE$22+N14*$AE$23+O14*$AE$24+P14*$AE$25+Q14*$AE$26+R14*$AE$27+S14*$AE$28+T14*$AE$29+U14*$AE$30</f>
        <v/>
      </c>
      <c r="W14" s="8">
        <f>1/(1+EXP(-V14))</f>
        <v/>
      </c>
      <c r="X14" s="9">
        <f>-IF(C14=1,LN(W14),LN(1-W14))</f>
        <v/>
      </c>
      <c r="Y14" s="8">
        <f>1</f>
        <v/>
      </c>
      <c r="Z14" s="9">
        <f>Y14*X14</f>
        <v/>
      </c>
      <c r="AA14" s="10">
        <f>IF(W14&gt;$AE$32,1,0)</f>
        <v/>
      </c>
      <c r="AB14">
        <f>IF(AA14=C14,1,0)</f>
        <v/>
      </c>
      <c r="AD14" t="inlineStr">
        <is>
          <t>amount</t>
        </is>
      </c>
      <c r="AE14" s="11" t="n">
        <v>0.1163535941884676</v>
      </c>
      <c r="AF14" s="12" t="n">
        <v>0.1163535941884676</v>
      </c>
      <c r="AI14" s="3" t="inlineStr">
        <is>
          <t>actual 0 (good payer)</t>
        </is>
      </c>
      <c r="AJ14" t="inlineStr">
        <is>
          <t>TN | FP</t>
        </is>
      </c>
      <c r="AK14" s="13">
        <f>COUNTIFS($B$12:$B$1011,"testing",$C$12:$C$1011,0,$AA$12:$AA$1011,0)</f>
        <v/>
      </c>
      <c r="AL14" s="13">
        <f>COUNTIFS($B$12:$B$1011,"testing",$C$12:$C$1011,0,$AA$12:$AA$1011,1)</f>
        <v/>
      </c>
      <c r="AM14">
        <f>AK14+AL14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$AE$12+D15*$AE$13+E15*$AE$14+F15*$AE$15+G15*$AE$16+H15*$AE$17+I15*$AE$18+J15*$AE$19+K15*$AE$20+L15*$AE$21+M15*$AE$22+N15*$AE$23+O15*$AE$24+P15*$AE$25+Q15*$AE$26+R15*$AE$27+S15*$AE$28+T15*$AE$29+U15*$AE$30</f>
        <v/>
      </c>
      <c r="W15" s="8">
        <f>1/(1+EXP(-V15))</f>
        <v/>
      </c>
      <c r="X15" s="9">
        <f>-IF(C15=1,LN(W15),LN(1-W15))</f>
        <v/>
      </c>
      <c r="Y15" s="8">
        <f>1</f>
        <v/>
      </c>
      <c r="Z15" s="9">
        <f>Y15*X15</f>
        <v/>
      </c>
      <c r="AA15" s="10">
        <f>IF(W15&gt;$AE$32,1,0)</f>
        <v/>
      </c>
      <c r="AB15">
        <f>IF(AA15=C15,1,0)</f>
        <v/>
      </c>
      <c r="AD15" t="inlineStr">
        <is>
          <t>age</t>
        </is>
      </c>
      <c r="AE15" s="11" t="n">
        <v>-0.09914522482627074</v>
      </c>
      <c r="AF15" s="12" t="n">
        <v>-0.09914522482627074</v>
      </c>
      <c r="AI15" s="3" t="inlineStr">
        <is>
          <t>actual 1 (defaulter)</t>
        </is>
      </c>
      <c r="AJ15" t="inlineStr">
        <is>
          <t>FN | TP</t>
        </is>
      </c>
      <c r="AK15" s="13">
        <f>COUNTIFS($B$12:$B$1011,"testing",$C$12:$C$1011,1,$AA$12:$AA$1011,0)</f>
        <v/>
      </c>
      <c r="AL15" s="13">
        <f>COUNTIFS($B$12:$B$1011,"testing",$C$12:$C$1011,1,$AA$12:$AA$1011,1)</f>
        <v/>
      </c>
      <c r="AM15">
        <f>AK15+AL15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$AE$12+D16*$AE$13+E16*$AE$14+F16*$AE$15+G16*$AE$16+H16*$AE$17+I16*$AE$18+J16*$AE$19+K16*$AE$20+L16*$AE$21+M16*$AE$22+N16*$AE$23+O16*$AE$24+P16*$AE$25+Q16*$AE$26+R16*$AE$27+S16*$AE$28+T16*$AE$29+U16*$AE$30</f>
        <v/>
      </c>
      <c r="W16" s="8">
        <f>1/(1+EXP(-V16))</f>
        <v/>
      </c>
      <c r="X16" s="9">
        <f>-IF(C16=1,LN(W16),LN(1-W16))</f>
        <v/>
      </c>
      <c r="Y16" s="8">
        <f>1</f>
        <v/>
      </c>
      <c r="Z16" s="9">
        <f>Y16*X16</f>
        <v/>
      </c>
      <c r="AA16" s="10">
        <f>IF(W16&gt;$AE$32,1,0)</f>
        <v/>
      </c>
      <c r="AB16">
        <f>IF(AA16=C16,1,0)</f>
        <v/>
      </c>
      <c r="AD16" t="inlineStr">
        <is>
          <t>installment_pct_income</t>
        </is>
      </c>
      <c r="AE16" s="11" t="n">
        <v>0.2872157655933926</v>
      </c>
      <c r="AF16" s="12" t="n">
        <v>0.2872157655933926</v>
      </c>
      <c r="AI16" s="3" t="inlineStr">
        <is>
          <t>total</t>
        </is>
      </c>
      <c r="AK16">
        <f>AK14+AK15</f>
        <v/>
      </c>
      <c r="AL16">
        <f>AL14+AL15</f>
        <v/>
      </c>
      <c r="AM16">
        <f>AM14+AM15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$AE$12+D17*$AE$13+E17*$AE$14+F17*$AE$15+G17*$AE$16+H17*$AE$17+I17*$AE$18+J17*$AE$19+K17*$AE$20+L17*$AE$21+M17*$AE$22+N17*$AE$23+O17*$AE$24+P17*$AE$25+Q17*$AE$26+R17*$AE$27+S17*$AE$28+T17*$AE$29+U17*$AE$30</f>
        <v/>
      </c>
      <c r="W17" s="8">
        <f>1/(1+EXP(-V17))</f>
        <v/>
      </c>
      <c r="X17" s="9">
        <f>-IF(C17=1,LN(W17),LN(1-W17))</f>
        <v/>
      </c>
      <c r="Y17" s="8">
        <f>1</f>
        <v/>
      </c>
      <c r="Z17" s="9">
        <f>Y17*X17</f>
        <v/>
      </c>
      <c r="AA17" s="10">
        <f>IF(W17&gt;$AE$32,1,0)</f>
        <v/>
      </c>
      <c r="AB17">
        <f>IF(AA17=C17,1,0)</f>
        <v/>
      </c>
      <c r="AD17" t="inlineStr">
        <is>
          <t>chk_negative</t>
        </is>
      </c>
      <c r="AE17" s="11" t="n">
        <v>1.546402670396991</v>
      </c>
      <c r="AF17" s="12" t="n">
        <v>1.546402670396991</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$AE$12+D18*$AE$13+E18*$AE$14+F18*$AE$15+G18*$AE$16+H18*$AE$17+I18*$AE$18+J18*$AE$19+K18*$AE$20+L18*$AE$21+M18*$AE$22+N18*$AE$23+O18*$AE$24+P18*$AE$25+Q18*$AE$26+R18*$AE$27+S18*$AE$28+T18*$AE$29+U18*$AE$30</f>
        <v/>
      </c>
      <c r="W18" s="8">
        <f>1/(1+EXP(-V18))</f>
        <v/>
      </c>
      <c r="X18" s="9">
        <f>-IF(C18=1,LN(W18),LN(1-W18))</f>
        <v/>
      </c>
      <c r="Y18" s="8">
        <f>1</f>
        <v/>
      </c>
      <c r="Z18" s="9">
        <f>Y18*X18</f>
        <v/>
      </c>
      <c r="AA18" s="10">
        <f>IF(W18&gt;$AE$32,1,0)</f>
        <v/>
      </c>
      <c r="AB18">
        <f>IF(AA18=C18,1,0)</f>
        <v/>
      </c>
      <c r="AD18" t="inlineStr">
        <is>
          <t>chk_0_200</t>
        </is>
      </c>
      <c r="AE18" s="11" t="n">
        <v>1.294997779791349</v>
      </c>
      <c r="AF18" s="12" t="n">
        <v>1.294997779791349</v>
      </c>
      <c r="AI18" s="4" t="inlineStr"/>
      <c r="AJ18" s="4" t="inlineStr">
        <is>
          <t>precision</t>
        </is>
      </c>
      <c r="AK18" s="4" t="inlineStr">
        <is>
          <t>recall</t>
        </is>
      </c>
      <c r="AL18" s="4" t="inlineStr">
        <is>
          <t>f1-score</t>
        </is>
      </c>
      <c r="AM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$AE$12+D19*$AE$13+E19*$AE$14+F19*$AE$15+G19*$AE$16+H19*$AE$17+I19*$AE$18+J19*$AE$19+K19*$AE$20+L19*$AE$21+M19*$AE$22+N19*$AE$23+O19*$AE$24+P19*$AE$25+Q19*$AE$26+R19*$AE$27+S19*$AE$28+T19*$AE$29+U19*$AE$30</f>
        <v/>
      </c>
      <c r="W19" s="8">
        <f>1/(1+EXP(-V19))</f>
        <v/>
      </c>
      <c r="X19" s="9">
        <f>-IF(C19=1,LN(W19),LN(1-W19))</f>
        <v/>
      </c>
      <c r="Y19" s="8">
        <f>1</f>
        <v/>
      </c>
      <c r="Z19" s="9">
        <f>Y19*X19</f>
        <v/>
      </c>
      <c r="AA19" s="10">
        <f>IF(W19&gt;$AE$32,1,0)</f>
        <v/>
      </c>
      <c r="AB19">
        <f>IF(AA19=C19,1,0)</f>
        <v/>
      </c>
      <c r="AD19" t="inlineStr">
        <is>
          <t>chk_over_200</t>
        </is>
      </c>
      <c r="AE19" s="11" t="n">
        <v>0.6683615861023957</v>
      </c>
      <c r="AF19" s="12" t="n">
        <v>0.6683615861023957</v>
      </c>
      <c r="AI19" s="3" t="inlineStr">
        <is>
          <t>class 0 (pays)</t>
        </is>
      </c>
      <c r="AJ19" s="14">
        <f>IF(AK14+AK15=0,0,AK14/(AK14+AK15))</f>
        <v/>
      </c>
      <c r="AK19" s="14">
        <f>IF(AK14+AL14=0,0,AK14/(AK14+AL14))</f>
        <v/>
      </c>
      <c r="AL19" s="14">
        <f>IF(AJ19+AK19=0,0,2*AJ19*AK19/(AJ19+AK19))</f>
        <v/>
      </c>
      <c r="AM19">
        <f>AM14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$AE$12+D20*$AE$13+E20*$AE$14+F20*$AE$15+G20*$AE$16+H20*$AE$17+I20*$AE$18+J20*$AE$19+K20*$AE$20+L20*$AE$21+M20*$AE$22+N20*$AE$23+O20*$AE$24+P20*$AE$25+Q20*$AE$26+R20*$AE$27+S20*$AE$28+T20*$AE$29+U20*$AE$30</f>
        <v/>
      </c>
      <c r="W20" s="8">
        <f>1/(1+EXP(-V20))</f>
        <v/>
      </c>
      <c r="X20" s="9">
        <f>-IF(C20=1,LN(W20),LN(1-W20))</f>
        <v/>
      </c>
      <c r="Y20" s="8">
        <f>1</f>
        <v/>
      </c>
      <c r="Z20" s="9">
        <f>Y20*X20</f>
        <v/>
      </c>
      <c r="AA20" s="10">
        <f>IF(W20&gt;$AE$32,1,0)</f>
        <v/>
      </c>
      <c r="AB20">
        <f>IF(AA20=C20,1,0)</f>
        <v/>
      </c>
      <c r="AD20" t="inlineStr">
        <is>
          <t>hist_critical</t>
        </is>
      </c>
      <c r="AE20" s="11" t="n">
        <v>-0.6573449373610837</v>
      </c>
      <c r="AF20" s="12" t="n">
        <v>-0.6573449373610837</v>
      </c>
      <c r="AI20" s="3" t="inlineStr">
        <is>
          <t>class 1 (defaults)</t>
        </is>
      </c>
      <c r="AJ20" s="14">
        <f>IF(AL15+AL14=0,0,AL15/(AL15+AL14))</f>
        <v/>
      </c>
      <c r="AK20" s="14">
        <f>IF(AL15+AK15=0,0,AL15/(AL15+AK15))</f>
        <v/>
      </c>
      <c r="AL20" s="14">
        <f>IF(AJ20+AK20=0,0,2*AJ20*AK20/(AJ20+AK20))</f>
        <v/>
      </c>
      <c r="AM20">
        <f>AM15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$AE$12+D21*$AE$13+E21*$AE$14+F21*$AE$15+G21*$AE$16+H21*$AE$17+I21*$AE$18+J21*$AE$19+K21*$AE$20+L21*$AE$21+M21*$AE$22+N21*$AE$23+O21*$AE$24+P21*$AE$25+Q21*$AE$26+R21*$AE$27+S21*$AE$28+T21*$AE$29+U21*$AE$30</f>
        <v/>
      </c>
      <c r="W21" s="8">
        <f>1/(1+EXP(-V21))</f>
        <v/>
      </c>
      <c r="X21" s="9">
        <f>-IF(C21=1,LN(W21),LN(1-W21))</f>
        <v/>
      </c>
      <c r="Y21" s="8">
        <f>1</f>
        <v/>
      </c>
      <c r="Z21" s="9">
        <f>Y21*X21</f>
        <v/>
      </c>
      <c r="AA21" s="10">
        <f>IF(W21&gt;$AE$32,1,0)</f>
        <v/>
      </c>
      <c r="AB21">
        <f>IF(AA21=C21,1,0)</f>
        <v/>
      </c>
      <c r="AD21" t="inlineStr">
        <is>
          <t>hist_delays</t>
        </is>
      </c>
      <c r="AE21" s="11" t="n">
        <v>-0.04019551911120235</v>
      </c>
      <c r="AF21" s="12" t="n">
        <v>-0.04019551911120235</v>
      </c>
      <c r="AI21" s="3" t="inlineStr">
        <is>
          <t>accuracy</t>
        </is>
      </c>
      <c r="AL21" s="14">
        <f>(AL15+AK14)/AM16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$AE$12+D22*$AE$13+E22*$AE$14+F22*$AE$15+G22*$AE$16+H22*$AE$17+I22*$AE$18+J22*$AE$19+K22*$AE$20+L22*$AE$21+M22*$AE$22+N22*$AE$23+O22*$AE$24+P22*$AE$25+Q22*$AE$26+R22*$AE$27+S22*$AE$28+T22*$AE$29+U22*$AE$30</f>
        <v/>
      </c>
      <c r="W22" s="8">
        <f>1/(1+EXP(-V22))</f>
        <v/>
      </c>
      <c r="X22" s="9">
        <f>-IF(C22=1,LN(W22),LN(1-W22))</f>
        <v/>
      </c>
      <c r="Y22" s="8">
        <f>1</f>
        <v/>
      </c>
      <c r="Z22" s="9">
        <f>Y22*X22</f>
        <v/>
      </c>
      <c r="AA22" s="10">
        <f>IF(W22&gt;$AE$32,1,0)</f>
        <v/>
      </c>
      <c r="AB22">
        <f>IF(AA22=C22,1,0)</f>
        <v/>
      </c>
      <c r="AD22" t="inlineStr">
        <is>
          <t>hist_no_credits</t>
        </is>
      </c>
      <c r="AE22" s="11" t="n">
        <v>0.6690656278784681</v>
      </c>
      <c r="AF22" s="12" t="n">
        <v>0.6690656278784681</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$AE$12+D23*$AE$13+E23*$AE$14+F23*$AE$15+G23*$AE$16+H23*$AE$17+I23*$AE$18+J23*$AE$19+K23*$AE$20+L23*$AE$21+M23*$AE$22+N23*$AE$23+O23*$AE$24+P23*$AE$25+Q23*$AE$26+R23*$AE$27+S23*$AE$28+T23*$AE$29+U23*$AE$30</f>
        <v/>
      </c>
      <c r="W23" s="8">
        <f>1/(1+EXP(-V23))</f>
        <v/>
      </c>
      <c r="X23" s="9">
        <f>-IF(C23=1,LN(W23),LN(1-W23))</f>
        <v/>
      </c>
      <c r="Y23" s="8">
        <f>1</f>
        <v/>
      </c>
      <c r="Z23" s="9">
        <f>Y23*X23</f>
        <v/>
      </c>
      <c r="AA23" s="10">
        <f>IF(W23&gt;$AE$32,1,0)</f>
        <v/>
      </c>
      <c r="AB23">
        <f>IF(AA23=C23,1,0)</f>
        <v/>
      </c>
      <c r="AD23" t="inlineStr">
        <is>
          <t>sav_100_1000</t>
        </is>
      </c>
      <c r="AE23" s="11" t="n">
        <v>-0.3895834298458181</v>
      </c>
      <c r="AF23" s="12" t="n">
        <v>-0.3895834298458181</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$AE$12+D24*$AE$13+E24*$AE$14+F24*$AE$15+G24*$AE$16+H24*$AE$17+I24*$AE$18+J24*$AE$19+K24*$AE$20+L24*$AE$21+M24*$AE$22+N24*$AE$23+O24*$AE$24+P24*$AE$25+Q24*$AE$26+R24*$AE$27+S24*$AE$28+T24*$AE$29+U24*$AE$30</f>
        <v/>
      </c>
      <c r="W24" s="8">
        <f>1/(1+EXP(-V24))</f>
        <v/>
      </c>
      <c r="X24" s="9">
        <f>-IF(C24=1,LN(W24),LN(1-W24))</f>
        <v/>
      </c>
      <c r="Y24" s="8">
        <f>1</f>
        <v/>
      </c>
      <c r="Z24" s="9">
        <f>Y24*X24</f>
        <v/>
      </c>
      <c r="AA24" s="10">
        <f>IF(W24&gt;$AE$32,1,0)</f>
        <v/>
      </c>
      <c r="AB24">
        <f>IF(AA24=C24,1,0)</f>
        <v/>
      </c>
      <c r="AD24" t="inlineStr">
        <is>
          <t>sav_over_1000</t>
        </is>
      </c>
      <c r="AE24" s="11" t="n">
        <v>-0.8892238593761824</v>
      </c>
      <c r="AF24" s="12" t="n">
        <v>-0.8892238593761824</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$AE$12+D25*$AE$13+E25*$AE$14+F25*$AE$15+G25*$AE$16+H25*$AE$17+I25*$AE$18+J25*$AE$19+K25*$AE$20+L25*$AE$21+M25*$AE$22+N25*$AE$23+O25*$AE$24+P25*$AE$25+Q25*$AE$26+R25*$AE$27+S25*$AE$28+T25*$AE$29+U25*$AE$30</f>
        <v/>
      </c>
      <c r="W25" s="8">
        <f>1/(1+EXP(-V25))</f>
        <v/>
      </c>
      <c r="X25" s="9">
        <f>-IF(C25=1,LN(W25),LN(1-W25))</f>
        <v/>
      </c>
      <c r="Y25" s="8">
        <f>1</f>
        <v/>
      </c>
      <c r="Z25" s="9">
        <f>Y25*X25</f>
        <v/>
      </c>
      <c r="AA25" s="10">
        <f>IF(W25&gt;$AE$32,1,0)</f>
        <v/>
      </c>
      <c r="AB25">
        <f>IF(AA25=C25,1,0)</f>
        <v/>
      </c>
      <c r="AD25" t="inlineStr">
        <is>
          <t>sav_unknown</t>
        </is>
      </c>
      <c r="AE25" s="11" t="n">
        <v>-1.076092926242446</v>
      </c>
      <c r="AF25" s="12" t="n">
        <v>-1.076092926242446</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$AE$12+D26*$AE$13+E26*$AE$14+F26*$AE$15+G26*$AE$16+H26*$AE$17+I26*$AE$18+J26*$AE$19+K26*$AE$20+L26*$AE$21+M26*$AE$22+N26*$AE$23+O26*$AE$24+P26*$AE$25+Q26*$AE$26+R26*$AE$27+S26*$AE$28+T26*$AE$29+U26*$AE$30</f>
        <v/>
      </c>
      <c r="W26" s="8">
        <f>1/(1+EXP(-V26))</f>
        <v/>
      </c>
      <c r="X26" s="9">
        <f>-IF(C26=1,LN(W26),LN(1-W26))</f>
        <v/>
      </c>
      <c r="Y26" s="8">
        <f>1</f>
        <v/>
      </c>
      <c r="Z26" s="9">
        <f>Y26*X26</f>
        <v/>
      </c>
      <c r="AA26" s="10">
        <f>IF(W26&gt;$AE$32,1,0)</f>
        <v/>
      </c>
      <c r="AB26">
        <f>IF(AA26=C26,1,0)</f>
        <v/>
      </c>
      <c r="AD26" t="inlineStr">
        <is>
          <t>housing_rent</t>
        </is>
      </c>
      <c r="AE26" s="11" t="n">
        <v>0.6538371780658356</v>
      </c>
      <c r="AF26" s="12" t="n">
        <v>0.6538371780658356</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$AE$12+D27*$AE$13+E27*$AE$14+F27*$AE$15+G27*$AE$16+H27*$AE$17+I27*$AE$18+J27*$AE$19+K27*$AE$20+L27*$AE$21+M27*$AE$22+N27*$AE$23+O27*$AE$24+P27*$AE$25+Q27*$AE$26+R27*$AE$27+S27*$AE$28+T27*$AE$29+U27*$AE$30</f>
        <v/>
      </c>
      <c r="W27" s="8">
        <f>1/(1+EXP(-V27))</f>
        <v/>
      </c>
      <c r="X27" s="9">
        <f>-IF(C27=1,LN(W27),LN(1-W27))</f>
        <v/>
      </c>
      <c r="Y27" s="8">
        <f>1</f>
        <v/>
      </c>
      <c r="Z27" s="9">
        <f>Y27*X27</f>
        <v/>
      </c>
      <c r="AA27" s="10">
        <f>IF(W27&gt;$AE$32,1,0)</f>
        <v/>
      </c>
      <c r="AB27">
        <f>IF(AA27=C27,1,0)</f>
        <v/>
      </c>
      <c r="AD27" t="inlineStr">
        <is>
          <t>housing_free</t>
        </is>
      </c>
      <c r="AE27" s="11" t="n">
        <v>0.1953653579159878</v>
      </c>
      <c r="AF27" s="12" t="n">
        <v>0.1953653579159878</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$AE$12+D28*$AE$13+E28*$AE$14+F28*$AE$15+G28*$AE$16+H28*$AE$17+I28*$AE$18+J28*$AE$19+K28*$AE$20+L28*$AE$21+M28*$AE$22+N28*$AE$23+O28*$AE$24+P28*$AE$25+Q28*$AE$26+R28*$AE$27+S28*$AE$28+T28*$AE$29+U28*$AE$30</f>
        <v/>
      </c>
      <c r="W28" s="8">
        <f>1/(1+EXP(-V28))</f>
        <v/>
      </c>
      <c r="X28" s="9">
        <f>-IF(C28=1,LN(W28),LN(1-W28))</f>
        <v/>
      </c>
      <c r="Y28" s="8">
        <f>1</f>
        <v/>
      </c>
      <c r="Z28" s="9">
        <f>Y28*X28</f>
        <v/>
      </c>
      <c r="AA28" s="10">
        <f>IF(W28&gt;$AE$32,1,0)</f>
        <v/>
      </c>
      <c r="AB28">
        <f>IF(AA28=C28,1,0)</f>
        <v/>
      </c>
      <c r="AD28" t="inlineStr">
        <is>
          <t>purpose_car</t>
        </is>
      </c>
      <c r="AE28" s="11" t="n">
        <v>-0.08016547581790479</v>
      </c>
      <c r="AF28" s="12" t="n">
        <v>-0.08016547581790479</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$AE$12+D29*$AE$13+E29*$AE$14+F29*$AE$15+G29*$AE$16+H29*$AE$17+I29*$AE$18+J29*$AE$19+K29*$AE$20+L29*$AE$21+M29*$AE$22+N29*$AE$23+O29*$AE$24+P29*$AE$25+Q29*$AE$26+R29*$AE$27+S29*$AE$28+T29*$AE$29+U29*$AE$30</f>
        <v/>
      </c>
      <c r="W29" s="8">
        <f>1/(1+EXP(-V29))</f>
        <v/>
      </c>
      <c r="X29" s="9">
        <f>-IF(C29=1,LN(W29),LN(1-W29))</f>
        <v/>
      </c>
      <c r="Y29" s="8">
        <f>1</f>
        <v/>
      </c>
      <c r="Z29" s="9">
        <f>Y29*X29</f>
        <v/>
      </c>
      <c r="AA29" s="10">
        <f>IF(W29&gt;$AE$32,1,0)</f>
        <v/>
      </c>
      <c r="AB29">
        <f>IF(AA29=C29,1,0)</f>
        <v/>
      </c>
      <c r="AD29" t="inlineStr">
        <is>
          <t>purpose_radio_tv</t>
        </is>
      </c>
      <c r="AE29" s="11" t="n">
        <v>-0.5202106472417524</v>
      </c>
      <c r="AF29" s="12" t="n">
        <v>-0.5202106472417524</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$AE$12+D30*$AE$13+E30*$AE$14+F30*$AE$15+G30*$AE$16+H30*$AE$17+I30*$AE$18+J30*$AE$19+K30*$AE$20+L30*$AE$21+M30*$AE$22+N30*$AE$23+O30*$AE$24+P30*$AE$25+Q30*$AE$26+R30*$AE$27+S30*$AE$28+T30*$AE$29+U30*$AE$30</f>
        <v/>
      </c>
      <c r="W30" s="8">
        <f>1/(1+EXP(-V30))</f>
        <v/>
      </c>
      <c r="X30" s="9">
        <f>-IF(C30=1,LN(W30),LN(1-W30))</f>
        <v/>
      </c>
      <c r="Y30" s="8">
        <f>1</f>
        <v/>
      </c>
      <c r="Z30" s="9">
        <f>Y30*X30</f>
        <v/>
      </c>
      <c r="AA30" s="10">
        <f>IF(W30&gt;$AE$32,1,0)</f>
        <v/>
      </c>
      <c r="AB30">
        <f>IF(AA30=C30,1,0)</f>
        <v/>
      </c>
      <c r="AD30" t="inlineStr">
        <is>
          <t>purpose_furniture</t>
        </is>
      </c>
      <c r="AE30" s="11" t="n">
        <v>-0.2818027438096851</v>
      </c>
      <c r="AF30" s="12" t="n">
        <v>-0.2818027438096851</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$AE$12+D31*$AE$13+E31*$AE$14+F31*$AE$15+G31*$AE$16+H31*$AE$17+I31*$AE$18+J31*$AE$19+K31*$AE$20+L31*$AE$21+M31*$AE$22+N31*$AE$23+O31*$AE$24+P31*$AE$25+Q31*$AE$26+R31*$AE$27+S31*$AE$28+T31*$AE$29+U31*$AE$30</f>
        <v/>
      </c>
      <c r="W31" s="8">
        <f>1/(1+EXP(-V31))</f>
        <v/>
      </c>
      <c r="X31" s="9">
        <f>-IF(C31=1,LN(W31),LN(1-W31))</f>
        <v/>
      </c>
      <c r="Y31" s="8">
        <f>1</f>
        <v/>
      </c>
      <c r="Z31" s="9">
        <f>Y31*X31</f>
        <v/>
      </c>
      <c r="AA31" s="10">
        <f>IF(W31&gt;$AE$32,1,0)</f>
        <v/>
      </c>
      <c r="AB31">
        <f>IF(AA31=C31,1,0)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$AE$12+D32*$AE$13+E32*$AE$14+F32*$AE$15+G32*$AE$16+H32*$AE$17+I32*$AE$18+J32*$AE$19+K32*$AE$20+L32*$AE$21+M32*$AE$22+N32*$AE$23+O32*$AE$24+P32*$AE$25+Q32*$AE$26+R32*$AE$27+S32*$AE$28+T32*$AE$29+U32*$AE$30</f>
        <v/>
      </c>
      <c r="W32" s="8">
        <f>1/(1+EXP(-V32))</f>
        <v/>
      </c>
      <c r="X32" s="9">
        <f>-IF(C32=1,LN(W32),LN(1-W32))</f>
        <v/>
      </c>
      <c r="Y32" s="8">
        <f>1</f>
        <v/>
      </c>
      <c r="Z32" s="9">
        <f>Y32*X32</f>
        <v/>
      </c>
      <c r="AA32" s="10">
        <f>IF(W32&gt;$AE$32,1,0)</f>
        <v/>
      </c>
      <c r="AB32">
        <f>IF(AA32=C32,1,0)</f>
        <v/>
      </c>
      <c r="AD32" s="3" t="inlineStr">
        <is>
          <t>threshold</t>
        </is>
      </c>
      <c r="AE32" s="15" t="n">
        <v>0.5</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$AE$12+D33*$AE$13+E33*$AE$14+F33*$AE$15+G33*$AE$16+H33*$AE$17+I33*$AE$18+J33*$AE$19+K33*$AE$20+L33*$AE$21+M33*$AE$22+N33*$AE$23+O33*$AE$24+P33*$AE$25+Q33*$AE$26+R33*$AE$27+S33*$AE$28+T33*$AE$29+U33*$AE$30</f>
        <v/>
      </c>
      <c r="W33" s="8">
        <f>1/(1+EXP(-V33))</f>
        <v/>
      </c>
      <c r="X33" s="9">
        <f>-IF(C33=1,LN(W33),LN(1-W33))</f>
        <v/>
      </c>
      <c r="Y33" s="8">
        <f>1</f>
        <v/>
      </c>
      <c r="Z33" s="9">
        <f>Y33*X33</f>
        <v/>
      </c>
      <c r="AA33" s="10">
        <f>IF(W33&gt;$AE$32,1,0)</f>
        <v/>
      </c>
      <c r="AB33">
        <f>IF(AA33=C33,1,0)</f>
        <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$AE$12+D34*$AE$13+E34*$AE$14+F34*$AE$15+G34*$AE$16+H34*$AE$17+I34*$AE$18+J34*$AE$19+K34*$AE$20+L34*$AE$21+M34*$AE$22+N34*$AE$23+O34*$AE$24+P34*$AE$25+Q34*$AE$26+R34*$AE$27+S34*$AE$28+T34*$AE$29+U34*$AE$30</f>
        <v/>
      </c>
      <c r="W34" s="8">
        <f>1/(1+EXP(-V34))</f>
        <v/>
      </c>
      <c r="X34" s="9">
        <f>-IF(C34=1,LN(W34),LN(1-W34))</f>
        <v/>
      </c>
      <c r="Y34" s="8">
        <f>1</f>
        <v/>
      </c>
      <c r="Z34" s="9">
        <f>Y34*X34</f>
        <v/>
      </c>
      <c r="AA34" s="10">
        <f>IF(W34&gt;$AE$32,1,0)</f>
        <v/>
      </c>
      <c r="AB34">
        <f>IF(AA34=C34,1,0)</f>
        <v/>
      </c>
      <c r="AD34" s="3" t="inlineStr">
        <is>
          <t>RESULTS</t>
        </is>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$AE$12+D35*$AE$13+E35*$AE$14+F35*$AE$15+G35*$AE$16+H35*$AE$17+I35*$AE$18+J35*$AE$19+K35*$AE$20+L35*$AE$21+M35*$AE$22+N35*$AE$23+O35*$AE$24+P35*$AE$25+Q35*$AE$26+R35*$AE$27+S35*$AE$28+T35*$AE$29+U35*$AE$30</f>
        <v/>
      </c>
      <c r="W35" s="8">
        <f>1/(1+EXP(-V35))</f>
        <v/>
      </c>
      <c r="X35" s="9">
        <f>-IF(C35=1,LN(W35),LN(1-W35))</f>
        <v/>
      </c>
      <c r="Y35" s="8">
        <f>1</f>
        <v/>
      </c>
      <c r="Z35" s="9">
        <f>Y35*X35</f>
        <v/>
      </c>
      <c r="AA35" s="10">
        <f>IF(W35&gt;$AE$32,1,0)</f>
        <v/>
      </c>
      <c r="AB35">
        <f>IF(AA35=C35,1,0)</f>
        <v/>
      </c>
      <c r="AD35" t="inlineStr">
        <is>
          <t>J = sum of weighted training losses (SOLVER OBJECTIVE)</t>
        </is>
      </c>
      <c r="AE35" s="16">
        <f>SUMPRODUCT(($B$12:$B$1011="training")*$Z$12:$Z$1011)</f>
        <v/>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$AE$12+D36*$AE$13+E36*$AE$14+F36*$AE$15+G36*$AE$16+H36*$AE$17+I36*$AE$18+J36*$AE$19+K36*$AE$20+L36*$AE$21+M36*$AE$22+N36*$AE$23+O36*$AE$24+P36*$AE$25+Q36*$AE$26+R36*$AE$27+S36*$AE$28+T36*$AE$29+U36*$AE$30</f>
        <v/>
      </c>
      <c r="W36" s="8">
        <f>1/(1+EXP(-V36))</f>
        <v/>
      </c>
      <c r="X36" s="9">
        <f>-IF(C36=1,LN(W36),LN(1-W36))</f>
        <v/>
      </c>
      <c r="Y36" s="8">
        <f>1</f>
        <v/>
      </c>
      <c r="Z36" s="9">
        <f>Y36*X36</f>
        <v/>
      </c>
      <c r="AA36" s="10">
        <f>IF(W36&gt;$AE$32,1,0)</f>
        <v/>
      </c>
      <c r="AB36">
        <f>IF(AA36=C36,1,0)</f>
        <v/>
      </c>
      <c r="AD36" t="inlineStr">
        <is>
          <t>sum of row weights in training</t>
        </is>
      </c>
      <c r="AE36" s="17">
        <f>SUMPRODUCT(($B$12:$B$1011="training")*$Y$12:$Y$1011)</f>
        <v/>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$AE$12+D37*$AE$13+E37*$AE$14+F37*$AE$15+G37*$AE$16+H37*$AE$17+I37*$AE$18+J37*$AE$19+K37*$AE$20+L37*$AE$21+M37*$AE$22+N37*$AE$23+O37*$AE$24+P37*$AE$25+Q37*$AE$26+R37*$AE$27+S37*$AE$28+T37*$AE$29+U37*$AE$30</f>
        <v/>
      </c>
      <c r="W37" s="8">
        <f>1/(1+EXP(-V37))</f>
        <v/>
      </c>
      <c r="X37" s="9">
        <f>-IF(C37=1,LN(W37),LN(1-W37))</f>
        <v/>
      </c>
      <c r="Y37" s="8">
        <f>1</f>
        <v/>
      </c>
      <c r="Z37" s="9">
        <f>Y37*X37</f>
        <v/>
      </c>
      <c r="AA37" s="10">
        <f>IF(W37&gt;$AE$32,1,0)</f>
        <v/>
      </c>
      <c r="AB37">
        <f>IF(AA37=C37,1,0)</f>
        <v/>
      </c>
      <c r="AD37" t="inlineStr">
        <is>
          <t>of which, class 1</t>
        </is>
      </c>
      <c r="AE37" s="17">
        <f>SUMPRODUCT(($B$12:$B$1011="training")*($C$12:$C$1011=1)*$Y$12:$Y$1011)</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$AE$12+D38*$AE$13+E38*$AE$14+F38*$AE$15+G38*$AE$16+H38*$AE$17+I38*$AE$18+J38*$AE$19+K38*$AE$20+L38*$AE$21+M38*$AE$22+N38*$AE$23+O38*$AE$24+P38*$AE$25+Q38*$AE$26+R38*$AE$27+S38*$AE$28+T38*$AE$29+U38*$AE$30</f>
        <v/>
      </c>
      <c r="W38" s="8">
        <f>1/(1+EXP(-V38))</f>
        <v/>
      </c>
      <c r="X38" s="9">
        <f>-IF(C38=1,LN(W38),LN(1-W38))</f>
        <v/>
      </c>
      <c r="Y38" s="8">
        <f>1</f>
        <v/>
      </c>
      <c r="Z38" s="9">
        <f>Y38*X38</f>
        <v/>
      </c>
      <c r="AA38" s="10">
        <f>IF(W38&gt;$AE$32,1,0)</f>
        <v/>
      </c>
      <c r="AB38">
        <f>IF(AA38=C38,1,0)</f>
        <v/>
      </c>
      <c r="AD38" t="inlineStr">
        <is>
          <t>of which, class 0</t>
        </is>
      </c>
      <c r="AE38" s="17">
        <f>SUMPRODUCT(($B$12:$B$1011="training")*($C$12:$C$1011=0)*$Y$12:$Y$1011)</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$AE$12+D39*$AE$13+E39*$AE$14+F39*$AE$15+G39*$AE$16+H39*$AE$17+I39*$AE$18+J39*$AE$19+K39*$AE$20+L39*$AE$21+M39*$AE$22+N39*$AE$23+O39*$AE$24+P39*$AE$25+Q39*$AE$26+R39*$AE$27+S39*$AE$28+T39*$AE$29+U39*$AE$30</f>
        <v/>
      </c>
      <c r="W39" s="8">
        <f>1/(1+EXP(-V39))</f>
        <v/>
      </c>
      <c r="X39" s="9">
        <f>-IF(C39=1,LN(W39),LN(1-W39))</f>
        <v/>
      </c>
      <c r="Y39" s="8">
        <f>1</f>
        <v/>
      </c>
      <c r="Z39" s="9">
        <f>Y39*X39</f>
        <v/>
      </c>
      <c r="AA39" s="10">
        <f>IF(W39&gt;$AE$32,1,0)</f>
        <v/>
      </c>
      <c r="AB39">
        <f>IF(AA39=C39,1,0)</f>
        <v/>
      </c>
      <c r="AD39" t="inlineStr">
        <is>
          <t>average testing loss (unweighted)</t>
        </is>
      </c>
      <c r="AE39" s="18">
        <f>SUMPRODUCT(($B$12:$B$1011="testing")*$X$12:$X$1011)/COUNTIF($B$12:$B$1011,"testing")</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$AE$12+D40*$AE$13+E40*$AE$14+F40*$AE$15+G40*$AE$16+H40*$AE$17+I40*$AE$18+J40*$AE$19+K40*$AE$20+L40*$AE$21+M40*$AE$22+N40*$AE$23+O40*$AE$24+P40*$AE$25+Q40*$AE$26+R40*$AE$27+S40*$AE$28+T40*$AE$29+U40*$AE$30</f>
        <v/>
      </c>
      <c r="W40" s="8">
        <f>1/(1+EXP(-V40))</f>
        <v/>
      </c>
      <c r="X40" s="9">
        <f>-IF(C40=1,LN(W40),LN(1-W40))</f>
        <v/>
      </c>
      <c r="Y40" s="8">
        <f>1</f>
        <v/>
      </c>
      <c r="Z40" s="9">
        <f>Y40*X40</f>
        <v/>
      </c>
      <c r="AA40" s="10">
        <f>IF(W40&gt;$AE$32,1,0)</f>
        <v/>
      </c>
      <c r="AB40">
        <f>IF(AA40=C40,1,0)</f>
        <v/>
      </c>
      <c r="AD40" t="inlineStr">
        <is>
          <t>average p on testing (the actual rate is 0.300)</t>
        </is>
      </c>
      <c r="AE40" s="14">
        <f>SUMPRODUCT(($B$12:$B$1011="testing")*$W$12:$W$1011)/COUNTIF($B$12:$B$1011,"testing")</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$AE$12+D41*$AE$13+E41*$AE$14+F41*$AE$15+G41*$AE$16+H41*$AE$17+I41*$AE$18+J41*$AE$19+K41*$AE$20+L41*$AE$21+M41*$AE$22+N41*$AE$23+O41*$AE$24+P41*$AE$25+Q41*$AE$26+R41*$AE$27+S41*$AE$28+T41*$AE$29+U41*$AE$30</f>
        <v/>
      </c>
      <c r="W41" s="8">
        <f>1/(1+EXP(-V41))</f>
        <v/>
      </c>
      <c r="X41" s="9">
        <f>-IF(C41=1,LN(W41),LN(1-W41))</f>
        <v/>
      </c>
      <c r="Y41" s="8">
        <f>1</f>
        <v/>
      </c>
      <c r="Z41" s="9">
        <f>Y41*X41</f>
        <v/>
      </c>
      <c r="AA41" s="10">
        <f>IF(W41&gt;$AE$32,1,0)</f>
        <v/>
      </c>
      <c r="AB41">
        <f>IF(AA41=C41,1,0)</f>
        <v/>
      </c>
      <c r="AD41" t="inlineStr">
        <is>
          <t>testing accuracy</t>
        </is>
      </c>
      <c r="AE41" s="19">
        <f>SUMPRODUCT(($B$12:$B$1011="testing")*$AB$12:$AB$1011)/COUNTIF($B$12:$B$1011,"testing")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$AE$12+D42*$AE$13+E42*$AE$14+F42*$AE$15+G42*$AE$16+H42*$AE$17+I42*$AE$18+J42*$AE$19+K42*$AE$20+L42*$AE$21+M42*$AE$22+N42*$AE$23+O42*$AE$24+P42*$AE$25+Q42*$AE$26+R42*$AE$27+S42*$AE$28+T42*$AE$29+U42*$AE$30</f>
        <v/>
      </c>
      <c r="W42" s="8">
        <f>1/(1+EXP(-V42))</f>
        <v/>
      </c>
      <c r="X42" s="9">
        <f>-IF(C42=1,LN(W42),LN(1-W42))</f>
        <v/>
      </c>
      <c r="Y42" s="8">
        <f>1</f>
        <v/>
      </c>
      <c r="Z42" s="9">
        <f>Y42*X42</f>
        <v/>
      </c>
      <c r="AA42" s="10">
        <f>IF(W42&gt;$AE$32,1,0)</f>
        <v/>
      </c>
      <c r="AB42">
        <f>IF(AA42=C42,1,0)</f>
        <v/>
      </c>
      <c r="AD42" t="inlineStr">
        <is>
          <t>scikit-learn reference: class 1 recall on testing (threshold 0.5)</t>
        </is>
      </c>
      <c r="AE42" s="6" t="n">
        <v>0.5666666666666667</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$AE$12+D43*$AE$13+E43*$AE$14+F43*$AE$15+G43*$AE$16+H43*$AE$17+I43*$AE$18+J43*$AE$19+K43*$AE$20+L43*$AE$21+M43*$AE$22+N43*$AE$23+O43*$AE$24+P43*$AE$25+Q43*$AE$26+R43*$AE$27+S43*$AE$28+T43*$AE$29+U43*$AE$30</f>
        <v/>
      </c>
      <c r="W43" s="8">
        <f>1/(1+EXP(-V43))</f>
        <v/>
      </c>
      <c r="X43" s="9">
        <f>-IF(C43=1,LN(W43),LN(1-W43))</f>
        <v/>
      </c>
      <c r="Y43" s="8">
        <f>1</f>
        <v/>
      </c>
      <c r="Z43" s="9">
        <f>Y43*X43</f>
        <v/>
      </c>
      <c r="AA43" s="10">
        <f>IF(W43&gt;$AE$32,1,0)</f>
        <v/>
      </c>
      <c r="AB43">
        <f>IF(AA43=C43,1,0)</f>
        <v/>
      </c>
      <c r="AD43" t="inlineStr">
        <is>
          <t>scikit-learn reference: class 1 precision on testing</t>
        </is>
      </c>
      <c r="AE43" s="6" t="n">
        <v>0.6538461538461539</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$AE$12+D44*$AE$13+E44*$AE$14+F44*$AE$15+G44*$AE$16+H44*$AE$17+I44*$AE$18+J44*$AE$19+K44*$AE$20+L44*$AE$21+M44*$AE$22+N44*$AE$23+O44*$AE$24+P44*$AE$25+Q44*$AE$26+R44*$AE$27+S44*$AE$28+T44*$AE$29+U44*$AE$30</f>
        <v/>
      </c>
      <c r="W44" s="8">
        <f>1/(1+EXP(-V44))</f>
        <v/>
      </c>
      <c r="X44" s="9">
        <f>-IF(C44=1,LN(W44),LN(1-W44))</f>
        <v/>
      </c>
      <c r="Y44" s="8">
        <f>1</f>
        <v/>
      </c>
      <c r="Z44" s="9">
        <f>Y44*X44</f>
        <v/>
      </c>
      <c r="AA44" s="10">
        <f>IF(W44&gt;$AE$32,1,0)</f>
        <v/>
      </c>
      <c r="AB44">
        <f>IF(AA44=C44,1,0)</f>
        <v/>
      </c>
      <c r="AD44" t="inlineStr">
        <is>
          <t>scikit-learn reference: testing AUC</t>
        </is>
      </c>
      <c r="AE44" s="6" t="n">
        <v>0.8216931216931216</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$AE$12+D45*$AE$13+E45*$AE$14+F45*$AE$15+G45*$AE$16+H45*$AE$17+I45*$AE$18+J45*$AE$19+K45*$AE$20+L45*$AE$21+M45*$AE$22+N45*$AE$23+O45*$AE$24+P45*$AE$25+Q45*$AE$26+R45*$AE$27+S45*$AE$28+T45*$AE$29+U45*$AE$30</f>
        <v/>
      </c>
      <c r="W45" s="8">
        <f>1/(1+EXP(-V45))</f>
        <v/>
      </c>
      <c r="X45" s="9">
        <f>-IF(C45=1,LN(W45),LN(1-W45))</f>
        <v/>
      </c>
      <c r="Y45" s="8">
        <f>1</f>
        <v/>
      </c>
      <c r="Z45" s="9">
        <f>Y45*X45</f>
        <v/>
      </c>
      <c r="AA45" s="10">
        <f>IF(W45&gt;$AE$32,1,0)</f>
        <v/>
      </c>
      <c r="AB45">
        <f>IF(AA45=C45,1,0)</f>
        <v/>
      </c>
    </row>
    <row r="46" ht="62" customHeight="1">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$AE$12+D46*$AE$13+E46*$AE$14+F46*$AE$15+G46*$AE$16+H46*$AE$17+I46*$AE$18+J46*$AE$19+K46*$AE$20+L46*$AE$21+M46*$AE$22+N46*$AE$23+O46*$AE$24+P46*$AE$25+Q46*$AE$26+R46*$AE$27+S46*$AE$28+T46*$AE$29+U46*$AE$30</f>
        <v/>
      </c>
      <c r="W46" s="8">
        <f>1/(1+EXP(-V46))</f>
        <v/>
      </c>
      <c r="X46" s="9">
        <f>-IF(C46=1,LN(W46),LN(1-W46))</f>
        <v/>
      </c>
      <c r="Y46" s="8">
        <f>1</f>
        <v/>
      </c>
      <c r="Z46" s="9">
        <f>Y46*X46</f>
        <v/>
      </c>
      <c r="AA46" s="10">
        <f>IF(W46&gt;$AE$32,1,0)</f>
        <v/>
      </c>
      <c r="AB46">
        <f>IF(AA46=C46,1,0)</f>
        <v/>
      </c>
      <c r="AD46" s="2" t="inlineStr">
        <is>
          <t>Solver: minimize J by changing the light blue model weight cells (not the class weight cells), GRG Nonlinear, central derivatives, convergence 0.000001, no constraints and with 'Make Unconstrained Variables Non-Negative' UNTICKED. Run twice if it stops early.</t>
        </is>
      </c>
    </row>
    <row r="47">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$AE$12+D47*$AE$13+E47*$AE$14+F47*$AE$15+G47*$AE$16+H47*$AE$17+I47*$AE$18+J47*$AE$19+K47*$AE$20+L47*$AE$21+M47*$AE$22+N47*$AE$23+O47*$AE$24+P47*$AE$25+Q47*$AE$26+R47*$AE$27+S47*$AE$28+T47*$AE$29+U47*$AE$30</f>
        <v/>
      </c>
      <c r="W47" s="8">
        <f>1/(1+EXP(-V47))</f>
        <v/>
      </c>
      <c r="X47" s="9">
        <f>-IF(C47=1,LN(W47),LN(1-W47))</f>
        <v/>
      </c>
      <c r="Y47" s="8">
        <f>1</f>
        <v/>
      </c>
      <c r="Z47" s="9">
        <f>Y47*X47</f>
        <v/>
      </c>
      <c r="AA47" s="10">
        <f>IF(W47&gt;$AE$32,1,0)</f>
        <v/>
      </c>
      <c r="AB47">
        <f>IF(AA47=C47,1,0)</f>
        <v/>
      </c>
    </row>
    <row r="48">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$AE$12+D48*$AE$13+E48*$AE$14+F48*$AE$15+G48*$AE$16+H48*$AE$17+I48*$AE$18+J48*$AE$19+K48*$AE$20+L48*$AE$21+M48*$AE$22+N48*$AE$23+O48*$AE$24+P48*$AE$25+Q48*$AE$26+R48*$AE$27+S48*$AE$28+T48*$AE$29+U48*$AE$30</f>
        <v/>
      </c>
      <c r="W48" s="8">
        <f>1/(1+EXP(-V48))</f>
        <v/>
      </c>
      <c r="X48" s="9">
        <f>-IF(C48=1,LN(W48),LN(1-W48))</f>
        <v/>
      </c>
      <c r="Y48" s="8">
        <f>1</f>
        <v/>
      </c>
      <c r="Z48" s="9">
        <f>Y48*X48</f>
        <v/>
      </c>
      <c r="AA48" s="10">
        <f>IF(W48&gt;$AE$32,1,0)</f>
        <v/>
      </c>
      <c r="AB48">
        <f>IF(AA48=C48,1,0)</f>
        <v/>
      </c>
    </row>
    <row r="49">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$AE$12+D49*$AE$13+E49*$AE$14+F49*$AE$15+G49*$AE$16+H49*$AE$17+I49*$AE$18+J49*$AE$19+K49*$AE$20+L49*$AE$21+M49*$AE$22+N49*$AE$23+O49*$AE$24+P49*$AE$25+Q49*$AE$26+R49*$AE$27+S49*$AE$28+T49*$AE$29+U49*$AE$30</f>
        <v/>
      </c>
      <c r="W49" s="8">
        <f>1/(1+EXP(-V49))</f>
        <v/>
      </c>
      <c r="X49" s="9">
        <f>-IF(C49=1,LN(W49),LN(1-W49))</f>
        <v/>
      </c>
      <c r="Y49" s="8">
        <f>1</f>
        <v/>
      </c>
      <c r="Z49" s="9">
        <f>Y49*X49</f>
        <v/>
      </c>
      <c r="AA49" s="10">
        <f>IF(W49&gt;$AE$32,1,0)</f>
        <v/>
      </c>
      <c r="AB49">
        <f>IF(AA49=C49,1,0)</f>
        <v/>
      </c>
    </row>
    <row r="50">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$AE$12+D50*$AE$13+E50*$AE$14+F50*$AE$15+G50*$AE$16+H50*$AE$17+I50*$AE$18+J50*$AE$19+K50*$AE$20+L50*$AE$21+M50*$AE$22+N50*$AE$23+O50*$AE$24+P50*$AE$25+Q50*$AE$26+R50*$AE$27+S50*$AE$28+T50*$AE$29+U50*$AE$30</f>
        <v/>
      </c>
      <c r="W50" s="8">
        <f>1/(1+EXP(-V50))</f>
        <v/>
      </c>
      <c r="X50" s="9">
        <f>-IF(C50=1,LN(W50),LN(1-W50))</f>
        <v/>
      </c>
      <c r="Y50" s="8">
        <f>1</f>
        <v/>
      </c>
      <c r="Z50" s="9">
        <f>Y50*X50</f>
        <v/>
      </c>
      <c r="AA50" s="10">
        <f>IF(W50&gt;$AE$32,1,0)</f>
        <v/>
      </c>
      <c r="AB50">
        <f>IF(AA50=C50,1,0)</f>
        <v/>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$AE$12+D51*$AE$13+E51*$AE$14+F51*$AE$15+G51*$AE$16+H51*$AE$17+I51*$AE$18+J51*$AE$19+K51*$AE$20+L51*$AE$21+M51*$AE$22+N51*$AE$23+O51*$AE$24+P51*$AE$25+Q51*$AE$26+R51*$AE$27+S51*$AE$28+T51*$AE$29+U51*$AE$30</f>
        <v/>
      </c>
      <c r="W51" s="8">
        <f>1/(1+EXP(-V51))</f>
        <v/>
      </c>
      <c r="X51" s="9">
        <f>-IF(C51=1,LN(W51),LN(1-W51))</f>
        <v/>
      </c>
      <c r="Y51" s="8">
        <f>1</f>
        <v/>
      </c>
      <c r="Z51" s="9">
        <f>Y51*X51</f>
        <v/>
      </c>
      <c r="AA51" s="10">
        <f>IF(W51&gt;$AE$32,1,0)</f>
        <v/>
      </c>
      <c r="AB51">
        <f>IF(AA51=C51,1,0)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$AE$12+D52*$AE$13+E52*$AE$14+F52*$AE$15+G52*$AE$16+H52*$AE$17+I52*$AE$18+J52*$AE$19+K52*$AE$20+L52*$AE$21+M52*$AE$22+N52*$AE$23+O52*$AE$24+P52*$AE$25+Q52*$AE$26+R52*$AE$27+S52*$AE$28+T52*$AE$29+U52*$AE$30</f>
        <v/>
      </c>
      <c r="W52" s="8">
        <f>1/(1+EXP(-V52))</f>
        <v/>
      </c>
      <c r="X52" s="9">
        <f>-IF(C52=1,LN(W52),LN(1-W52))</f>
        <v/>
      </c>
      <c r="Y52" s="8">
        <f>1</f>
        <v/>
      </c>
      <c r="Z52" s="9">
        <f>Y52*X52</f>
        <v/>
      </c>
      <c r="AA52" s="10">
        <f>IF(W52&gt;$AE$32,1,0)</f>
        <v/>
      </c>
      <c r="AB52">
        <f>IF(AA52=C52,1,0)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$AE$12+D53*$AE$13+E53*$AE$14+F53*$AE$15+G53*$AE$16+H53*$AE$17+I53*$AE$18+J53*$AE$19+K53*$AE$20+L53*$AE$21+M53*$AE$22+N53*$AE$23+O53*$AE$24+P53*$AE$25+Q53*$AE$26+R53*$AE$27+S53*$AE$28+T53*$AE$29+U53*$AE$30</f>
        <v/>
      </c>
      <c r="W53" s="8">
        <f>1/(1+EXP(-V53))</f>
        <v/>
      </c>
      <c r="X53" s="9">
        <f>-IF(C53=1,LN(W53),LN(1-W53))</f>
        <v/>
      </c>
      <c r="Y53" s="8">
        <f>1</f>
        <v/>
      </c>
      <c r="Z53" s="9">
        <f>Y53*X53</f>
        <v/>
      </c>
      <c r="AA53" s="10">
        <f>IF(W53&gt;$AE$32,1,0)</f>
        <v/>
      </c>
      <c r="AB53">
        <f>IF(AA53=C53,1,0)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$AE$12+D54*$AE$13+E54*$AE$14+F54*$AE$15+G54*$AE$16+H54*$AE$17+I54*$AE$18+J54*$AE$19+K54*$AE$20+L54*$AE$21+M54*$AE$22+N54*$AE$23+O54*$AE$24+P54*$AE$25+Q54*$AE$26+R54*$AE$27+S54*$AE$28+T54*$AE$29+U54*$AE$30</f>
        <v/>
      </c>
      <c r="W54" s="8">
        <f>1/(1+EXP(-V54))</f>
        <v/>
      </c>
      <c r="X54" s="9">
        <f>-IF(C54=1,LN(W54),LN(1-W54))</f>
        <v/>
      </c>
      <c r="Y54" s="8">
        <f>1</f>
        <v/>
      </c>
      <c r="Z54" s="9">
        <f>Y54*X54</f>
        <v/>
      </c>
      <c r="AA54" s="10">
        <f>IF(W54&gt;$AE$32,1,0)</f>
        <v/>
      </c>
      <c r="AB54">
        <f>IF(AA54=C54,1,0)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$AE$12+D55*$AE$13+E55*$AE$14+F55*$AE$15+G55*$AE$16+H55*$AE$17+I55*$AE$18+J55*$AE$19+K55*$AE$20+L55*$AE$21+M55*$AE$22+N55*$AE$23+O55*$AE$24+P55*$AE$25+Q55*$AE$26+R55*$AE$27+S55*$AE$28+T55*$AE$29+U55*$AE$30</f>
        <v/>
      </c>
      <c r="W55" s="8">
        <f>1/(1+EXP(-V55))</f>
        <v/>
      </c>
      <c r="X55" s="9">
        <f>-IF(C55=1,LN(W55),LN(1-W55))</f>
        <v/>
      </c>
      <c r="Y55" s="8">
        <f>1</f>
        <v/>
      </c>
      <c r="Z55" s="9">
        <f>Y55*X55</f>
        <v/>
      </c>
      <c r="AA55" s="10">
        <f>IF(W55&gt;$AE$32,1,0)</f>
        <v/>
      </c>
      <c r="AB55">
        <f>IF(AA55=C55,1,0)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$AE$12+D56*$AE$13+E56*$AE$14+F56*$AE$15+G56*$AE$16+H56*$AE$17+I56*$AE$18+J56*$AE$19+K56*$AE$20+L56*$AE$21+M56*$AE$22+N56*$AE$23+O56*$AE$24+P56*$AE$25+Q56*$AE$26+R56*$AE$27+S56*$AE$28+T56*$AE$29+U56*$AE$30</f>
        <v/>
      </c>
      <c r="W56" s="8">
        <f>1/(1+EXP(-V56))</f>
        <v/>
      </c>
      <c r="X56" s="9">
        <f>-IF(C56=1,LN(W56),LN(1-W56))</f>
        <v/>
      </c>
      <c r="Y56" s="8">
        <f>1</f>
        <v/>
      </c>
      <c r="Z56" s="9">
        <f>Y56*X56</f>
        <v/>
      </c>
      <c r="AA56" s="10">
        <f>IF(W56&gt;$AE$32,1,0)</f>
        <v/>
      </c>
      <c r="AB56">
        <f>IF(AA56=C56,1,0)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$AE$12+D57*$AE$13+E57*$AE$14+F57*$AE$15+G57*$AE$16+H57*$AE$17+I57*$AE$18+J57*$AE$19+K57*$AE$20+L57*$AE$21+M57*$AE$22+N57*$AE$23+O57*$AE$24+P57*$AE$25+Q57*$AE$26+R57*$AE$27+S57*$AE$28+T57*$AE$29+U57*$AE$30</f>
        <v/>
      </c>
      <c r="W57" s="8">
        <f>1/(1+EXP(-V57))</f>
        <v/>
      </c>
      <c r="X57" s="9">
        <f>-IF(C57=1,LN(W57),LN(1-W57))</f>
        <v/>
      </c>
      <c r="Y57" s="8">
        <f>1</f>
        <v/>
      </c>
      <c r="Z57" s="9">
        <f>Y57*X57</f>
        <v/>
      </c>
      <c r="AA57" s="10">
        <f>IF(W57&gt;$AE$32,1,0)</f>
        <v/>
      </c>
      <c r="AB57">
        <f>IF(AA57=C57,1,0)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$AE$12+D58*$AE$13+E58*$AE$14+F58*$AE$15+G58*$AE$16+H58*$AE$17+I58*$AE$18+J58*$AE$19+K58*$AE$20+L58*$AE$21+M58*$AE$22+N58*$AE$23+O58*$AE$24+P58*$AE$25+Q58*$AE$26+R58*$AE$27+S58*$AE$28+T58*$AE$29+U58*$AE$30</f>
        <v/>
      </c>
      <c r="W58" s="8">
        <f>1/(1+EXP(-V58))</f>
        <v/>
      </c>
      <c r="X58" s="9">
        <f>-IF(C58=1,LN(W58),LN(1-W58))</f>
        <v/>
      </c>
      <c r="Y58" s="8">
        <f>1</f>
        <v/>
      </c>
      <c r="Z58" s="9">
        <f>Y58*X58</f>
        <v/>
      </c>
      <c r="AA58" s="10">
        <f>IF(W58&gt;$AE$32,1,0)</f>
        <v/>
      </c>
      <c r="AB58">
        <f>IF(AA58=C58,1,0)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$AE$12+D59*$AE$13+E59*$AE$14+F59*$AE$15+G59*$AE$16+H59*$AE$17+I59*$AE$18+J59*$AE$19+K59*$AE$20+L59*$AE$21+M59*$AE$22+N59*$AE$23+O59*$AE$24+P59*$AE$25+Q59*$AE$26+R59*$AE$27+S59*$AE$28+T59*$AE$29+U59*$AE$30</f>
        <v/>
      </c>
      <c r="W59" s="8">
        <f>1/(1+EXP(-V59))</f>
        <v/>
      </c>
      <c r="X59" s="9">
        <f>-IF(C59=1,LN(W59),LN(1-W59))</f>
        <v/>
      </c>
      <c r="Y59" s="8">
        <f>1</f>
        <v/>
      </c>
      <c r="Z59" s="9">
        <f>Y59*X59</f>
        <v/>
      </c>
      <c r="AA59" s="10">
        <f>IF(W59&gt;$AE$32,1,0)</f>
        <v/>
      </c>
      <c r="AB59">
        <f>IF(AA59=C59,1,0)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$AE$12+D60*$AE$13+E60*$AE$14+F60*$AE$15+G60*$AE$16+H60*$AE$17+I60*$AE$18+J60*$AE$19+K60*$AE$20+L60*$AE$21+M60*$AE$22+N60*$AE$23+O60*$AE$24+P60*$AE$25+Q60*$AE$26+R60*$AE$27+S60*$AE$28+T60*$AE$29+U60*$AE$30</f>
        <v/>
      </c>
      <c r="W60" s="8">
        <f>1/(1+EXP(-V60))</f>
        <v/>
      </c>
      <c r="X60" s="9">
        <f>-IF(C60=1,LN(W60),LN(1-W60))</f>
        <v/>
      </c>
      <c r="Y60" s="8">
        <f>1</f>
        <v/>
      </c>
      <c r="Z60" s="9">
        <f>Y60*X60</f>
        <v/>
      </c>
      <c r="AA60" s="10">
        <f>IF(W60&gt;$AE$32,1,0)</f>
        <v/>
      </c>
      <c r="AB60">
        <f>IF(AA60=C60,1,0)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$AE$12+D61*$AE$13+E61*$AE$14+F61*$AE$15+G61*$AE$16+H61*$AE$17+I61*$AE$18+J61*$AE$19+K61*$AE$20+L61*$AE$21+M61*$AE$22+N61*$AE$23+O61*$AE$24+P61*$AE$25+Q61*$AE$26+R61*$AE$27+S61*$AE$28+T61*$AE$29+U61*$AE$30</f>
        <v/>
      </c>
      <c r="W61" s="8">
        <f>1/(1+EXP(-V61))</f>
        <v/>
      </c>
      <c r="X61" s="9">
        <f>-IF(C61=1,LN(W61),LN(1-W61))</f>
        <v/>
      </c>
      <c r="Y61" s="8">
        <f>1</f>
        <v/>
      </c>
      <c r="Z61" s="9">
        <f>Y61*X61</f>
        <v/>
      </c>
      <c r="AA61" s="10">
        <f>IF(W61&gt;$AE$32,1,0)</f>
        <v/>
      </c>
      <c r="AB61">
        <f>IF(AA61=C61,1,0)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$AE$12+D62*$AE$13+E62*$AE$14+F62*$AE$15+G62*$AE$16+H62*$AE$17+I62*$AE$18+J62*$AE$19+K62*$AE$20+L62*$AE$21+M62*$AE$22+N62*$AE$23+O62*$AE$24+P62*$AE$25+Q62*$AE$26+R62*$AE$27+S62*$AE$28+T62*$AE$29+U62*$AE$30</f>
        <v/>
      </c>
      <c r="W62" s="8">
        <f>1/(1+EXP(-V62))</f>
        <v/>
      </c>
      <c r="X62" s="9">
        <f>-IF(C62=1,LN(W62),LN(1-W62))</f>
        <v/>
      </c>
      <c r="Y62" s="8">
        <f>1</f>
        <v/>
      </c>
      <c r="Z62" s="9">
        <f>Y62*X62</f>
        <v/>
      </c>
      <c r="AA62" s="10">
        <f>IF(W62&gt;$AE$32,1,0)</f>
        <v/>
      </c>
      <c r="AB62">
        <f>IF(AA62=C62,1,0)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$AE$12+D63*$AE$13+E63*$AE$14+F63*$AE$15+G63*$AE$16+H63*$AE$17+I63*$AE$18+J63*$AE$19+K63*$AE$20+L63*$AE$21+M63*$AE$22+N63*$AE$23+O63*$AE$24+P63*$AE$25+Q63*$AE$26+R63*$AE$27+S63*$AE$28+T63*$AE$29+U63*$AE$30</f>
        <v/>
      </c>
      <c r="W63" s="8">
        <f>1/(1+EXP(-V63))</f>
        <v/>
      </c>
      <c r="X63" s="9">
        <f>-IF(C63=1,LN(W63),LN(1-W63))</f>
        <v/>
      </c>
      <c r="Y63" s="8">
        <f>1</f>
        <v/>
      </c>
      <c r="Z63" s="9">
        <f>Y63*X63</f>
        <v/>
      </c>
      <c r="AA63" s="10">
        <f>IF(W63&gt;$AE$32,1,0)</f>
        <v/>
      </c>
      <c r="AB63">
        <f>IF(AA63=C63,1,0)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$AE$12+D64*$AE$13+E64*$AE$14+F64*$AE$15+G64*$AE$16+H64*$AE$17+I64*$AE$18+J64*$AE$19+K64*$AE$20+L64*$AE$21+M64*$AE$22+N64*$AE$23+O64*$AE$24+P64*$AE$25+Q64*$AE$26+R64*$AE$27+S64*$AE$28+T64*$AE$29+U64*$AE$30</f>
        <v/>
      </c>
      <c r="W64" s="8">
        <f>1/(1+EXP(-V64))</f>
        <v/>
      </c>
      <c r="X64" s="9">
        <f>-IF(C64=1,LN(W64),LN(1-W64))</f>
        <v/>
      </c>
      <c r="Y64" s="8">
        <f>1</f>
        <v/>
      </c>
      <c r="Z64" s="9">
        <f>Y64*X64</f>
        <v/>
      </c>
      <c r="AA64" s="10">
        <f>IF(W64&gt;$AE$32,1,0)</f>
        <v/>
      </c>
      <c r="AB64">
        <f>IF(AA64=C64,1,0)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$AE$12+D65*$AE$13+E65*$AE$14+F65*$AE$15+G65*$AE$16+H65*$AE$17+I65*$AE$18+J65*$AE$19+K65*$AE$20+L65*$AE$21+M65*$AE$22+N65*$AE$23+O65*$AE$24+P65*$AE$25+Q65*$AE$26+R65*$AE$27+S65*$AE$28+T65*$AE$29+U65*$AE$30</f>
        <v/>
      </c>
      <c r="W65" s="8">
        <f>1/(1+EXP(-V65))</f>
        <v/>
      </c>
      <c r="X65" s="9">
        <f>-IF(C65=1,LN(W65),LN(1-W65))</f>
        <v/>
      </c>
      <c r="Y65" s="8">
        <f>1</f>
        <v/>
      </c>
      <c r="Z65" s="9">
        <f>Y65*X65</f>
        <v/>
      </c>
      <c r="AA65" s="10">
        <f>IF(W65&gt;$AE$32,1,0)</f>
        <v/>
      </c>
      <c r="AB65">
        <f>IF(AA65=C65,1,0)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$AE$12+D66*$AE$13+E66*$AE$14+F66*$AE$15+G66*$AE$16+H66*$AE$17+I66*$AE$18+J66*$AE$19+K66*$AE$20+L66*$AE$21+M66*$AE$22+N66*$AE$23+O66*$AE$24+P66*$AE$25+Q66*$AE$26+R66*$AE$27+S66*$AE$28+T66*$AE$29+U66*$AE$30</f>
        <v/>
      </c>
      <c r="W66" s="8">
        <f>1/(1+EXP(-V66))</f>
        <v/>
      </c>
      <c r="X66" s="9">
        <f>-IF(C66=1,LN(W66),LN(1-W66))</f>
        <v/>
      </c>
      <c r="Y66" s="8">
        <f>1</f>
        <v/>
      </c>
      <c r="Z66" s="9">
        <f>Y66*X66</f>
        <v/>
      </c>
      <c r="AA66" s="10">
        <f>IF(W66&gt;$AE$32,1,0)</f>
        <v/>
      </c>
      <c r="AB66">
        <f>IF(AA66=C66,1,0)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$AE$12+D67*$AE$13+E67*$AE$14+F67*$AE$15+G67*$AE$16+H67*$AE$17+I67*$AE$18+J67*$AE$19+K67*$AE$20+L67*$AE$21+M67*$AE$22+N67*$AE$23+O67*$AE$24+P67*$AE$25+Q67*$AE$26+R67*$AE$27+S67*$AE$28+T67*$AE$29+U67*$AE$30</f>
        <v/>
      </c>
      <c r="W67" s="8">
        <f>1/(1+EXP(-V67))</f>
        <v/>
      </c>
      <c r="X67" s="9">
        <f>-IF(C67=1,LN(W67),LN(1-W67))</f>
        <v/>
      </c>
      <c r="Y67" s="8">
        <f>1</f>
        <v/>
      </c>
      <c r="Z67" s="9">
        <f>Y67*X67</f>
        <v/>
      </c>
      <c r="AA67" s="10">
        <f>IF(W67&gt;$AE$32,1,0)</f>
        <v/>
      </c>
      <c r="AB67">
        <f>IF(AA67=C67,1,0)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$AE$12+D68*$AE$13+E68*$AE$14+F68*$AE$15+G68*$AE$16+H68*$AE$17+I68*$AE$18+J68*$AE$19+K68*$AE$20+L68*$AE$21+M68*$AE$22+N68*$AE$23+O68*$AE$24+P68*$AE$25+Q68*$AE$26+R68*$AE$27+S68*$AE$28+T68*$AE$29+U68*$AE$30</f>
        <v/>
      </c>
      <c r="W68" s="8">
        <f>1/(1+EXP(-V68))</f>
        <v/>
      </c>
      <c r="X68" s="9">
        <f>-IF(C68=1,LN(W68),LN(1-W68))</f>
        <v/>
      </c>
      <c r="Y68" s="8">
        <f>1</f>
        <v/>
      </c>
      <c r="Z68" s="9">
        <f>Y68*X68</f>
        <v/>
      </c>
      <c r="AA68" s="10">
        <f>IF(W68&gt;$AE$32,1,0)</f>
        <v/>
      </c>
      <c r="AB68">
        <f>IF(AA68=C68,1,0)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$AE$12+D69*$AE$13+E69*$AE$14+F69*$AE$15+G69*$AE$16+H69*$AE$17+I69*$AE$18+J69*$AE$19+K69*$AE$20+L69*$AE$21+M69*$AE$22+N69*$AE$23+O69*$AE$24+P69*$AE$25+Q69*$AE$26+R69*$AE$27+S69*$AE$28+T69*$AE$29+U69*$AE$30</f>
        <v/>
      </c>
      <c r="W69" s="8">
        <f>1/(1+EXP(-V69))</f>
        <v/>
      </c>
      <c r="X69" s="9">
        <f>-IF(C69=1,LN(W69),LN(1-W69))</f>
        <v/>
      </c>
      <c r="Y69" s="8">
        <f>1</f>
        <v/>
      </c>
      <c r="Z69" s="9">
        <f>Y69*X69</f>
        <v/>
      </c>
      <c r="AA69" s="10">
        <f>IF(W69&gt;$AE$32,1,0)</f>
        <v/>
      </c>
      <c r="AB69">
        <f>IF(AA69=C69,1,0)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$AE$12+D70*$AE$13+E70*$AE$14+F70*$AE$15+G70*$AE$16+H70*$AE$17+I70*$AE$18+J70*$AE$19+K70*$AE$20+L70*$AE$21+M70*$AE$22+N70*$AE$23+O70*$AE$24+P70*$AE$25+Q70*$AE$26+R70*$AE$27+S70*$AE$28+T70*$AE$29+U70*$AE$30</f>
        <v/>
      </c>
      <c r="W70" s="8">
        <f>1/(1+EXP(-V70))</f>
        <v/>
      </c>
      <c r="X70" s="9">
        <f>-IF(C70=1,LN(W70),LN(1-W70))</f>
        <v/>
      </c>
      <c r="Y70" s="8">
        <f>1</f>
        <v/>
      </c>
      <c r="Z70" s="9">
        <f>Y70*X70</f>
        <v/>
      </c>
      <c r="AA70" s="10">
        <f>IF(W70&gt;$AE$32,1,0)</f>
        <v/>
      </c>
      <c r="AB70">
        <f>IF(AA70=C70,1,0)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$AE$12+D71*$AE$13+E71*$AE$14+F71*$AE$15+G71*$AE$16+H71*$AE$17+I71*$AE$18+J71*$AE$19+K71*$AE$20+L71*$AE$21+M71*$AE$22+N71*$AE$23+O71*$AE$24+P71*$AE$25+Q71*$AE$26+R71*$AE$27+S71*$AE$28+T71*$AE$29+U71*$AE$30</f>
        <v/>
      </c>
      <c r="W71" s="8">
        <f>1/(1+EXP(-V71))</f>
        <v/>
      </c>
      <c r="X71" s="9">
        <f>-IF(C71=1,LN(W71),LN(1-W71))</f>
        <v/>
      </c>
      <c r="Y71" s="8">
        <f>1</f>
        <v/>
      </c>
      <c r="Z71" s="9">
        <f>Y71*X71</f>
        <v/>
      </c>
      <c r="AA71" s="10">
        <f>IF(W71&gt;$AE$32,1,0)</f>
        <v/>
      </c>
      <c r="AB71">
        <f>IF(AA71=C71,1,0)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$AE$12+D72*$AE$13+E72*$AE$14+F72*$AE$15+G72*$AE$16+H72*$AE$17+I72*$AE$18+J72*$AE$19+K72*$AE$20+L72*$AE$21+M72*$AE$22+N72*$AE$23+O72*$AE$24+P72*$AE$25+Q72*$AE$26+R72*$AE$27+S72*$AE$28+T72*$AE$29+U72*$AE$30</f>
        <v/>
      </c>
      <c r="W72" s="8">
        <f>1/(1+EXP(-V72))</f>
        <v/>
      </c>
      <c r="X72" s="9">
        <f>-IF(C72=1,LN(W72),LN(1-W72))</f>
        <v/>
      </c>
      <c r="Y72" s="8">
        <f>1</f>
        <v/>
      </c>
      <c r="Z72" s="9">
        <f>Y72*X72</f>
        <v/>
      </c>
      <c r="AA72" s="10">
        <f>IF(W72&gt;$AE$32,1,0)</f>
        <v/>
      </c>
      <c r="AB72">
        <f>IF(AA72=C72,1,0)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$AE$12+D73*$AE$13+E73*$AE$14+F73*$AE$15+G73*$AE$16+H73*$AE$17+I73*$AE$18+J73*$AE$19+K73*$AE$20+L73*$AE$21+M73*$AE$22+N73*$AE$23+O73*$AE$24+P73*$AE$25+Q73*$AE$26+R73*$AE$27+S73*$AE$28+T73*$AE$29+U73*$AE$30</f>
        <v/>
      </c>
      <c r="W73" s="8">
        <f>1/(1+EXP(-V73))</f>
        <v/>
      </c>
      <c r="X73" s="9">
        <f>-IF(C73=1,LN(W73),LN(1-W73))</f>
        <v/>
      </c>
      <c r="Y73" s="8">
        <f>1</f>
        <v/>
      </c>
      <c r="Z73" s="9">
        <f>Y73*X73</f>
        <v/>
      </c>
      <c r="AA73" s="10">
        <f>IF(W73&gt;$AE$32,1,0)</f>
        <v/>
      </c>
      <c r="AB73">
        <f>IF(AA73=C73,1,0)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$AE$12+D74*$AE$13+E74*$AE$14+F74*$AE$15+G74*$AE$16+H74*$AE$17+I74*$AE$18+J74*$AE$19+K74*$AE$20+L74*$AE$21+M74*$AE$22+N74*$AE$23+O74*$AE$24+P74*$AE$25+Q74*$AE$26+R74*$AE$27+S74*$AE$28+T74*$AE$29+U74*$AE$30</f>
        <v/>
      </c>
      <c r="W74" s="8">
        <f>1/(1+EXP(-V74))</f>
        <v/>
      </c>
      <c r="X74" s="9">
        <f>-IF(C74=1,LN(W74),LN(1-W74))</f>
        <v/>
      </c>
      <c r="Y74" s="8">
        <f>1</f>
        <v/>
      </c>
      <c r="Z74" s="9">
        <f>Y74*X74</f>
        <v/>
      </c>
      <c r="AA74" s="10">
        <f>IF(W74&gt;$AE$32,1,0)</f>
        <v/>
      </c>
      <c r="AB74">
        <f>IF(AA74=C74,1,0)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$AE$12+D75*$AE$13+E75*$AE$14+F75*$AE$15+G75*$AE$16+H75*$AE$17+I75*$AE$18+J75*$AE$19+K75*$AE$20+L75*$AE$21+M75*$AE$22+N75*$AE$23+O75*$AE$24+P75*$AE$25+Q75*$AE$26+R75*$AE$27+S75*$AE$28+T75*$AE$29+U75*$AE$30</f>
        <v/>
      </c>
      <c r="W75" s="8">
        <f>1/(1+EXP(-V75))</f>
        <v/>
      </c>
      <c r="X75" s="9">
        <f>-IF(C75=1,LN(W75),LN(1-W75))</f>
        <v/>
      </c>
      <c r="Y75" s="8">
        <f>1</f>
        <v/>
      </c>
      <c r="Z75" s="9">
        <f>Y75*X75</f>
        <v/>
      </c>
      <c r="AA75" s="10">
        <f>IF(W75&gt;$AE$32,1,0)</f>
        <v/>
      </c>
      <c r="AB75">
        <f>IF(AA75=C75,1,0)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$AE$12+D76*$AE$13+E76*$AE$14+F76*$AE$15+G76*$AE$16+H76*$AE$17+I76*$AE$18+J76*$AE$19+K76*$AE$20+L76*$AE$21+M76*$AE$22+N76*$AE$23+O76*$AE$24+P76*$AE$25+Q76*$AE$26+R76*$AE$27+S76*$AE$28+T76*$AE$29+U76*$AE$30</f>
        <v/>
      </c>
      <c r="W76" s="8">
        <f>1/(1+EXP(-V76))</f>
        <v/>
      </c>
      <c r="X76" s="9">
        <f>-IF(C76=1,LN(W76),LN(1-W76))</f>
        <v/>
      </c>
      <c r="Y76" s="8">
        <f>1</f>
        <v/>
      </c>
      <c r="Z76" s="9">
        <f>Y76*X76</f>
        <v/>
      </c>
      <c r="AA76" s="10">
        <f>IF(W76&gt;$AE$32,1,0)</f>
        <v/>
      </c>
      <c r="AB76">
        <f>IF(AA76=C76,1,0)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$AE$12+D77*$AE$13+E77*$AE$14+F77*$AE$15+G77*$AE$16+H77*$AE$17+I77*$AE$18+J77*$AE$19+K77*$AE$20+L77*$AE$21+M77*$AE$22+N77*$AE$23+O77*$AE$24+P77*$AE$25+Q77*$AE$26+R77*$AE$27+S77*$AE$28+T77*$AE$29+U77*$AE$30</f>
        <v/>
      </c>
      <c r="W77" s="8">
        <f>1/(1+EXP(-V77))</f>
        <v/>
      </c>
      <c r="X77" s="9">
        <f>-IF(C77=1,LN(W77),LN(1-W77))</f>
        <v/>
      </c>
      <c r="Y77" s="8">
        <f>1</f>
        <v/>
      </c>
      <c r="Z77" s="9">
        <f>Y77*X77</f>
        <v/>
      </c>
      <c r="AA77" s="10">
        <f>IF(W77&gt;$AE$32,1,0)</f>
        <v/>
      </c>
      <c r="AB77">
        <f>IF(AA77=C77,1,0)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$AE$12+D78*$AE$13+E78*$AE$14+F78*$AE$15+G78*$AE$16+H78*$AE$17+I78*$AE$18+J78*$AE$19+K78*$AE$20+L78*$AE$21+M78*$AE$22+N78*$AE$23+O78*$AE$24+P78*$AE$25+Q78*$AE$26+R78*$AE$27+S78*$AE$28+T78*$AE$29+U78*$AE$30</f>
        <v/>
      </c>
      <c r="W78" s="8">
        <f>1/(1+EXP(-V78))</f>
        <v/>
      </c>
      <c r="X78" s="9">
        <f>-IF(C78=1,LN(W78),LN(1-W78))</f>
        <v/>
      </c>
      <c r="Y78" s="8">
        <f>1</f>
        <v/>
      </c>
      <c r="Z78" s="9">
        <f>Y78*X78</f>
        <v/>
      </c>
      <c r="AA78" s="10">
        <f>IF(W78&gt;$AE$32,1,0)</f>
        <v/>
      </c>
      <c r="AB78">
        <f>IF(AA78=C78,1,0)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$AE$12+D79*$AE$13+E79*$AE$14+F79*$AE$15+G79*$AE$16+H79*$AE$17+I79*$AE$18+J79*$AE$19+K79*$AE$20+L79*$AE$21+M79*$AE$22+N79*$AE$23+O79*$AE$24+P79*$AE$25+Q79*$AE$26+R79*$AE$27+S79*$AE$28+T79*$AE$29+U79*$AE$30</f>
        <v/>
      </c>
      <c r="W79" s="8">
        <f>1/(1+EXP(-V79))</f>
        <v/>
      </c>
      <c r="X79" s="9">
        <f>-IF(C79=1,LN(W79),LN(1-W79))</f>
        <v/>
      </c>
      <c r="Y79" s="8">
        <f>1</f>
        <v/>
      </c>
      <c r="Z79" s="9">
        <f>Y79*X79</f>
        <v/>
      </c>
      <c r="AA79" s="10">
        <f>IF(W79&gt;$AE$32,1,0)</f>
        <v/>
      </c>
      <c r="AB79">
        <f>IF(AA79=C79,1,0)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$AE$12+D80*$AE$13+E80*$AE$14+F80*$AE$15+G80*$AE$16+H80*$AE$17+I80*$AE$18+J80*$AE$19+K80*$AE$20+L80*$AE$21+M80*$AE$22+N80*$AE$23+O80*$AE$24+P80*$AE$25+Q80*$AE$26+R80*$AE$27+S80*$AE$28+T80*$AE$29+U80*$AE$30</f>
        <v/>
      </c>
      <c r="W80" s="8">
        <f>1/(1+EXP(-V80))</f>
        <v/>
      </c>
      <c r="X80" s="9">
        <f>-IF(C80=1,LN(W80),LN(1-W80))</f>
        <v/>
      </c>
      <c r="Y80" s="8">
        <f>1</f>
        <v/>
      </c>
      <c r="Z80" s="9">
        <f>Y80*X80</f>
        <v/>
      </c>
      <c r="AA80" s="10">
        <f>IF(W80&gt;$AE$32,1,0)</f>
        <v/>
      </c>
      <c r="AB80">
        <f>IF(AA80=C80,1,0)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$AE$12+D81*$AE$13+E81*$AE$14+F81*$AE$15+G81*$AE$16+H81*$AE$17+I81*$AE$18+J81*$AE$19+K81*$AE$20+L81*$AE$21+M81*$AE$22+N81*$AE$23+O81*$AE$24+P81*$AE$25+Q81*$AE$26+R81*$AE$27+S81*$AE$28+T81*$AE$29+U81*$AE$30</f>
        <v/>
      </c>
      <c r="W81" s="8">
        <f>1/(1+EXP(-V81))</f>
        <v/>
      </c>
      <c r="X81" s="9">
        <f>-IF(C81=1,LN(W81),LN(1-W81))</f>
        <v/>
      </c>
      <c r="Y81" s="8">
        <f>1</f>
        <v/>
      </c>
      <c r="Z81" s="9">
        <f>Y81*X81</f>
        <v/>
      </c>
      <c r="AA81" s="10">
        <f>IF(W81&gt;$AE$32,1,0)</f>
        <v/>
      </c>
      <c r="AB81">
        <f>IF(AA81=C81,1,0)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$AE$12+D82*$AE$13+E82*$AE$14+F82*$AE$15+G82*$AE$16+H82*$AE$17+I82*$AE$18+J82*$AE$19+K82*$AE$20+L82*$AE$21+M82*$AE$22+N82*$AE$23+O82*$AE$24+P82*$AE$25+Q82*$AE$26+R82*$AE$27+S82*$AE$28+T82*$AE$29+U82*$AE$30</f>
        <v/>
      </c>
      <c r="W82" s="8">
        <f>1/(1+EXP(-V82))</f>
        <v/>
      </c>
      <c r="X82" s="9">
        <f>-IF(C82=1,LN(W82),LN(1-W82))</f>
        <v/>
      </c>
      <c r="Y82" s="8">
        <f>1</f>
        <v/>
      </c>
      <c r="Z82" s="9">
        <f>Y82*X82</f>
        <v/>
      </c>
      <c r="AA82" s="10">
        <f>IF(W82&gt;$AE$32,1,0)</f>
        <v/>
      </c>
      <c r="AB82">
        <f>IF(AA82=C82,1,0)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$AE$12+D83*$AE$13+E83*$AE$14+F83*$AE$15+G83*$AE$16+H83*$AE$17+I83*$AE$18+J83*$AE$19+K83*$AE$20+L83*$AE$21+M83*$AE$22+N83*$AE$23+O83*$AE$24+P83*$AE$25+Q83*$AE$26+R83*$AE$27+S83*$AE$28+T83*$AE$29+U83*$AE$30</f>
        <v/>
      </c>
      <c r="W83" s="8">
        <f>1/(1+EXP(-V83))</f>
        <v/>
      </c>
      <c r="X83" s="9">
        <f>-IF(C83=1,LN(W83),LN(1-W83))</f>
        <v/>
      </c>
      <c r="Y83" s="8">
        <f>1</f>
        <v/>
      </c>
      <c r="Z83" s="9">
        <f>Y83*X83</f>
        <v/>
      </c>
      <c r="AA83" s="10">
        <f>IF(W83&gt;$AE$32,1,0)</f>
        <v/>
      </c>
      <c r="AB83">
        <f>IF(AA83=C83,1,0)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$AE$12+D84*$AE$13+E84*$AE$14+F84*$AE$15+G84*$AE$16+H84*$AE$17+I84*$AE$18+J84*$AE$19+K84*$AE$20+L84*$AE$21+M84*$AE$22+N84*$AE$23+O84*$AE$24+P84*$AE$25+Q84*$AE$26+R84*$AE$27+S84*$AE$28+T84*$AE$29+U84*$AE$30</f>
        <v/>
      </c>
      <c r="W84" s="8">
        <f>1/(1+EXP(-V84))</f>
        <v/>
      </c>
      <c r="X84" s="9">
        <f>-IF(C84=1,LN(W84),LN(1-W84))</f>
        <v/>
      </c>
      <c r="Y84" s="8">
        <f>1</f>
        <v/>
      </c>
      <c r="Z84" s="9">
        <f>Y84*X84</f>
        <v/>
      </c>
      <c r="AA84" s="10">
        <f>IF(W84&gt;$AE$32,1,0)</f>
        <v/>
      </c>
      <c r="AB84">
        <f>IF(AA84=C84,1,0)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$AE$12+D85*$AE$13+E85*$AE$14+F85*$AE$15+G85*$AE$16+H85*$AE$17+I85*$AE$18+J85*$AE$19+K85*$AE$20+L85*$AE$21+M85*$AE$22+N85*$AE$23+O85*$AE$24+P85*$AE$25+Q85*$AE$26+R85*$AE$27+S85*$AE$28+T85*$AE$29+U85*$AE$30</f>
        <v/>
      </c>
      <c r="W85" s="8">
        <f>1/(1+EXP(-V85))</f>
        <v/>
      </c>
      <c r="X85" s="9">
        <f>-IF(C85=1,LN(W85),LN(1-W85))</f>
        <v/>
      </c>
      <c r="Y85" s="8">
        <f>1</f>
        <v/>
      </c>
      <c r="Z85" s="9">
        <f>Y85*X85</f>
        <v/>
      </c>
      <c r="AA85" s="10">
        <f>IF(W85&gt;$AE$32,1,0)</f>
        <v/>
      </c>
      <c r="AB85">
        <f>IF(AA85=C85,1,0)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$AE$12+D86*$AE$13+E86*$AE$14+F86*$AE$15+G86*$AE$16+H86*$AE$17+I86*$AE$18+J86*$AE$19+K86*$AE$20+L86*$AE$21+M86*$AE$22+N86*$AE$23+O86*$AE$24+P86*$AE$25+Q86*$AE$26+R86*$AE$27+S86*$AE$28+T86*$AE$29+U86*$AE$30</f>
        <v/>
      </c>
      <c r="W86" s="8">
        <f>1/(1+EXP(-V86))</f>
        <v/>
      </c>
      <c r="X86" s="9">
        <f>-IF(C86=1,LN(W86),LN(1-W86))</f>
        <v/>
      </c>
      <c r="Y86" s="8">
        <f>1</f>
        <v/>
      </c>
      <c r="Z86" s="9">
        <f>Y86*X86</f>
        <v/>
      </c>
      <c r="AA86" s="10">
        <f>IF(W86&gt;$AE$32,1,0)</f>
        <v/>
      </c>
      <c r="AB86">
        <f>IF(AA86=C86,1,0)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$AE$12+D87*$AE$13+E87*$AE$14+F87*$AE$15+G87*$AE$16+H87*$AE$17+I87*$AE$18+J87*$AE$19+K87*$AE$20+L87*$AE$21+M87*$AE$22+N87*$AE$23+O87*$AE$24+P87*$AE$25+Q87*$AE$26+R87*$AE$27+S87*$AE$28+T87*$AE$29+U87*$AE$30</f>
        <v/>
      </c>
      <c r="W87" s="8">
        <f>1/(1+EXP(-V87))</f>
        <v/>
      </c>
      <c r="X87" s="9">
        <f>-IF(C87=1,LN(W87),LN(1-W87))</f>
        <v/>
      </c>
      <c r="Y87" s="8">
        <f>1</f>
        <v/>
      </c>
      <c r="Z87" s="9">
        <f>Y87*X87</f>
        <v/>
      </c>
      <c r="AA87" s="10">
        <f>IF(W87&gt;$AE$32,1,0)</f>
        <v/>
      </c>
      <c r="AB87">
        <f>IF(AA87=C87,1,0)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$AE$12+D88*$AE$13+E88*$AE$14+F88*$AE$15+G88*$AE$16+H88*$AE$17+I88*$AE$18+J88*$AE$19+K88*$AE$20+L88*$AE$21+M88*$AE$22+N88*$AE$23+O88*$AE$24+P88*$AE$25+Q88*$AE$26+R88*$AE$27+S88*$AE$28+T88*$AE$29+U88*$AE$30</f>
        <v/>
      </c>
      <c r="W88" s="8">
        <f>1/(1+EXP(-V88))</f>
        <v/>
      </c>
      <c r="X88" s="9">
        <f>-IF(C88=1,LN(W88),LN(1-W88))</f>
        <v/>
      </c>
      <c r="Y88" s="8">
        <f>1</f>
        <v/>
      </c>
      <c r="Z88" s="9">
        <f>Y88*X88</f>
        <v/>
      </c>
      <c r="AA88" s="10">
        <f>IF(W88&gt;$AE$32,1,0)</f>
        <v/>
      </c>
      <c r="AB88">
        <f>IF(AA88=C88,1,0)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$AE$12+D89*$AE$13+E89*$AE$14+F89*$AE$15+G89*$AE$16+H89*$AE$17+I89*$AE$18+J89*$AE$19+K89*$AE$20+L89*$AE$21+M89*$AE$22+N89*$AE$23+O89*$AE$24+P89*$AE$25+Q89*$AE$26+R89*$AE$27+S89*$AE$28+T89*$AE$29+U89*$AE$30</f>
        <v/>
      </c>
      <c r="W89" s="8">
        <f>1/(1+EXP(-V89))</f>
        <v/>
      </c>
      <c r="X89" s="9">
        <f>-IF(C89=1,LN(W89),LN(1-W89))</f>
        <v/>
      </c>
      <c r="Y89" s="8">
        <f>1</f>
        <v/>
      </c>
      <c r="Z89" s="9">
        <f>Y89*X89</f>
        <v/>
      </c>
      <c r="AA89" s="10">
        <f>IF(W89&gt;$AE$32,1,0)</f>
        <v/>
      </c>
      <c r="AB89">
        <f>IF(AA89=C89,1,0)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$AE$12+D90*$AE$13+E90*$AE$14+F90*$AE$15+G90*$AE$16+H90*$AE$17+I90*$AE$18+J90*$AE$19+K90*$AE$20+L90*$AE$21+M90*$AE$22+N90*$AE$23+O90*$AE$24+P90*$AE$25+Q90*$AE$26+R90*$AE$27+S90*$AE$28+T90*$AE$29+U90*$AE$30</f>
        <v/>
      </c>
      <c r="W90" s="8">
        <f>1/(1+EXP(-V90))</f>
        <v/>
      </c>
      <c r="X90" s="9">
        <f>-IF(C90=1,LN(W90),LN(1-W90))</f>
        <v/>
      </c>
      <c r="Y90" s="8">
        <f>1</f>
        <v/>
      </c>
      <c r="Z90" s="9">
        <f>Y90*X90</f>
        <v/>
      </c>
      <c r="AA90" s="10">
        <f>IF(W90&gt;$AE$32,1,0)</f>
        <v/>
      </c>
      <c r="AB90">
        <f>IF(AA90=C90,1,0)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$AE$12+D91*$AE$13+E91*$AE$14+F91*$AE$15+G91*$AE$16+H91*$AE$17+I91*$AE$18+J91*$AE$19+K91*$AE$20+L91*$AE$21+M91*$AE$22+N91*$AE$23+O91*$AE$24+P91*$AE$25+Q91*$AE$26+R91*$AE$27+S91*$AE$28+T91*$AE$29+U91*$AE$30</f>
        <v/>
      </c>
      <c r="W91" s="8">
        <f>1/(1+EXP(-V91))</f>
        <v/>
      </c>
      <c r="X91" s="9">
        <f>-IF(C91=1,LN(W91),LN(1-W91))</f>
        <v/>
      </c>
      <c r="Y91" s="8">
        <f>1</f>
        <v/>
      </c>
      <c r="Z91" s="9">
        <f>Y91*X91</f>
        <v/>
      </c>
      <c r="AA91" s="10">
        <f>IF(W91&gt;$AE$32,1,0)</f>
        <v/>
      </c>
      <c r="AB91">
        <f>IF(AA91=C91,1,0)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$AE$12+D92*$AE$13+E92*$AE$14+F92*$AE$15+G92*$AE$16+H92*$AE$17+I92*$AE$18+J92*$AE$19+K92*$AE$20+L92*$AE$21+M92*$AE$22+N92*$AE$23+O92*$AE$24+P92*$AE$25+Q92*$AE$26+R92*$AE$27+S92*$AE$28+T92*$AE$29+U92*$AE$30</f>
        <v/>
      </c>
      <c r="W92" s="8">
        <f>1/(1+EXP(-V92))</f>
        <v/>
      </c>
      <c r="X92" s="9">
        <f>-IF(C92=1,LN(W92),LN(1-W92))</f>
        <v/>
      </c>
      <c r="Y92" s="8">
        <f>1</f>
        <v/>
      </c>
      <c r="Z92" s="9">
        <f>Y92*X92</f>
        <v/>
      </c>
      <c r="AA92" s="10">
        <f>IF(W92&gt;$AE$32,1,0)</f>
        <v/>
      </c>
      <c r="AB92">
        <f>IF(AA92=C92,1,0)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$AE$12+D93*$AE$13+E93*$AE$14+F93*$AE$15+G93*$AE$16+H93*$AE$17+I93*$AE$18+J93*$AE$19+K93*$AE$20+L93*$AE$21+M93*$AE$22+N93*$AE$23+O93*$AE$24+P93*$AE$25+Q93*$AE$26+R93*$AE$27+S93*$AE$28+T93*$AE$29+U93*$AE$30</f>
        <v/>
      </c>
      <c r="W93" s="8">
        <f>1/(1+EXP(-V93))</f>
        <v/>
      </c>
      <c r="X93" s="9">
        <f>-IF(C93=1,LN(W93),LN(1-W93))</f>
        <v/>
      </c>
      <c r="Y93" s="8">
        <f>1</f>
        <v/>
      </c>
      <c r="Z93" s="9">
        <f>Y93*X93</f>
        <v/>
      </c>
      <c r="AA93" s="10">
        <f>IF(W93&gt;$AE$32,1,0)</f>
        <v/>
      </c>
      <c r="AB93">
        <f>IF(AA93=C93,1,0)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$AE$12+D94*$AE$13+E94*$AE$14+F94*$AE$15+G94*$AE$16+H94*$AE$17+I94*$AE$18+J94*$AE$19+K94*$AE$20+L94*$AE$21+M94*$AE$22+N94*$AE$23+O94*$AE$24+P94*$AE$25+Q94*$AE$26+R94*$AE$27+S94*$AE$28+T94*$AE$29+U94*$AE$30</f>
        <v/>
      </c>
      <c r="W94" s="8">
        <f>1/(1+EXP(-V94))</f>
        <v/>
      </c>
      <c r="X94" s="9">
        <f>-IF(C94=1,LN(W94),LN(1-W94))</f>
        <v/>
      </c>
      <c r="Y94" s="8">
        <f>1</f>
        <v/>
      </c>
      <c r="Z94" s="9">
        <f>Y94*X94</f>
        <v/>
      </c>
      <c r="AA94" s="10">
        <f>IF(W94&gt;$AE$32,1,0)</f>
        <v/>
      </c>
      <c r="AB94">
        <f>IF(AA94=C94,1,0)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$AE$12+D95*$AE$13+E95*$AE$14+F95*$AE$15+G95*$AE$16+H95*$AE$17+I95*$AE$18+J95*$AE$19+K95*$AE$20+L95*$AE$21+M95*$AE$22+N95*$AE$23+O95*$AE$24+P95*$AE$25+Q95*$AE$26+R95*$AE$27+S95*$AE$28+T95*$AE$29+U95*$AE$30</f>
        <v/>
      </c>
      <c r="W95" s="8">
        <f>1/(1+EXP(-V95))</f>
        <v/>
      </c>
      <c r="X95" s="9">
        <f>-IF(C95=1,LN(W95),LN(1-W95))</f>
        <v/>
      </c>
      <c r="Y95" s="8">
        <f>1</f>
        <v/>
      </c>
      <c r="Z95" s="9">
        <f>Y95*X95</f>
        <v/>
      </c>
      <c r="AA95" s="10">
        <f>IF(W95&gt;$AE$32,1,0)</f>
        <v/>
      </c>
      <c r="AB95">
        <f>IF(AA95=C95,1,0)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$AE$12+D96*$AE$13+E96*$AE$14+F96*$AE$15+G96*$AE$16+H96*$AE$17+I96*$AE$18+J96*$AE$19+K96*$AE$20+L96*$AE$21+M96*$AE$22+N96*$AE$23+O96*$AE$24+P96*$AE$25+Q96*$AE$26+R96*$AE$27+S96*$AE$28+T96*$AE$29+U96*$AE$30</f>
        <v/>
      </c>
      <c r="W96" s="8">
        <f>1/(1+EXP(-V96))</f>
        <v/>
      </c>
      <c r="X96" s="9">
        <f>-IF(C96=1,LN(W96),LN(1-W96))</f>
        <v/>
      </c>
      <c r="Y96" s="8">
        <f>1</f>
        <v/>
      </c>
      <c r="Z96" s="9">
        <f>Y96*X96</f>
        <v/>
      </c>
      <c r="AA96" s="10">
        <f>IF(W96&gt;$AE$32,1,0)</f>
        <v/>
      </c>
      <c r="AB96">
        <f>IF(AA96=C96,1,0)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$AE$12+D97*$AE$13+E97*$AE$14+F97*$AE$15+G97*$AE$16+H97*$AE$17+I97*$AE$18+J97*$AE$19+K97*$AE$20+L97*$AE$21+M97*$AE$22+N97*$AE$23+O97*$AE$24+P97*$AE$25+Q97*$AE$26+R97*$AE$27+S97*$AE$28+T97*$AE$29+U97*$AE$30</f>
        <v/>
      </c>
      <c r="W97" s="8">
        <f>1/(1+EXP(-V97))</f>
        <v/>
      </c>
      <c r="X97" s="9">
        <f>-IF(C97=1,LN(W97),LN(1-W97))</f>
        <v/>
      </c>
      <c r="Y97" s="8">
        <f>1</f>
        <v/>
      </c>
      <c r="Z97" s="9">
        <f>Y97*X97</f>
        <v/>
      </c>
      <c r="AA97" s="10">
        <f>IF(W97&gt;$AE$32,1,0)</f>
        <v/>
      </c>
      <c r="AB97">
        <f>IF(AA97=C97,1,0)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$AE$12+D98*$AE$13+E98*$AE$14+F98*$AE$15+G98*$AE$16+H98*$AE$17+I98*$AE$18+J98*$AE$19+K98*$AE$20+L98*$AE$21+M98*$AE$22+N98*$AE$23+O98*$AE$24+P98*$AE$25+Q98*$AE$26+R98*$AE$27+S98*$AE$28+T98*$AE$29+U98*$AE$30</f>
        <v/>
      </c>
      <c r="W98" s="8">
        <f>1/(1+EXP(-V98))</f>
        <v/>
      </c>
      <c r="X98" s="9">
        <f>-IF(C98=1,LN(W98),LN(1-W98))</f>
        <v/>
      </c>
      <c r="Y98" s="8">
        <f>1</f>
        <v/>
      </c>
      <c r="Z98" s="9">
        <f>Y98*X98</f>
        <v/>
      </c>
      <c r="AA98" s="10">
        <f>IF(W98&gt;$AE$32,1,0)</f>
        <v/>
      </c>
      <c r="AB98">
        <f>IF(AA98=C98,1,0)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$AE$12+D99*$AE$13+E99*$AE$14+F99*$AE$15+G99*$AE$16+H99*$AE$17+I99*$AE$18+J99*$AE$19+K99*$AE$20+L99*$AE$21+M99*$AE$22+N99*$AE$23+O99*$AE$24+P99*$AE$25+Q99*$AE$26+R99*$AE$27+S99*$AE$28+T99*$AE$29+U99*$AE$30</f>
        <v/>
      </c>
      <c r="W99" s="8">
        <f>1/(1+EXP(-V99))</f>
        <v/>
      </c>
      <c r="X99" s="9">
        <f>-IF(C99=1,LN(W99),LN(1-W99))</f>
        <v/>
      </c>
      <c r="Y99" s="8">
        <f>1</f>
        <v/>
      </c>
      <c r="Z99" s="9">
        <f>Y99*X99</f>
        <v/>
      </c>
      <c r="AA99" s="10">
        <f>IF(W99&gt;$AE$32,1,0)</f>
        <v/>
      </c>
      <c r="AB99">
        <f>IF(AA99=C99,1,0)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$AE$12+D100*$AE$13+E100*$AE$14+F100*$AE$15+G100*$AE$16+H100*$AE$17+I100*$AE$18+J100*$AE$19+K100*$AE$20+L100*$AE$21+M100*$AE$22+N100*$AE$23+O100*$AE$24+P100*$AE$25+Q100*$AE$26+R100*$AE$27+S100*$AE$28+T100*$AE$29+U100*$AE$30</f>
        <v/>
      </c>
      <c r="W100" s="8">
        <f>1/(1+EXP(-V100))</f>
        <v/>
      </c>
      <c r="X100" s="9">
        <f>-IF(C100=1,LN(W100),LN(1-W100))</f>
        <v/>
      </c>
      <c r="Y100" s="8">
        <f>1</f>
        <v/>
      </c>
      <c r="Z100" s="9">
        <f>Y100*X100</f>
        <v/>
      </c>
      <c r="AA100" s="10">
        <f>IF(W100&gt;$AE$32,1,0)</f>
        <v/>
      </c>
      <c r="AB100">
        <f>IF(AA100=C100,1,0)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$AE$12+D101*$AE$13+E101*$AE$14+F101*$AE$15+G101*$AE$16+H101*$AE$17+I101*$AE$18+J101*$AE$19+K101*$AE$20+L101*$AE$21+M101*$AE$22+N101*$AE$23+O101*$AE$24+P101*$AE$25+Q101*$AE$26+R101*$AE$27+S101*$AE$28+T101*$AE$29+U101*$AE$30</f>
        <v/>
      </c>
      <c r="W101" s="8">
        <f>1/(1+EXP(-V101))</f>
        <v/>
      </c>
      <c r="X101" s="9">
        <f>-IF(C101=1,LN(W101),LN(1-W101))</f>
        <v/>
      </c>
      <c r="Y101" s="8">
        <f>1</f>
        <v/>
      </c>
      <c r="Z101" s="9">
        <f>Y101*X101</f>
        <v/>
      </c>
      <c r="AA101" s="10">
        <f>IF(W101&gt;$AE$32,1,0)</f>
        <v/>
      </c>
      <c r="AB101">
        <f>IF(AA101=C101,1,0)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$AE$12+D102*$AE$13+E102*$AE$14+F102*$AE$15+G102*$AE$16+H102*$AE$17+I102*$AE$18+J102*$AE$19+K102*$AE$20+L102*$AE$21+M102*$AE$22+N102*$AE$23+O102*$AE$24+P102*$AE$25+Q102*$AE$26+R102*$AE$27+S102*$AE$28+T102*$AE$29+U102*$AE$30</f>
        <v/>
      </c>
      <c r="W102" s="8">
        <f>1/(1+EXP(-V102))</f>
        <v/>
      </c>
      <c r="X102" s="9">
        <f>-IF(C102=1,LN(W102),LN(1-W102))</f>
        <v/>
      </c>
      <c r="Y102" s="8">
        <f>1</f>
        <v/>
      </c>
      <c r="Z102" s="9">
        <f>Y102*X102</f>
        <v/>
      </c>
      <c r="AA102" s="10">
        <f>IF(W102&gt;$AE$32,1,0)</f>
        <v/>
      </c>
      <c r="AB102">
        <f>IF(AA102=C102,1,0)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$AE$12+D103*$AE$13+E103*$AE$14+F103*$AE$15+G103*$AE$16+H103*$AE$17+I103*$AE$18+J103*$AE$19+K103*$AE$20+L103*$AE$21+M103*$AE$22+N103*$AE$23+O103*$AE$24+P103*$AE$25+Q103*$AE$26+R103*$AE$27+S103*$AE$28+T103*$AE$29+U103*$AE$30</f>
        <v/>
      </c>
      <c r="W103" s="8">
        <f>1/(1+EXP(-V103))</f>
        <v/>
      </c>
      <c r="X103" s="9">
        <f>-IF(C103=1,LN(W103),LN(1-W103))</f>
        <v/>
      </c>
      <c r="Y103" s="8">
        <f>1</f>
        <v/>
      </c>
      <c r="Z103" s="9">
        <f>Y103*X103</f>
        <v/>
      </c>
      <c r="AA103" s="10">
        <f>IF(W103&gt;$AE$32,1,0)</f>
        <v/>
      </c>
      <c r="AB103">
        <f>IF(AA103=C103,1,0)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$AE$12+D104*$AE$13+E104*$AE$14+F104*$AE$15+G104*$AE$16+H104*$AE$17+I104*$AE$18+J104*$AE$19+K104*$AE$20+L104*$AE$21+M104*$AE$22+N104*$AE$23+O104*$AE$24+P104*$AE$25+Q104*$AE$26+R104*$AE$27+S104*$AE$28+T104*$AE$29+U104*$AE$30</f>
        <v/>
      </c>
      <c r="W104" s="8">
        <f>1/(1+EXP(-V104))</f>
        <v/>
      </c>
      <c r="X104" s="9">
        <f>-IF(C104=1,LN(W104),LN(1-W104))</f>
        <v/>
      </c>
      <c r="Y104" s="8">
        <f>1</f>
        <v/>
      </c>
      <c r="Z104" s="9">
        <f>Y104*X104</f>
        <v/>
      </c>
      <c r="AA104" s="10">
        <f>IF(W104&gt;$AE$32,1,0)</f>
        <v/>
      </c>
      <c r="AB104">
        <f>IF(AA104=C104,1,0)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$AE$12+D105*$AE$13+E105*$AE$14+F105*$AE$15+G105*$AE$16+H105*$AE$17+I105*$AE$18+J105*$AE$19+K105*$AE$20+L105*$AE$21+M105*$AE$22+N105*$AE$23+O105*$AE$24+P105*$AE$25+Q105*$AE$26+R105*$AE$27+S105*$AE$28+T105*$AE$29+U105*$AE$30</f>
        <v/>
      </c>
      <c r="W105" s="8">
        <f>1/(1+EXP(-V105))</f>
        <v/>
      </c>
      <c r="X105" s="9">
        <f>-IF(C105=1,LN(W105),LN(1-W105))</f>
        <v/>
      </c>
      <c r="Y105" s="8">
        <f>1</f>
        <v/>
      </c>
      <c r="Z105" s="9">
        <f>Y105*X105</f>
        <v/>
      </c>
      <c r="AA105" s="10">
        <f>IF(W105&gt;$AE$32,1,0)</f>
        <v/>
      </c>
      <c r="AB105">
        <f>IF(AA105=C105,1,0)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$AE$12+D106*$AE$13+E106*$AE$14+F106*$AE$15+G106*$AE$16+H106*$AE$17+I106*$AE$18+J106*$AE$19+K106*$AE$20+L106*$AE$21+M106*$AE$22+N106*$AE$23+O106*$AE$24+P106*$AE$25+Q106*$AE$26+R106*$AE$27+S106*$AE$28+T106*$AE$29+U106*$AE$30</f>
        <v/>
      </c>
      <c r="W106" s="8">
        <f>1/(1+EXP(-V106))</f>
        <v/>
      </c>
      <c r="X106" s="9">
        <f>-IF(C106=1,LN(W106),LN(1-W106))</f>
        <v/>
      </c>
      <c r="Y106" s="8">
        <f>1</f>
        <v/>
      </c>
      <c r="Z106" s="9">
        <f>Y106*X106</f>
        <v/>
      </c>
      <c r="AA106" s="10">
        <f>IF(W106&gt;$AE$32,1,0)</f>
        <v/>
      </c>
      <c r="AB106">
        <f>IF(AA106=C106,1,0)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$AE$12+D107*$AE$13+E107*$AE$14+F107*$AE$15+G107*$AE$16+H107*$AE$17+I107*$AE$18+J107*$AE$19+K107*$AE$20+L107*$AE$21+M107*$AE$22+N107*$AE$23+O107*$AE$24+P107*$AE$25+Q107*$AE$26+R107*$AE$27+S107*$AE$28+T107*$AE$29+U107*$AE$30</f>
        <v/>
      </c>
      <c r="W107" s="8">
        <f>1/(1+EXP(-V107))</f>
        <v/>
      </c>
      <c r="X107" s="9">
        <f>-IF(C107=1,LN(W107),LN(1-W107))</f>
        <v/>
      </c>
      <c r="Y107" s="8">
        <f>1</f>
        <v/>
      </c>
      <c r="Z107" s="9">
        <f>Y107*X107</f>
        <v/>
      </c>
      <c r="AA107" s="10">
        <f>IF(W107&gt;$AE$32,1,0)</f>
        <v/>
      </c>
      <c r="AB107">
        <f>IF(AA107=C107,1,0)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$AE$12+D108*$AE$13+E108*$AE$14+F108*$AE$15+G108*$AE$16+H108*$AE$17+I108*$AE$18+J108*$AE$19+K108*$AE$20+L108*$AE$21+M108*$AE$22+N108*$AE$23+O108*$AE$24+P108*$AE$25+Q108*$AE$26+R108*$AE$27+S108*$AE$28+T108*$AE$29+U108*$AE$30</f>
        <v/>
      </c>
      <c r="W108" s="8">
        <f>1/(1+EXP(-V108))</f>
        <v/>
      </c>
      <c r="X108" s="9">
        <f>-IF(C108=1,LN(W108),LN(1-W108))</f>
        <v/>
      </c>
      <c r="Y108" s="8">
        <f>1</f>
        <v/>
      </c>
      <c r="Z108" s="9">
        <f>Y108*X108</f>
        <v/>
      </c>
      <c r="AA108" s="10">
        <f>IF(W108&gt;$AE$32,1,0)</f>
        <v/>
      </c>
      <c r="AB108">
        <f>IF(AA108=C108,1,0)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$AE$12+D109*$AE$13+E109*$AE$14+F109*$AE$15+G109*$AE$16+H109*$AE$17+I109*$AE$18+J109*$AE$19+K109*$AE$20+L109*$AE$21+M109*$AE$22+N109*$AE$23+O109*$AE$24+P109*$AE$25+Q109*$AE$26+R109*$AE$27+S109*$AE$28+T109*$AE$29+U109*$AE$30</f>
        <v/>
      </c>
      <c r="W109" s="8">
        <f>1/(1+EXP(-V109))</f>
        <v/>
      </c>
      <c r="X109" s="9">
        <f>-IF(C109=1,LN(W109),LN(1-W109))</f>
        <v/>
      </c>
      <c r="Y109" s="8">
        <f>1</f>
        <v/>
      </c>
      <c r="Z109" s="9">
        <f>Y109*X109</f>
        <v/>
      </c>
      <c r="AA109" s="10">
        <f>IF(W109&gt;$AE$32,1,0)</f>
        <v/>
      </c>
      <c r="AB109">
        <f>IF(AA109=C109,1,0)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$AE$12+D110*$AE$13+E110*$AE$14+F110*$AE$15+G110*$AE$16+H110*$AE$17+I110*$AE$18+J110*$AE$19+K110*$AE$20+L110*$AE$21+M110*$AE$22+N110*$AE$23+O110*$AE$24+P110*$AE$25+Q110*$AE$26+R110*$AE$27+S110*$AE$28+T110*$AE$29+U110*$AE$30</f>
        <v/>
      </c>
      <c r="W110" s="8">
        <f>1/(1+EXP(-V110))</f>
        <v/>
      </c>
      <c r="X110" s="9">
        <f>-IF(C110=1,LN(W110),LN(1-W110))</f>
        <v/>
      </c>
      <c r="Y110" s="8">
        <f>1</f>
        <v/>
      </c>
      <c r="Z110" s="9">
        <f>Y110*X110</f>
        <v/>
      </c>
      <c r="AA110" s="10">
        <f>IF(W110&gt;$AE$32,1,0)</f>
        <v/>
      </c>
      <c r="AB110">
        <f>IF(AA110=C110,1,0)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$AE$12+D111*$AE$13+E111*$AE$14+F111*$AE$15+G111*$AE$16+H111*$AE$17+I111*$AE$18+J111*$AE$19+K111*$AE$20+L111*$AE$21+M111*$AE$22+N111*$AE$23+O111*$AE$24+P111*$AE$25+Q111*$AE$26+R111*$AE$27+S111*$AE$28+T111*$AE$29+U111*$AE$30</f>
        <v/>
      </c>
      <c r="W111" s="8">
        <f>1/(1+EXP(-V111))</f>
        <v/>
      </c>
      <c r="X111" s="9">
        <f>-IF(C111=1,LN(W111),LN(1-W111))</f>
        <v/>
      </c>
      <c r="Y111" s="8">
        <f>1</f>
        <v/>
      </c>
      <c r="Z111" s="9">
        <f>Y111*X111</f>
        <v/>
      </c>
      <c r="AA111" s="10">
        <f>IF(W111&gt;$AE$32,1,0)</f>
        <v/>
      </c>
      <c r="AB111">
        <f>IF(AA111=C111,1,0)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$AE$12+D112*$AE$13+E112*$AE$14+F112*$AE$15+G112*$AE$16+H112*$AE$17+I112*$AE$18+J112*$AE$19+K112*$AE$20+L112*$AE$21+M112*$AE$22+N112*$AE$23+O112*$AE$24+P112*$AE$25+Q112*$AE$26+R112*$AE$27+S112*$AE$28+T112*$AE$29+U112*$AE$30</f>
        <v/>
      </c>
      <c r="W112" s="8">
        <f>1/(1+EXP(-V112))</f>
        <v/>
      </c>
      <c r="X112" s="9">
        <f>-IF(C112=1,LN(W112),LN(1-W112))</f>
        <v/>
      </c>
      <c r="Y112" s="8">
        <f>1</f>
        <v/>
      </c>
      <c r="Z112" s="9">
        <f>Y112*X112</f>
        <v/>
      </c>
      <c r="AA112" s="10">
        <f>IF(W112&gt;$AE$32,1,0)</f>
        <v/>
      </c>
      <c r="AB112">
        <f>IF(AA112=C112,1,0)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$AE$12+D113*$AE$13+E113*$AE$14+F113*$AE$15+G113*$AE$16+H113*$AE$17+I113*$AE$18+J113*$AE$19+K113*$AE$20+L113*$AE$21+M113*$AE$22+N113*$AE$23+O113*$AE$24+P113*$AE$25+Q113*$AE$26+R113*$AE$27+S113*$AE$28+T113*$AE$29+U113*$AE$30</f>
        <v/>
      </c>
      <c r="W113" s="8">
        <f>1/(1+EXP(-V113))</f>
        <v/>
      </c>
      <c r="X113" s="9">
        <f>-IF(C113=1,LN(W113),LN(1-W113))</f>
        <v/>
      </c>
      <c r="Y113" s="8">
        <f>1</f>
        <v/>
      </c>
      <c r="Z113" s="9">
        <f>Y113*X113</f>
        <v/>
      </c>
      <c r="AA113" s="10">
        <f>IF(W113&gt;$AE$32,1,0)</f>
        <v/>
      </c>
      <c r="AB113">
        <f>IF(AA113=C113,1,0)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$AE$12+D114*$AE$13+E114*$AE$14+F114*$AE$15+G114*$AE$16+H114*$AE$17+I114*$AE$18+J114*$AE$19+K114*$AE$20+L114*$AE$21+M114*$AE$22+N114*$AE$23+O114*$AE$24+P114*$AE$25+Q114*$AE$26+R114*$AE$27+S114*$AE$28+T114*$AE$29+U114*$AE$30</f>
        <v/>
      </c>
      <c r="W114" s="8">
        <f>1/(1+EXP(-V114))</f>
        <v/>
      </c>
      <c r="X114" s="9">
        <f>-IF(C114=1,LN(W114),LN(1-W114))</f>
        <v/>
      </c>
      <c r="Y114" s="8">
        <f>1</f>
        <v/>
      </c>
      <c r="Z114" s="9">
        <f>Y114*X114</f>
        <v/>
      </c>
      <c r="AA114" s="10">
        <f>IF(W114&gt;$AE$32,1,0)</f>
        <v/>
      </c>
      <c r="AB114">
        <f>IF(AA114=C114,1,0)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$AE$12+D115*$AE$13+E115*$AE$14+F115*$AE$15+G115*$AE$16+H115*$AE$17+I115*$AE$18+J115*$AE$19+K115*$AE$20+L115*$AE$21+M115*$AE$22+N115*$AE$23+O115*$AE$24+P115*$AE$25+Q115*$AE$26+R115*$AE$27+S115*$AE$28+T115*$AE$29+U115*$AE$30</f>
        <v/>
      </c>
      <c r="W115" s="8">
        <f>1/(1+EXP(-V115))</f>
        <v/>
      </c>
      <c r="X115" s="9">
        <f>-IF(C115=1,LN(W115),LN(1-W115))</f>
        <v/>
      </c>
      <c r="Y115" s="8">
        <f>1</f>
        <v/>
      </c>
      <c r="Z115" s="9">
        <f>Y115*X115</f>
        <v/>
      </c>
      <c r="AA115" s="10">
        <f>IF(W115&gt;$AE$32,1,0)</f>
        <v/>
      </c>
      <c r="AB115">
        <f>IF(AA115=C115,1,0)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$AE$12+D116*$AE$13+E116*$AE$14+F116*$AE$15+G116*$AE$16+H116*$AE$17+I116*$AE$18+J116*$AE$19+K116*$AE$20+L116*$AE$21+M116*$AE$22+N116*$AE$23+O116*$AE$24+P116*$AE$25+Q116*$AE$26+R116*$AE$27+S116*$AE$28+T116*$AE$29+U116*$AE$30</f>
        <v/>
      </c>
      <c r="W116" s="8">
        <f>1/(1+EXP(-V116))</f>
        <v/>
      </c>
      <c r="X116" s="9">
        <f>-IF(C116=1,LN(W116),LN(1-W116))</f>
        <v/>
      </c>
      <c r="Y116" s="8">
        <f>1</f>
        <v/>
      </c>
      <c r="Z116" s="9">
        <f>Y116*X116</f>
        <v/>
      </c>
      <c r="AA116" s="10">
        <f>IF(W116&gt;$AE$32,1,0)</f>
        <v/>
      </c>
      <c r="AB116">
        <f>IF(AA116=C116,1,0)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$AE$12+D117*$AE$13+E117*$AE$14+F117*$AE$15+G117*$AE$16+H117*$AE$17+I117*$AE$18+J117*$AE$19+K117*$AE$20+L117*$AE$21+M117*$AE$22+N117*$AE$23+O117*$AE$24+P117*$AE$25+Q117*$AE$26+R117*$AE$27+S117*$AE$28+T117*$AE$29+U117*$AE$30</f>
        <v/>
      </c>
      <c r="W117" s="8">
        <f>1/(1+EXP(-V117))</f>
        <v/>
      </c>
      <c r="X117" s="9">
        <f>-IF(C117=1,LN(W117),LN(1-W117))</f>
        <v/>
      </c>
      <c r="Y117" s="8">
        <f>1</f>
        <v/>
      </c>
      <c r="Z117" s="9">
        <f>Y117*X117</f>
        <v/>
      </c>
      <c r="AA117" s="10">
        <f>IF(W117&gt;$AE$32,1,0)</f>
        <v/>
      </c>
      <c r="AB117">
        <f>IF(AA117=C117,1,0)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$AE$12+D118*$AE$13+E118*$AE$14+F118*$AE$15+G118*$AE$16+H118*$AE$17+I118*$AE$18+J118*$AE$19+K118*$AE$20+L118*$AE$21+M118*$AE$22+N118*$AE$23+O118*$AE$24+P118*$AE$25+Q118*$AE$26+R118*$AE$27+S118*$AE$28+T118*$AE$29+U118*$AE$30</f>
        <v/>
      </c>
      <c r="W118" s="8">
        <f>1/(1+EXP(-V118))</f>
        <v/>
      </c>
      <c r="X118" s="9">
        <f>-IF(C118=1,LN(W118),LN(1-W118))</f>
        <v/>
      </c>
      <c r="Y118" s="8">
        <f>1</f>
        <v/>
      </c>
      <c r="Z118" s="9">
        <f>Y118*X118</f>
        <v/>
      </c>
      <c r="AA118" s="10">
        <f>IF(W118&gt;$AE$32,1,0)</f>
        <v/>
      </c>
      <c r="AB118">
        <f>IF(AA118=C118,1,0)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$AE$12+D119*$AE$13+E119*$AE$14+F119*$AE$15+G119*$AE$16+H119*$AE$17+I119*$AE$18+J119*$AE$19+K119*$AE$20+L119*$AE$21+M119*$AE$22+N119*$AE$23+O119*$AE$24+P119*$AE$25+Q119*$AE$26+R119*$AE$27+S119*$AE$28+T119*$AE$29+U119*$AE$30</f>
        <v/>
      </c>
      <c r="W119" s="8">
        <f>1/(1+EXP(-V119))</f>
        <v/>
      </c>
      <c r="X119" s="9">
        <f>-IF(C119=1,LN(W119),LN(1-W119))</f>
        <v/>
      </c>
      <c r="Y119" s="8">
        <f>1</f>
        <v/>
      </c>
      <c r="Z119" s="9">
        <f>Y119*X119</f>
        <v/>
      </c>
      <c r="AA119" s="10">
        <f>IF(W119&gt;$AE$32,1,0)</f>
        <v/>
      </c>
      <c r="AB119">
        <f>IF(AA119=C119,1,0)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$AE$12+D120*$AE$13+E120*$AE$14+F120*$AE$15+G120*$AE$16+H120*$AE$17+I120*$AE$18+J120*$AE$19+K120*$AE$20+L120*$AE$21+M120*$AE$22+N120*$AE$23+O120*$AE$24+P120*$AE$25+Q120*$AE$26+R120*$AE$27+S120*$AE$28+T120*$AE$29+U120*$AE$30</f>
        <v/>
      </c>
      <c r="W120" s="8">
        <f>1/(1+EXP(-V120))</f>
        <v/>
      </c>
      <c r="X120" s="9">
        <f>-IF(C120=1,LN(W120),LN(1-W120))</f>
        <v/>
      </c>
      <c r="Y120" s="8">
        <f>1</f>
        <v/>
      </c>
      <c r="Z120" s="9">
        <f>Y120*X120</f>
        <v/>
      </c>
      <c r="AA120" s="10">
        <f>IF(W120&gt;$AE$32,1,0)</f>
        <v/>
      </c>
      <c r="AB120">
        <f>IF(AA120=C120,1,0)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$AE$12+D121*$AE$13+E121*$AE$14+F121*$AE$15+G121*$AE$16+H121*$AE$17+I121*$AE$18+J121*$AE$19+K121*$AE$20+L121*$AE$21+M121*$AE$22+N121*$AE$23+O121*$AE$24+P121*$AE$25+Q121*$AE$26+R121*$AE$27+S121*$AE$28+T121*$AE$29+U121*$AE$30</f>
        <v/>
      </c>
      <c r="W121" s="8">
        <f>1/(1+EXP(-V121))</f>
        <v/>
      </c>
      <c r="X121" s="9">
        <f>-IF(C121=1,LN(W121),LN(1-W121))</f>
        <v/>
      </c>
      <c r="Y121" s="8">
        <f>1</f>
        <v/>
      </c>
      <c r="Z121" s="9">
        <f>Y121*X121</f>
        <v/>
      </c>
      <c r="AA121" s="10">
        <f>IF(W121&gt;$AE$32,1,0)</f>
        <v/>
      </c>
      <c r="AB121">
        <f>IF(AA121=C121,1,0)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$AE$12+D122*$AE$13+E122*$AE$14+F122*$AE$15+G122*$AE$16+H122*$AE$17+I122*$AE$18+J122*$AE$19+K122*$AE$20+L122*$AE$21+M122*$AE$22+N122*$AE$23+O122*$AE$24+P122*$AE$25+Q122*$AE$26+R122*$AE$27+S122*$AE$28+T122*$AE$29+U122*$AE$30</f>
        <v/>
      </c>
      <c r="W122" s="8">
        <f>1/(1+EXP(-V122))</f>
        <v/>
      </c>
      <c r="X122" s="9">
        <f>-IF(C122=1,LN(W122),LN(1-W122))</f>
        <v/>
      </c>
      <c r="Y122" s="8">
        <f>1</f>
        <v/>
      </c>
      <c r="Z122" s="9">
        <f>Y122*X122</f>
        <v/>
      </c>
      <c r="AA122" s="10">
        <f>IF(W122&gt;$AE$32,1,0)</f>
        <v/>
      </c>
      <c r="AB122">
        <f>IF(AA122=C122,1,0)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$AE$12+D123*$AE$13+E123*$AE$14+F123*$AE$15+G123*$AE$16+H123*$AE$17+I123*$AE$18+J123*$AE$19+K123*$AE$20+L123*$AE$21+M123*$AE$22+N123*$AE$23+O123*$AE$24+P123*$AE$25+Q123*$AE$26+R123*$AE$27+S123*$AE$28+T123*$AE$29+U123*$AE$30</f>
        <v/>
      </c>
      <c r="W123" s="8">
        <f>1/(1+EXP(-V123))</f>
        <v/>
      </c>
      <c r="X123" s="9">
        <f>-IF(C123=1,LN(W123),LN(1-W123))</f>
        <v/>
      </c>
      <c r="Y123" s="8">
        <f>1</f>
        <v/>
      </c>
      <c r="Z123" s="9">
        <f>Y123*X123</f>
        <v/>
      </c>
      <c r="AA123" s="10">
        <f>IF(W123&gt;$AE$32,1,0)</f>
        <v/>
      </c>
      <c r="AB123">
        <f>IF(AA123=C123,1,0)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$AE$12+D124*$AE$13+E124*$AE$14+F124*$AE$15+G124*$AE$16+H124*$AE$17+I124*$AE$18+J124*$AE$19+K124*$AE$20+L124*$AE$21+M124*$AE$22+N124*$AE$23+O124*$AE$24+P124*$AE$25+Q124*$AE$26+R124*$AE$27+S124*$AE$28+T124*$AE$29+U124*$AE$30</f>
        <v/>
      </c>
      <c r="W124" s="8">
        <f>1/(1+EXP(-V124))</f>
        <v/>
      </c>
      <c r="X124" s="9">
        <f>-IF(C124=1,LN(W124),LN(1-W124))</f>
        <v/>
      </c>
      <c r="Y124" s="8">
        <f>1</f>
        <v/>
      </c>
      <c r="Z124" s="9">
        <f>Y124*X124</f>
        <v/>
      </c>
      <c r="AA124" s="10">
        <f>IF(W124&gt;$AE$32,1,0)</f>
        <v/>
      </c>
      <c r="AB124">
        <f>IF(AA124=C124,1,0)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$AE$12+D125*$AE$13+E125*$AE$14+F125*$AE$15+G125*$AE$16+H125*$AE$17+I125*$AE$18+J125*$AE$19+K125*$AE$20+L125*$AE$21+M125*$AE$22+N125*$AE$23+O125*$AE$24+P125*$AE$25+Q125*$AE$26+R125*$AE$27+S125*$AE$28+T125*$AE$29+U125*$AE$30</f>
        <v/>
      </c>
      <c r="W125" s="8">
        <f>1/(1+EXP(-V125))</f>
        <v/>
      </c>
      <c r="X125" s="9">
        <f>-IF(C125=1,LN(W125),LN(1-W125))</f>
        <v/>
      </c>
      <c r="Y125" s="8">
        <f>1</f>
        <v/>
      </c>
      <c r="Z125" s="9">
        <f>Y125*X125</f>
        <v/>
      </c>
      <c r="AA125" s="10">
        <f>IF(W125&gt;$AE$32,1,0)</f>
        <v/>
      </c>
      <c r="AB125">
        <f>IF(AA125=C125,1,0)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$AE$12+D126*$AE$13+E126*$AE$14+F126*$AE$15+G126*$AE$16+H126*$AE$17+I126*$AE$18+J126*$AE$19+K126*$AE$20+L126*$AE$21+M126*$AE$22+N126*$AE$23+O126*$AE$24+P126*$AE$25+Q126*$AE$26+R126*$AE$27+S126*$AE$28+T126*$AE$29+U126*$AE$30</f>
        <v/>
      </c>
      <c r="W126" s="8">
        <f>1/(1+EXP(-V126))</f>
        <v/>
      </c>
      <c r="X126" s="9">
        <f>-IF(C126=1,LN(W126),LN(1-W126))</f>
        <v/>
      </c>
      <c r="Y126" s="8">
        <f>1</f>
        <v/>
      </c>
      <c r="Z126" s="9">
        <f>Y126*X126</f>
        <v/>
      </c>
      <c r="AA126" s="10">
        <f>IF(W126&gt;$AE$32,1,0)</f>
        <v/>
      </c>
      <c r="AB126">
        <f>IF(AA126=C126,1,0)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$AE$12+D127*$AE$13+E127*$AE$14+F127*$AE$15+G127*$AE$16+H127*$AE$17+I127*$AE$18+J127*$AE$19+K127*$AE$20+L127*$AE$21+M127*$AE$22+N127*$AE$23+O127*$AE$24+P127*$AE$25+Q127*$AE$26+R127*$AE$27+S127*$AE$28+T127*$AE$29+U127*$AE$30</f>
        <v/>
      </c>
      <c r="W127" s="8">
        <f>1/(1+EXP(-V127))</f>
        <v/>
      </c>
      <c r="X127" s="9">
        <f>-IF(C127=1,LN(W127),LN(1-W127))</f>
        <v/>
      </c>
      <c r="Y127" s="8">
        <f>1</f>
        <v/>
      </c>
      <c r="Z127" s="9">
        <f>Y127*X127</f>
        <v/>
      </c>
      <c r="AA127" s="10">
        <f>IF(W127&gt;$AE$32,1,0)</f>
        <v/>
      </c>
      <c r="AB127">
        <f>IF(AA127=C127,1,0)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$AE$12+D128*$AE$13+E128*$AE$14+F128*$AE$15+G128*$AE$16+H128*$AE$17+I128*$AE$18+J128*$AE$19+K128*$AE$20+L128*$AE$21+M128*$AE$22+N128*$AE$23+O128*$AE$24+P128*$AE$25+Q128*$AE$26+R128*$AE$27+S128*$AE$28+T128*$AE$29+U128*$AE$30</f>
        <v/>
      </c>
      <c r="W128" s="8">
        <f>1/(1+EXP(-V128))</f>
        <v/>
      </c>
      <c r="X128" s="9">
        <f>-IF(C128=1,LN(W128),LN(1-W128))</f>
        <v/>
      </c>
      <c r="Y128" s="8">
        <f>1</f>
        <v/>
      </c>
      <c r="Z128" s="9">
        <f>Y128*X128</f>
        <v/>
      </c>
      <c r="AA128" s="10">
        <f>IF(W128&gt;$AE$32,1,0)</f>
        <v/>
      </c>
      <c r="AB128">
        <f>IF(AA128=C128,1,0)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$AE$12+D129*$AE$13+E129*$AE$14+F129*$AE$15+G129*$AE$16+H129*$AE$17+I129*$AE$18+J129*$AE$19+K129*$AE$20+L129*$AE$21+M129*$AE$22+N129*$AE$23+O129*$AE$24+P129*$AE$25+Q129*$AE$26+R129*$AE$27+S129*$AE$28+T129*$AE$29+U129*$AE$30</f>
        <v/>
      </c>
      <c r="W129" s="8">
        <f>1/(1+EXP(-V129))</f>
        <v/>
      </c>
      <c r="X129" s="9">
        <f>-IF(C129=1,LN(W129),LN(1-W129))</f>
        <v/>
      </c>
      <c r="Y129" s="8">
        <f>1</f>
        <v/>
      </c>
      <c r="Z129" s="9">
        <f>Y129*X129</f>
        <v/>
      </c>
      <c r="AA129" s="10">
        <f>IF(W129&gt;$AE$32,1,0)</f>
        <v/>
      </c>
      <c r="AB129">
        <f>IF(AA129=C129,1,0)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$AE$12+D130*$AE$13+E130*$AE$14+F130*$AE$15+G130*$AE$16+H130*$AE$17+I130*$AE$18+J130*$AE$19+K130*$AE$20+L130*$AE$21+M130*$AE$22+N130*$AE$23+O130*$AE$24+P130*$AE$25+Q130*$AE$26+R130*$AE$27+S130*$AE$28+T130*$AE$29+U130*$AE$30</f>
        <v/>
      </c>
      <c r="W130" s="8">
        <f>1/(1+EXP(-V130))</f>
        <v/>
      </c>
      <c r="X130" s="9">
        <f>-IF(C130=1,LN(W130),LN(1-W130))</f>
        <v/>
      </c>
      <c r="Y130" s="8">
        <f>1</f>
        <v/>
      </c>
      <c r="Z130" s="9">
        <f>Y130*X130</f>
        <v/>
      </c>
      <c r="AA130" s="10">
        <f>IF(W130&gt;$AE$32,1,0)</f>
        <v/>
      </c>
      <c r="AB130">
        <f>IF(AA130=C130,1,0)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$AE$12+D131*$AE$13+E131*$AE$14+F131*$AE$15+G131*$AE$16+H131*$AE$17+I131*$AE$18+J131*$AE$19+K131*$AE$20+L131*$AE$21+M131*$AE$22+N131*$AE$23+O131*$AE$24+P131*$AE$25+Q131*$AE$26+R131*$AE$27+S131*$AE$28+T131*$AE$29+U131*$AE$30</f>
        <v/>
      </c>
      <c r="W131" s="8">
        <f>1/(1+EXP(-V131))</f>
        <v/>
      </c>
      <c r="X131" s="9">
        <f>-IF(C131=1,LN(W131),LN(1-W131))</f>
        <v/>
      </c>
      <c r="Y131" s="8">
        <f>1</f>
        <v/>
      </c>
      <c r="Z131" s="9">
        <f>Y131*X131</f>
        <v/>
      </c>
      <c r="AA131" s="10">
        <f>IF(W131&gt;$AE$32,1,0)</f>
        <v/>
      </c>
      <c r="AB131">
        <f>IF(AA131=C131,1,0)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$AE$12+D132*$AE$13+E132*$AE$14+F132*$AE$15+G132*$AE$16+H132*$AE$17+I132*$AE$18+J132*$AE$19+K132*$AE$20+L132*$AE$21+M132*$AE$22+N132*$AE$23+O132*$AE$24+P132*$AE$25+Q132*$AE$26+R132*$AE$27+S132*$AE$28+T132*$AE$29+U132*$AE$30</f>
        <v/>
      </c>
      <c r="W132" s="8">
        <f>1/(1+EXP(-V132))</f>
        <v/>
      </c>
      <c r="X132" s="9">
        <f>-IF(C132=1,LN(W132),LN(1-W132))</f>
        <v/>
      </c>
      <c r="Y132" s="8">
        <f>1</f>
        <v/>
      </c>
      <c r="Z132" s="9">
        <f>Y132*X132</f>
        <v/>
      </c>
      <c r="AA132" s="10">
        <f>IF(W132&gt;$AE$32,1,0)</f>
        <v/>
      </c>
      <c r="AB132">
        <f>IF(AA132=C132,1,0)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$AE$12+D133*$AE$13+E133*$AE$14+F133*$AE$15+G133*$AE$16+H133*$AE$17+I133*$AE$18+J133*$AE$19+K133*$AE$20+L133*$AE$21+M133*$AE$22+N133*$AE$23+O133*$AE$24+P133*$AE$25+Q133*$AE$26+R133*$AE$27+S133*$AE$28+T133*$AE$29+U133*$AE$30</f>
        <v/>
      </c>
      <c r="W133" s="8">
        <f>1/(1+EXP(-V133))</f>
        <v/>
      </c>
      <c r="X133" s="9">
        <f>-IF(C133=1,LN(W133),LN(1-W133))</f>
        <v/>
      </c>
      <c r="Y133" s="8">
        <f>1</f>
        <v/>
      </c>
      <c r="Z133" s="9">
        <f>Y133*X133</f>
        <v/>
      </c>
      <c r="AA133" s="10">
        <f>IF(W133&gt;$AE$32,1,0)</f>
        <v/>
      </c>
      <c r="AB133">
        <f>IF(AA133=C133,1,0)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$AE$12+D134*$AE$13+E134*$AE$14+F134*$AE$15+G134*$AE$16+H134*$AE$17+I134*$AE$18+J134*$AE$19+K134*$AE$20+L134*$AE$21+M134*$AE$22+N134*$AE$23+O134*$AE$24+P134*$AE$25+Q134*$AE$26+R134*$AE$27+S134*$AE$28+T134*$AE$29+U134*$AE$30</f>
        <v/>
      </c>
      <c r="W134" s="8">
        <f>1/(1+EXP(-V134))</f>
        <v/>
      </c>
      <c r="X134" s="9">
        <f>-IF(C134=1,LN(W134),LN(1-W134))</f>
        <v/>
      </c>
      <c r="Y134" s="8">
        <f>1</f>
        <v/>
      </c>
      <c r="Z134" s="9">
        <f>Y134*X134</f>
        <v/>
      </c>
      <c r="AA134" s="10">
        <f>IF(W134&gt;$AE$32,1,0)</f>
        <v/>
      </c>
      <c r="AB134">
        <f>IF(AA134=C134,1,0)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$AE$12+D135*$AE$13+E135*$AE$14+F135*$AE$15+G135*$AE$16+H135*$AE$17+I135*$AE$18+J135*$AE$19+K135*$AE$20+L135*$AE$21+M135*$AE$22+N135*$AE$23+O135*$AE$24+P135*$AE$25+Q135*$AE$26+R135*$AE$27+S135*$AE$28+T135*$AE$29+U135*$AE$30</f>
        <v/>
      </c>
      <c r="W135" s="8">
        <f>1/(1+EXP(-V135))</f>
        <v/>
      </c>
      <c r="X135" s="9">
        <f>-IF(C135=1,LN(W135),LN(1-W135))</f>
        <v/>
      </c>
      <c r="Y135" s="8">
        <f>1</f>
        <v/>
      </c>
      <c r="Z135" s="9">
        <f>Y135*X135</f>
        <v/>
      </c>
      <c r="AA135" s="10">
        <f>IF(W135&gt;$AE$32,1,0)</f>
        <v/>
      </c>
      <c r="AB135">
        <f>IF(AA135=C135,1,0)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$AE$12+D136*$AE$13+E136*$AE$14+F136*$AE$15+G136*$AE$16+H136*$AE$17+I136*$AE$18+J136*$AE$19+K136*$AE$20+L136*$AE$21+M136*$AE$22+N136*$AE$23+O136*$AE$24+P136*$AE$25+Q136*$AE$26+R136*$AE$27+S136*$AE$28+T136*$AE$29+U136*$AE$30</f>
        <v/>
      </c>
      <c r="W136" s="8">
        <f>1/(1+EXP(-V136))</f>
        <v/>
      </c>
      <c r="X136" s="9">
        <f>-IF(C136=1,LN(W136),LN(1-W136))</f>
        <v/>
      </c>
      <c r="Y136" s="8">
        <f>1</f>
        <v/>
      </c>
      <c r="Z136" s="9">
        <f>Y136*X136</f>
        <v/>
      </c>
      <c r="AA136" s="10">
        <f>IF(W136&gt;$AE$32,1,0)</f>
        <v/>
      </c>
      <c r="AB136">
        <f>IF(AA136=C136,1,0)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$AE$12+D137*$AE$13+E137*$AE$14+F137*$AE$15+G137*$AE$16+H137*$AE$17+I137*$AE$18+J137*$AE$19+K137*$AE$20+L137*$AE$21+M137*$AE$22+N137*$AE$23+O137*$AE$24+P137*$AE$25+Q137*$AE$26+R137*$AE$27+S137*$AE$28+T137*$AE$29+U137*$AE$30</f>
        <v/>
      </c>
      <c r="W137" s="8">
        <f>1/(1+EXP(-V137))</f>
        <v/>
      </c>
      <c r="X137" s="9">
        <f>-IF(C137=1,LN(W137),LN(1-W137))</f>
        <v/>
      </c>
      <c r="Y137" s="8">
        <f>1</f>
        <v/>
      </c>
      <c r="Z137" s="9">
        <f>Y137*X137</f>
        <v/>
      </c>
      <c r="AA137" s="10">
        <f>IF(W137&gt;$AE$32,1,0)</f>
        <v/>
      </c>
      <c r="AB137">
        <f>IF(AA137=C137,1,0)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$AE$12+D138*$AE$13+E138*$AE$14+F138*$AE$15+G138*$AE$16+H138*$AE$17+I138*$AE$18+J138*$AE$19+K138*$AE$20+L138*$AE$21+M138*$AE$22+N138*$AE$23+O138*$AE$24+P138*$AE$25+Q138*$AE$26+R138*$AE$27+S138*$AE$28+T138*$AE$29+U138*$AE$30</f>
        <v/>
      </c>
      <c r="W138" s="8">
        <f>1/(1+EXP(-V138))</f>
        <v/>
      </c>
      <c r="X138" s="9">
        <f>-IF(C138=1,LN(W138),LN(1-W138))</f>
        <v/>
      </c>
      <c r="Y138" s="8">
        <f>1</f>
        <v/>
      </c>
      <c r="Z138" s="9">
        <f>Y138*X138</f>
        <v/>
      </c>
      <c r="AA138" s="10">
        <f>IF(W138&gt;$AE$32,1,0)</f>
        <v/>
      </c>
      <c r="AB138">
        <f>IF(AA138=C138,1,0)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$AE$12+D139*$AE$13+E139*$AE$14+F139*$AE$15+G139*$AE$16+H139*$AE$17+I139*$AE$18+J139*$AE$19+K139*$AE$20+L139*$AE$21+M139*$AE$22+N139*$AE$23+O139*$AE$24+P139*$AE$25+Q139*$AE$26+R139*$AE$27+S139*$AE$28+T139*$AE$29+U139*$AE$30</f>
        <v/>
      </c>
      <c r="W139" s="8">
        <f>1/(1+EXP(-V139))</f>
        <v/>
      </c>
      <c r="X139" s="9">
        <f>-IF(C139=1,LN(W139),LN(1-W139))</f>
        <v/>
      </c>
      <c r="Y139" s="8">
        <f>1</f>
        <v/>
      </c>
      <c r="Z139" s="9">
        <f>Y139*X139</f>
        <v/>
      </c>
      <c r="AA139" s="10">
        <f>IF(W139&gt;$AE$32,1,0)</f>
        <v/>
      </c>
      <c r="AB139">
        <f>IF(AA139=C139,1,0)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$AE$12+D140*$AE$13+E140*$AE$14+F140*$AE$15+G140*$AE$16+H140*$AE$17+I140*$AE$18+J140*$AE$19+K140*$AE$20+L140*$AE$21+M140*$AE$22+N140*$AE$23+O140*$AE$24+P140*$AE$25+Q140*$AE$26+R140*$AE$27+S140*$AE$28+T140*$AE$29+U140*$AE$30</f>
        <v/>
      </c>
      <c r="W140" s="8">
        <f>1/(1+EXP(-V140))</f>
        <v/>
      </c>
      <c r="X140" s="9">
        <f>-IF(C140=1,LN(W140),LN(1-W140))</f>
        <v/>
      </c>
      <c r="Y140" s="8">
        <f>1</f>
        <v/>
      </c>
      <c r="Z140" s="9">
        <f>Y140*X140</f>
        <v/>
      </c>
      <c r="AA140" s="10">
        <f>IF(W140&gt;$AE$32,1,0)</f>
        <v/>
      </c>
      <c r="AB140">
        <f>IF(AA140=C140,1,0)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$AE$12+D141*$AE$13+E141*$AE$14+F141*$AE$15+G141*$AE$16+H141*$AE$17+I141*$AE$18+J141*$AE$19+K141*$AE$20+L141*$AE$21+M141*$AE$22+N141*$AE$23+O141*$AE$24+P141*$AE$25+Q141*$AE$26+R141*$AE$27+S141*$AE$28+T141*$AE$29+U141*$AE$30</f>
        <v/>
      </c>
      <c r="W141" s="8">
        <f>1/(1+EXP(-V141))</f>
        <v/>
      </c>
      <c r="X141" s="9">
        <f>-IF(C141=1,LN(W141),LN(1-W141))</f>
        <v/>
      </c>
      <c r="Y141" s="8">
        <f>1</f>
        <v/>
      </c>
      <c r="Z141" s="9">
        <f>Y141*X141</f>
        <v/>
      </c>
      <c r="AA141" s="10">
        <f>IF(W141&gt;$AE$32,1,0)</f>
        <v/>
      </c>
      <c r="AB141">
        <f>IF(AA141=C141,1,0)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$AE$12+D142*$AE$13+E142*$AE$14+F142*$AE$15+G142*$AE$16+H142*$AE$17+I142*$AE$18+J142*$AE$19+K142*$AE$20+L142*$AE$21+M142*$AE$22+N142*$AE$23+O142*$AE$24+P142*$AE$25+Q142*$AE$26+R142*$AE$27+S142*$AE$28+T142*$AE$29+U142*$AE$30</f>
        <v/>
      </c>
      <c r="W142" s="8">
        <f>1/(1+EXP(-V142))</f>
        <v/>
      </c>
      <c r="X142" s="9">
        <f>-IF(C142=1,LN(W142),LN(1-W142))</f>
        <v/>
      </c>
      <c r="Y142" s="8">
        <f>1</f>
        <v/>
      </c>
      <c r="Z142" s="9">
        <f>Y142*X142</f>
        <v/>
      </c>
      <c r="AA142" s="10">
        <f>IF(W142&gt;$AE$32,1,0)</f>
        <v/>
      </c>
      <c r="AB142">
        <f>IF(AA142=C142,1,0)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$AE$12+D143*$AE$13+E143*$AE$14+F143*$AE$15+G143*$AE$16+H143*$AE$17+I143*$AE$18+J143*$AE$19+K143*$AE$20+L143*$AE$21+M143*$AE$22+N143*$AE$23+O143*$AE$24+P143*$AE$25+Q143*$AE$26+R143*$AE$27+S143*$AE$28+T143*$AE$29+U143*$AE$30</f>
        <v/>
      </c>
      <c r="W143" s="8">
        <f>1/(1+EXP(-V143))</f>
        <v/>
      </c>
      <c r="X143" s="9">
        <f>-IF(C143=1,LN(W143),LN(1-W143))</f>
        <v/>
      </c>
      <c r="Y143" s="8">
        <f>1</f>
        <v/>
      </c>
      <c r="Z143" s="9">
        <f>Y143*X143</f>
        <v/>
      </c>
      <c r="AA143" s="10">
        <f>IF(W143&gt;$AE$32,1,0)</f>
        <v/>
      </c>
      <c r="AB143">
        <f>IF(AA143=C143,1,0)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$AE$12+D144*$AE$13+E144*$AE$14+F144*$AE$15+G144*$AE$16+H144*$AE$17+I144*$AE$18+J144*$AE$19+K144*$AE$20+L144*$AE$21+M144*$AE$22+N144*$AE$23+O144*$AE$24+P144*$AE$25+Q144*$AE$26+R144*$AE$27+S144*$AE$28+T144*$AE$29+U144*$AE$30</f>
        <v/>
      </c>
      <c r="W144" s="8">
        <f>1/(1+EXP(-V144))</f>
        <v/>
      </c>
      <c r="X144" s="9">
        <f>-IF(C144=1,LN(W144),LN(1-W144))</f>
        <v/>
      </c>
      <c r="Y144" s="8">
        <f>1</f>
        <v/>
      </c>
      <c r="Z144" s="9">
        <f>Y144*X144</f>
        <v/>
      </c>
      <c r="AA144" s="10">
        <f>IF(W144&gt;$AE$32,1,0)</f>
        <v/>
      </c>
      <c r="AB144">
        <f>IF(AA144=C144,1,0)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$AE$12+D145*$AE$13+E145*$AE$14+F145*$AE$15+G145*$AE$16+H145*$AE$17+I145*$AE$18+J145*$AE$19+K145*$AE$20+L145*$AE$21+M145*$AE$22+N145*$AE$23+O145*$AE$24+P145*$AE$25+Q145*$AE$26+R145*$AE$27+S145*$AE$28+T145*$AE$29+U145*$AE$30</f>
        <v/>
      </c>
      <c r="W145" s="8">
        <f>1/(1+EXP(-V145))</f>
        <v/>
      </c>
      <c r="X145" s="9">
        <f>-IF(C145=1,LN(W145),LN(1-W145))</f>
        <v/>
      </c>
      <c r="Y145" s="8">
        <f>1</f>
        <v/>
      </c>
      <c r="Z145" s="9">
        <f>Y145*X145</f>
        <v/>
      </c>
      <c r="AA145" s="10">
        <f>IF(W145&gt;$AE$32,1,0)</f>
        <v/>
      </c>
      <c r="AB145">
        <f>IF(AA145=C145,1,0)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$AE$12+D146*$AE$13+E146*$AE$14+F146*$AE$15+G146*$AE$16+H146*$AE$17+I146*$AE$18+J146*$AE$19+K146*$AE$20+L146*$AE$21+M146*$AE$22+N146*$AE$23+O146*$AE$24+P146*$AE$25+Q146*$AE$26+R146*$AE$27+S146*$AE$28+T146*$AE$29+U146*$AE$30</f>
        <v/>
      </c>
      <c r="W146" s="8">
        <f>1/(1+EXP(-V146))</f>
        <v/>
      </c>
      <c r="X146" s="9">
        <f>-IF(C146=1,LN(W146),LN(1-W146))</f>
        <v/>
      </c>
      <c r="Y146" s="8">
        <f>1</f>
        <v/>
      </c>
      <c r="Z146" s="9">
        <f>Y146*X146</f>
        <v/>
      </c>
      <c r="AA146" s="10">
        <f>IF(W146&gt;$AE$32,1,0)</f>
        <v/>
      </c>
      <c r="AB146">
        <f>IF(AA146=C146,1,0)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$AE$12+D147*$AE$13+E147*$AE$14+F147*$AE$15+G147*$AE$16+H147*$AE$17+I147*$AE$18+J147*$AE$19+K147*$AE$20+L147*$AE$21+M147*$AE$22+N147*$AE$23+O147*$AE$24+P147*$AE$25+Q147*$AE$26+R147*$AE$27+S147*$AE$28+T147*$AE$29+U147*$AE$30</f>
        <v/>
      </c>
      <c r="W147" s="8">
        <f>1/(1+EXP(-V147))</f>
        <v/>
      </c>
      <c r="X147" s="9">
        <f>-IF(C147=1,LN(W147),LN(1-W147))</f>
        <v/>
      </c>
      <c r="Y147" s="8">
        <f>1</f>
        <v/>
      </c>
      <c r="Z147" s="9">
        <f>Y147*X147</f>
        <v/>
      </c>
      <c r="AA147" s="10">
        <f>IF(W147&gt;$AE$32,1,0)</f>
        <v/>
      </c>
      <c r="AB147">
        <f>IF(AA147=C147,1,0)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$AE$12+D148*$AE$13+E148*$AE$14+F148*$AE$15+G148*$AE$16+H148*$AE$17+I148*$AE$18+J148*$AE$19+K148*$AE$20+L148*$AE$21+M148*$AE$22+N148*$AE$23+O148*$AE$24+P148*$AE$25+Q148*$AE$26+R148*$AE$27+S148*$AE$28+T148*$AE$29+U148*$AE$30</f>
        <v/>
      </c>
      <c r="W148" s="8">
        <f>1/(1+EXP(-V148))</f>
        <v/>
      </c>
      <c r="X148" s="9">
        <f>-IF(C148=1,LN(W148),LN(1-W148))</f>
        <v/>
      </c>
      <c r="Y148" s="8">
        <f>1</f>
        <v/>
      </c>
      <c r="Z148" s="9">
        <f>Y148*X148</f>
        <v/>
      </c>
      <c r="AA148" s="10">
        <f>IF(W148&gt;$AE$32,1,0)</f>
        <v/>
      </c>
      <c r="AB148">
        <f>IF(AA148=C148,1,0)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$AE$12+D149*$AE$13+E149*$AE$14+F149*$AE$15+G149*$AE$16+H149*$AE$17+I149*$AE$18+J149*$AE$19+K149*$AE$20+L149*$AE$21+M149*$AE$22+N149*$AE$23+O149*$AE$24+P149*$AE$25+Q149*$AE$26+R149*$AE$27+S149*$AE$28+T149*$AE$29+U149*$AE$30</f>
        <v/>
      </c>
      <c r="W149" s="8">
        <f>1/(1+EXP(-V149))</f>
        <v/>
      </c>
      <c r="X149" s="9">
        <f>-IF(C149=1,LN(W149),LN(1-W149))</f>
        <v/>
      </c>
      <c r="Y149" s="8">
        <f>1</f>
        <v/>
      </c>
      <c r="Z149" s="9">
        <f>Y149*X149</f>
        <v/>
      </c>
      <c r="AA149" s="10">
        <f>IF(W149&gt;$AE$32,1,0)</f>
        <v/>
      </c>
      <c r="AB149">
        <f>IF(AA149=C149,1,0)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$AE$12+D150*$AE$13+E150*$AE$14+F150*$AE$15+G150*$AE$16+H150*$AE$17+I150*$AE$18+J150*$AE$19+K150*$AE$20+L150*$AE$21+M150*$AE$22+N150*$AE$23+O150*$AE$24+P150*$AE$25+Q150*$AE$26+R150*$AE$27+S150*$AE$28+T150*$AE$29+U150*$AE$30</f>
        <v/>
      </c>
      <c r="W150" s="8">
        <f>1/(1+EXP(-V150))</f>
        <v/>
      </c>
      <c r="X150" s="9">
        <f>-IF(C150=1,LN(W150),LN(1-W150))</f>
        <v/>
      </c>
      <c r="Y150" s="8">
        <f>1</f>
        <v/>
      </c>
      <c r="Z150" s="9">
        <f>Y150*X150</f>
        <v/>
      </c>
      <c r="AA150" s="10">
        <f>IF(W150&gt;$AE$32,1,0)</f>
        <v/>
      </c>
      <c r="AB150">
        <f>IF(AA150=C150,1,0)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$AE$12+D151*$AE$13+E151*$AE$14+F151*$AE$15+G151*$AE$16+H151*$AE$17+I151*$AE$18+J151*$AE$19+K151*$AE$20+L151*$AE$21+M151*$AE$22+N151*$AE$23+O151*$AE$24+P151*$AE$25+Q151*$AE$26+R151*$AE$27+S151*$AE$28+T151*$AE$29+U151*$AE$30</f>
        <v/>
      </c>
      <c r="W151" s="8">
        <f>1/(1+EXP(-V151))</f>
        <v/>
      </c>
      <c r="X151" s="9">
        <f>-IF(C151=1,LN(W151),LN(1-W151))</f>
        <v/>
      </c>
      <c r="Y151" s="8">
        <f>1</f>
        <v/>
      </c>
      <c r="Z151" s="9">
        <f>Y151*X151</f>
        <v/>
      </c>
      <c r="AA151" s="10">
        <f>IF(W151&gt;$AE$32,1,0)</f>
        <v/>
      </c>
      <c r="AB151">
        <f>IF(AA151=C151,1,0)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$AE$12+D152*$AE$13+E152*$AE$14+F152*$AE$15+G152*$AE$16+H152*$AE$17+I152*$AE$18+J152*$AE$19+K152*$AE$20+L152*$AE$21+M152*$AE$22+N152*$AE$23+O152*$AE$24+P152*$AE$25+Q152*$AE$26+R152*$AE$27+S152*$AE$28+T152*$AE$29+U152*$AE$30</f>
        <v/>
      </c>
      <c r="W152" s="8">
        <f>1/(1+EXP(-V152))</f>
        <v/>
      </c>
      <c r="X152" s="9">
        <f>-IF(C152=1,LN(W152),LN(1-W152))</f>
        <v/>
      </c>
      <c r="Y152" s="8">
        <f>1</f>
        <v/>
      </c>
      <c r="Z152" s="9">
        <f>Y152*X152</f>
        <v/>
      </c>
      <c r="AA152" s="10">
        <f>IF(W152&gt;$AE$32,1,0)</f>
        <v/>
      </c>
      <c r="AB152">
        <f>IF(AA152=C152,1,0)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$AE$12+D153*$AE$13+E153*$AE$14+F153*$AE$15+G153*$AE$16+H153*$AE$17+I153*$AE$18+J153*$AE$19+K153*$AE$20+L153*$AE$21+M153*$AE$22+N153*$AE$23+O153*$AE$24+P153*$AE$25+Q153*$AE$26+R153*$AE$27+S153*$AE$28+T153*$AE$29+U153*$AE$30</f>
        <v/>
      </c>
      <c r="W153" s="8">
        <f>1/(1+EXP(-V153))</f>
        <v/>
      </c>
      <c r="X153" s="9">
        <f>-IF(C153=1,LN(W153),LN(1-W153))</f>
        <v/>
      </c>
      <c r="Y153" s="8">
        <f>1</f>
        <v/>
      </c>
      <c r="Z153" s="9">
        <f>Y153*X153</f>
        <v/>
      </c>
      <c r="AA153" s="10">
        <f>IF(W153&gt;$AE$32,1,0)</f>
        <v/>
      </c>
      <c r="AB153">
        <f>IF(AA153=C153,1,0)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$AE$12+D154*$AE$13+E154*$AE$14+F154*$AE$15+G154*$AE$16+H154*$AE$17+I154*$AE$18+J154*$AE$19+K154*$AE$20+L154*$AE$21+M154*$AE$22+N154*$AE$23+O154*$AE$24+P154*$AE$25+Q154*$AE$26+R154*$AE$27+S154*$AE$28+T154*$AE$29+U154*$AE$30</f>
        <v/>
      </c>
      <c r="W154" s="8">
        <f>1/(1+EXP(-V154))</f>
        <v/>
      </c>
      <c r="X154" s="9">
        <f>-IF(C154=1,LN(W154),LN(1-W154))</f>
        <v/>
      </c>
      <c r="Y154" s="8">
        <f>1</f>
        <v/>
      </c>
      <c r="Z154" s="9">
        <f>Y154*X154</f>
        <v/>
      </c>
      <c r="AA154" s="10">
        <f>IF(W154&gt;$AE$32,1,0)</f>
        <v/>
      </c>
      <c r="AB154">
        <f>IF(AA154=C154,1,0)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$AE$12+D155*$AE$13+E155*$AE$14+F155*$AE$15+G155*$AE$16+H155*$AE$17+I155*$AE$18+J155*$AE$19+K155*$AE$20+L155*$AE$21+M155*$AE$22+N155*$AE$23+O155*$AE$24+P155*$AE$25+Q155*$AE$26+R155*$AE$27+S155*$AE$28+T155*$AE$29+U155*$AE$30</f>
        <v/>
      </c>
      <c r="W155" s="8">
        <f>1/(1+EXP(-V155))</f>
        <v/>
      </c>
      <c r="X155" s="9">
        <f>-IF(C155=1,LN(W155),LN(1-W155))</f>
        <v/>
      </c>
      <c r="Y155" s="8">
        <f>1</f>
        <v/>
      </c>
      <c r="Z155" s="9">
        <f>Y155*X155</f>
        <v/>
      </c>
      <c r="AA155" s="10">
        <f>IF(W155&gt;$AE$32,1,0)</f>
        <v/>
      </c>
      <c r="AB155">
        <f>IF(AA155=C155,1,0)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$AE$12+D156*$AE$13+E156*$AE$14+F156*$AE$15+G156*$AE$16+H156*$AE$17+I156*$AE$18+J156*$AE$19+K156*$AE$20+L156*$AE$21+M156*$AE$22+N156*$AE$23+O156*$AE$24+P156*$AE$25+Q156*$AE$26+R156*$AE$27+S156*$AE$28+T156*$AE$29+U156*$AE$30</f>
        <v/>
      </c>
      <c r="W156" s="8">
        <f>1/(1+EXP(-V156))</f>
        <v/>
      </c>
      <c r="X156" s="9">
        <f>-IF(C156=1,LN(W156),LN(1-W156))</f>
        <v/>
      </c>
      <c r="Y156" s="8">
        <f>1</f>
        <v/>
      </c>
      <c r="Z156" s="9">
        <f>Y156*X156</f>
        <v/>
      </c>
      <c r="AA156" s="10">
        <f>IF(W156&gt;$AE$32,1,0)</f>
        <v/>
      </c>
      <c r="AB156">
        <f>IF(AA156=C156,1,0)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$AE$12+D157*$AE$13+E157*$AE$14+F157*$AE$15+G157*$AE$16+H157*$AE$17+I157*$AE$18+J157*$AE$19+K157*$AE$20+L157*$AE$21+M157*$AE$22+N157*$AE$23+O157*$AE$24+P157*$AE$25+Q157*$AE$26+R157*$AE$27+S157*$AE$28+T157*$AE$29+U157*$AE$30</f>
        <v/>
      </c>
      <c r="W157" s="8">
        <f>1/(1+EXP(-V157))</f>
        <v/>
      </c>
      <c r="X157" s="9">
        <f>-IF(C157=1,LN(W157),LN(1-W157))</f>
        <v/>
      </c>
      <c r="Y157" s="8">
        <f>1</f>
        <v/>
      </c>
      <c r="Z157" s="9">
        <f>Y157*X157</f>
        <v/>
      </c>
      <c r="AA157" s="10">
        <f>IF(W157&gt;$AE$32,1,0)</f>
        <v/>
      </c>
      <c r="AB157">
        <f>IF(AA157=C157,1,0)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$AE$12+D158*$AE$13+E158*$AE$14+F158*$AE$15+G158*$AE$16+H158*$AE$17+I158*$AE$18+J158*$AE$19+K158*$AE$20+L158*$AE$21+M158*$AE$22+N158*$AE$23+O158*$AE$24+P158*$AE$25+Q158*$AE$26+R158*$AE$27+S158*$AE$28+T158*$AE$29+U158*$AE$30</f>
        <v/>
      </c>
      <c r="W158" s="8">
        <f>1/(1+EXP(-V158))</f>
        <v/>
      </c>
      <c r="X158" s="9">
        <f>-IF(C158=1,LN(W158),LN(1-W158))</f>
        <v/>
      </c>
      <c r="Y158" s="8">
        <f>1</f>
        <v/>
      </c>
      <c r="Z158" s="9">
        <f>Y158*X158</f>
        <v/>
      </c>
      <c r="AA158" s="10">
        <f>IF(W158&gt;$AE$32,1,0)</f>
        <v/>
      </c>
      <c r="AB158">
        <f>IF(AA158=C158,1,0)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$AE$12+D159*$AE$13+E159*$AE$14+F159*$AE$15+G159*$AE$16+H159*$AE$17+I159*$AE$18+J159*$AE$19+K159*$AE$20+L159*$AE$21+M159*$AE$22+N159*$AE$23+O159*$AE$24+P159*$AE$25+Q159*$AE$26+R159*$AE$27+S159*$AE$28+T159*$AE$29+U159*$AE$30</f>
        <v/>
      </c>
      <c r="W159" s="8">
        <f>1/(1+EXP(-V159))</f>
        <v/>
      </c>
      <c r="X159" s="9">
        <f>-IF(C159=1,LN(W159),LN(1-W159))</f>
        <v/>
      </c>
      <c r="Y159" s="8">
        <f>1</f>
        <v/>
      </c>
      <c r="Z159" s="9">
        <f>Y159*X159</f>
        <v/>
      </c>
      <c r="AA159" s="10">
        <f>IF(W159&gt;$AE$32,1,0)</f>
        <v/>
      </c>
      <c r="AB159">
        <f>IF(AA159=C159,1,0)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$AE$12+D160*$AE$13+E160*$AE$14+F160*$AE$15+G160*$AE$16+H160*$AE$17+I160*$AE$18+J160*$AE$19+K160*$AE$20+L160*$AE$21+M160*$AE$22+N160*$AE$23+O160*$AE$24+P160*$AE$25+Q160*$AE$26+R160*$AE$27+S160*$AE$28+T160*$AE$29+U160*$AE$30</f>
        <v/>
      </c>
      <c r="W160" s="8">
        <f>1/(1+EXP(-V160))</f>
        <v/>
      </c>
      <c r="X160" s="9">
        <f>-IF(C160=1,LN(W160),LN(1-W160))</f>
        <v/>
      </c>
      <c r="Y160" s="8">
        <f>1</f>
        <v/>
      </c>
      <c r="Z160" s="9">
        <f>Y160*X160</f>
        <v/>
      </c>
      <c r="AA160" s="10">
        <f>IF(W160&gt;$AE$32,1,0)</f>
        <v/>
      </c>
      <c r="AB160">
        <f>IF(AA160=C160,1,0)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$AE$12+D161*$AE$13+E161*$AE$14+F161*$AE$15+G161*$AE$16+H161*$AE$17+I161*$AE$18+J161*$AE$19+K161*$AE$20+L161*$AE$21+M161*$AE$22+N161*$AE$23+O161*$AE$24+P161*$AE$25+Q161*$AE$26+R161*$AE$27+S161*$AE$28+T161*$AE$29+U161*$AE$30</f>
        <v/>
      </c>
      <c r="W161" s="8">
        <f>1/(1+EXP(-V161))</f>
        <v/>
      </c>
      <c r="X161" s="9">
        <f>-IF(C161=1,LN(W161),LN(1-W161))</f>
        <v/>
      </c>
      <c r="Y161" s="8">
        <f>1</f>
        <v/>
      </c>
      <c r="Z161" s="9">
        <f>Y161*X161</f>
        <v/>
      </c>
      <c r="AA161" s="10">
        <f>IF(W161&gt;$AE$32,1,0)</f>
        <v/>
      </c>
      <c r="AB161">
        <f>IF(AA161=C161,1,0)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$AE$12+D162*$AE$13+E162*$AE$14+F162*$AE$15+G162*$AE$16+H162*$AE$17+I162*$AE$18+J162*$AE$19+K162*$AE$20+L162*$AE$21+M162*$AE$22+N162*$AE$23+O162*$AE$24+P162*$AE$25+Q162*$AE$26+R162*$AE$27+S162*$AE$28+T162*$AE$29+U162*$AE$30</f>
        <v/>
      </c>
      <c r="W162" s="8">
        <f>1/(1+EXP(-V162))</f>
        <v/>
      </c>
      <c r="X162" s="9">
        <f>-IF(C162=1,LN(W162),LN(1-W162))</f>
        <v/>
      </c>
      <c r="Y162" s="8">
        <f>1</f>
        <v/>
      </c>
      <c r="Z162" s="9">
        <f>Y162*X162</f>
        <v/>
      </c>
      <c r="AA162" s="10">
        <f>IF(W162&gt;$AE$32,1,0)</f>
        <v/>
      </c>
      <c r="AB162">
        <f>IF(AA162=C162,1,0)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$AE$12+D163*$AE$13+E163*$AE$14+F163*$AE$15+G163*$AE$16+H163*$AE$17+I163*$AE$18+J163*$AE$19+K163*$AE$20+L163*$AE$21+M163*$AE$22+N163*$AE$23+O163*$AE$24+P163*$AE$25+Q163*$AE$26+R163*$AE$27+S163*$AE$28+T163*$AE$29+U163*$AE$30</f>
        <v/>
      </c>
      <c r="W163" s="8">
        <f>1/(1+EXP(-V163))</f>
        <v/>
      </c>
      <c r="X163" s="9">
        <f>-IF(C163=1,LN(W163),LN(1-W163))</f>
        <v/>
      </c>
      <c r="Y163" s="8">
        <f>1</f>
        <v/>
      </c>
      <c r="Z163" s="9">
        <f>Y163*X163</f>
        <v/>
      </c>
      <c r="AA163" s="10">
        <f>IF(W163&gt;$AE$32,1,0)</f>
        <v/>
      </c>
      <c r="AB163">
        <f>IF(AA163=C163,1,0)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$AE$12+D164*$AE$13+E164*$AE$14+F164*$AE$15+G164*$AE$16+H164*$AE$17+I164*$AE$18+J164*$AE$19+K164*$AE$20+L164*$AE$21+M164*$AE$22+N164*$AE$23+O164*$AE$24+P164*$AE$25+Q164*$AE$26+R164*$AE$27+S164*$AE$28+T164*$AE$29+U164*$AE$30</f>
        <v/>
      </c>
      <c r="W164" s="8">
        <f>1/(1+EXP(-V164))</f>
        <v/>
      </c>
      <c r="X164" s="9">
        <f>-IF(C164=1,LN(W164),LN(1-W164))</f>
        <v/>
      </c>
      <c r="Y164" s="8">
        <f>1</f>
        <v/>
      </c>
      <c r="Z164" s="9">
        <f>Y164*X164</f>
        <v/>
      </c>
      <c r="AA164" s="10">
        <f>IF(W164&gt;$AE$32,1,0)</f>
        <v/>
      </c>
      <c r="AB164">
        <f>IF(AA164=C164,1,0)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$AE$12+D165*$AE$13+E165*$AE$14+F165*$AE$15+G165*$AE$16+H165*$AE$17+I165*$AE$18+J165*$AE$19+K165*$AE$20+L165*$AE$21+M165*$AE$22+N165*$AE$23+O165*$AE$24+P165*$AE$25+Q165*$AE$26+R165*$AE$27+S165*$AE$28+T165*$AE$29+U165*$AE$30</f>
        <v/>
      </c>
      <c r="W165" s="8">
        <f>1/(1+EXP(-V165))</f>
        <v/>
      </c>
      <c r="X165" s="9">
        <f>-IF(C165=1,LN(W165),LN(1-W165))</f>
        <v/>
      </c>
      <c r="Y165" s="8">
        <f>1</f>
        <v/>
      </c>
      <c r="Z165" s="9">
        <f>Y165*X165</f>
        <v/>
      </c>
      <c r="AA165" s="10">
        <f>IF(W165&gt;$AE$32,1,0)</f>
        <v/>
      </c>
      <c r="AB165">
        <f>IF(AA165=C165,1,0)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$AE$12+D166*$AE$13+E166*$AE$14+F166*$AE$15+G166*$AE$16+H166*$AE$17+I166*$AE$18+J166*$AE$19+K166*$AE$20+L166*$AE$21+M166*$AE$22+N166*$AE$23+O166*$AE$24+P166*$AE$25+Q166*$AE$26+R166*$AE$27+S166*$AE$28+T166*$AE$29+U166*$AE$30</f>
        <v/>
      </c>
      <c r="W166" s="8">
        <f>1/(1+EXP(-V166))</f>
        <v/>
      </c>
      <c r="X166" s="9">
        <f>-IF(C166=1,LN(W166),LN(1-W166))</f>
        <v/>
      </c>
      <c r="Y166" s="8">
        <f>1</f>
        <v/>
      </c>
      <c r="Z166" s="9">
        <f>Y166*X166</f>
        <v/>
      </c>
      <c r="AA166" s="10">
        <f>IF(W166&gt;$AE$32,1,0)</f>
        <v/>
      </c>
      <c r="AB166">
        <f>IF(AA166=C166,1,0)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$AE$12+D167*$AE$13+E167*$AE$14+F167*$AE$15+G167*$AE$16+H167*$AE$17+I167*$AE$18+J167*$AE$19+K167*$AE$20+L167*$AE$21+M167*$AE$22+N167*$AE$23+O167*$AE$24+P167*$AE$25+Q167*$AE$26+R167*$AE$27+S167*$AE$28+T167*$AE$29+U167*$AE$30</f>
        <v/>
      </c>
      <c r="W167" s="8">
        <f>1/(1+EXP(-V167))</f>
        <v/>
      </c>
      <c r="X167" s="9">
        <f>-IF(C167=1,LN(W167),LN(1-W167))</f>
        <v/>
      </c>
      <c r="Y167" s="8">
        <f>1</f>
        <v/>
      </c>
      <c r="Z167" s="9">
        <f>Y167*X167</f>
        <v/>
      </c>
      <c r="AA167" s="10">
        <f>IF(W167&gt;$AE$32,1,0)</f>
        <v/>
      </c>
      <c r="AB167">
        <f>IF(AA167=C167,1,0)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$AE$12+D168*$AE$13+E168*$AE$14+F168*$AE$15+G168*$AE$16+H168*$AE$17+I168*$AE$18+J168*$AE$19+K168*$AE$20+L168*$AE$21+M168*$AE$22+N168*$AE$23+O168*$AE$24+P168*$AE$25+Q168*$AE$26+R168*$AE$27+S168*$AE$28+T168*$AE$29+U168*$AE$30</f>
        <v/>
      </c>
      <c r="W168" s="8">
        <f>1/(1+EXP(-V168))</f>
        <v/>
      </c>
      <c r="X168" s="9">
        <f>-IF(C168=1,LN(W168),LN(1-W168))</f>
        <v/>
      </c>
      <c r="Y168" s="8">
        <f>1</f>
        <v/>
      </c>
      <c r="Z168" s="9">
        <f>Y168*X168</f>
        <v/>
      </c>
      <c r="AA168" s="10">
        <f>IF(W168&gt;$AE$32,1,0)</f>
        <v/>
      </c>
      <c r="AB168">
        <f>IF(AA168=C168,1,0)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$AE$12+D169*$AE$13+E169*$AE$14+F169*$AE$15+G169*$AE$16+H169*$AE$17+I169*$AE$18+J169*$AE$19+K169*$AE$20+L169*$AE$21+M169*$AE$22+N169*$AE$23+O169*$AE$24+P169*$AE$25+Q169*$AE$26+R169*$AE$27+S169*$AE$28+T169*$AE$29+U169*$AE$30</f>
        <v/>
      </c>
      <c r="W169" s="8">
        <f>1/(1+EXP(-V169))</f>
        <v/>
      </c>
      <c r="X169" s="9">
        <f>-IF(C169=1,LN(W169),LN(1-W169))</f>
        <v/>
      </c>
      <c r="Y169" s="8">
        <f>1</f>
        <v/>
      </c>
      <c r="Z169" s="9">
        <f>Y169*X169</f>
        <v/>
      </c>
      <c r="AA169" s="10">
        <f>IF(W169&gt;$AE$32,1,0)</f>
        <v/>
      </c>
      <c r="AB169">
        <f>IF(AA169=C169,1,0)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$AE$12+D170*$AE$13+E170*$AE$14+F170*$AE$15+G170*$AE$16+H170*$AE$17+I170*$AE$18+J170*$AE$19+K170*$AE$20+L170*$AE$21+M170*$AE$22+N170*$AE$23+O170*$AE$24+P170*$AE$25+Q170*$AE$26+R170*$AE$27+S170*$AE$28+T170*$AE$29+U170*$AE$30</f>
        <v/>
      </c>
      <c r="W170" s="8">
        <f>1/(1+EXP(-V170))</f>
        <v/>
      </c>
      <c r="X170" s="9">
        <f>-IF(C170=1,LN(W170),LN(1-W170))</f>
        <v/>
      </c>
      <c r="Y170" s="8">
        <f>1</f>
        <v/>
      </c>
      <c r="Z170" s="9">
        <f>Y170*X170</f>
        <v/>
      </c>
      <c r="AA170" s="10">
        <f>IF(W170&gt;$AE$32,1,0)</f>
        <v/>
      </c>
      <c r="AB170">
        <f>IF(AA170=C170,1,0)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$AE$12+D171*$AE$13+E171*$AE$14+F171*$AE$15+G171*$AE$16+H171*$AE$17+I171*$AE$18+J171*$AE$19+K171*$AE$20+L171*$AE$21+M171*$AE$22+N171*$AE$23+O171*$AE$24+P171*$AE$25+Q171*$AE$26+R171*$AE$27+S171*$AE$28+T171*$AE$29+U171*$AE$30</f>
        <v/>
      </c>
      <c r="W171" s="8">
        <f>1/(1+EXP(-V171))</f>
        <v/>
      </c>
      <c r="X171" s="9">
        <f>-IF(C171=1,LN(W171),LN(1-W171))</f>
        <v/>
      </c>
      <c r="Y171" s="8">
        <f>1</f>
        <v/>
      </c>
      <c r="Z171" s="9">
        <f>Y171*X171</f>
        <v/>
      </c>
      <c r="AA171" s="10">
        <f>IF(W171&gt;$AE$32,1,0)</f>
        <v/>
      </c>
      <c r="AB171">
        <f>IF(AA171=C171,1,0)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$AE$12+D172*$AE$13+E172*$AE$14+F172*$AE$15+G172*$AE$16+H172*$AE$17+I172*$AE$18+J172*$AE$19+K172*$AE$20+L172*$AE$21+M172*$AE$22+N172*$AE$23+O172*$AE$24+P172*$AE$25+Q172*$AE$26+R172*$AE$27+S172*$AE$28+T172*$AE$29+U172*$AE$30</f>
        <v/>
      </c>
      <c r="W172" s="8">
        <f>1/(1+EXP(-V172))</f>
        <v/>
      </c>
      <c r="X172" s="9">
        <f>-IF(C172=1,LN(W172),LN(1-W172))</f>
        <v/>
      </c>
      <c r="Y172" s="8">
        <f>1</f>
        <v/>
      </c>
      <c r="Z172" s="9">
        <f>Y172*X172</f>
        <v/>
      </c>
      <c r="AA172" s="10">
        <f>IF(W172&gt;$AE$32,1,0)</f>
        <v/>
      </c>
      <c r="AB172">
        <f>IF(AA172=C172,1,0)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$AE$12+D173*$AE$13+E173*$AE$14+F173*$AE$15+G173*$AE$16+H173*$AE$17+I173*$AE$18+J173*$AE$19+K173*$AE$20+L173*$AE$21+M173*$AE$22+N173*$AE$23+O173*$AE$24+P173*$AE$25+Q173*$AE$26+R173*$AE$27+S173*$AE$28+T173*$AE$29+U173*$AE$30</f>
        <v/>
      </c>
      <c r="W173" s="8">
        <f>1/(1+EXP(-V173))</f>
        <v/>
      </c>
      <c r="X173" s="9">
        <f>-IF(C173=1,LN(W173),LN(1-W173))</f>
        <v/>
      </c>
      <c r="Y173" s="8">
        <f>1</f>
        <v/>
      </c>
      <c r="Z173" s="9">
        <f>Y173*X173</f>
        <v/>
      </c>
      <c r="AA173" s="10">
        <f>IF(W173&gt;$AE$32,1,0)</f>
        <v/>
      </c>
      <c r="AB173">
        <f>IF(AA173=C173,1,0)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$AE$12+D174*$AE$13+E174*$AE$14+F174*$AE$15+G174*$AE$16+H174*$AE$17+I174*$AE$18+J174*$AE$19+K174*$AE$20+L174*$AE$21+M174*$AE$22+N174*$AE$23+O174*$AE$24+P174*$AE$25+Q174*$AE$26+R174*$AE$27+S174*$AE$28+T174*$AE$29+U174*$AE$30</f>
        <v/>
      </c>
      <c r="W174" s="8">
        <f>1/(1+EXP(-V174))</f>
        <v/>
      </c>
      <c r="X174" s="9">
        <f>-IF(C174=1,LN(W174),LN(1-W174))</f>
        <v/>
      </c>
      <c r="Y174" s="8">
        <f>1</f>
        <v/>
      </c>
      <c r="Z174" s="9">
        <f>Y174*X174</f>
        <v/>
      </c>
      <c r="AA174" s="10">
        <f>IF(W174&gt;$AE$32,1,0)</f>
        <v/>
      </c>
      <c r="AB174">
        <f>IF(AA174=C174,1,0)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$AE$12+D175*$AE$13+E175*$AE$14+F175*$AE$15+G175*$AE$16+H175*$AE$17+I175*$AE$18+J175*$AE$19+K175*$AE$20+L175*$AE$21+M175*$AE$22+N175*$AE$23+O175*$AE$24+P175*$AE$25+Q175*$AE$26+R175*$AE$27+S175*$AE$28+T175*$AE$29+U175*$AE$30</f>
        <v/>
      </c>
      <c r="W175" s="8">
        <f>1/(1+EXP(-V175))</f>
        <v/>
      </c>
      <c r="X175" s="9">
        <f>-IF(C175=1,LN(W175),LN(1-W175))</f>
        <v/>
      </c>
      <c r="Y175" s="8">
        <f>1</f>
        <v/>
      </c>
      <c r="Z175" s="9">
        <f>Y175*X175</f>
        <v/>
      </c>
      <c r="AA175" s="10">
        <f>IF(W175&gt;$AE$32,1,0)</f>
        <v/>
      </c>
      <c r="AB175">
        <f>IF(AA175=C175,1,0)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$AE$12+D176*$AE$13+E176*$AE$14+F176*$AE$15+G176*$AE$16+H176*$AE$17+I176*$AE$18+J176*$AE$19+K176*$AE$20+L176*$AE$21+M176*$AE$22+N176*$AE$23+O176*$AE$24+P176*$AE$25+Q176*$AE$26+R176*$AE$27+S176*$AE$28+T176*$AE$29+U176*$AE$30</f>
        <v/>
      </c>
      <c r="W176" s="8">
        <f>1/(1+EXP(-V176))</f>
        <v/>
      </c>
      <c r="X176" s="9">
        <f>-IF(C176=1,LN(W176),LN(1-W176))</f>
        <v/>
      </c>
      <c r="Y176" s="8">
        <f>1</f>
        <v/>
      </c>
      <c r="Z176" s="9">
        <f>Y176*X176</f>
        <v/>
      </c>
      <c r="AA176" s="10">
        <f>IF(W176&gt;$AE$32,1,0)</f>
        <v/>
      </c>
      <c r="AB176">
        <f>IF(AA176=C176,1,0)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$AE$12+D177*$AE$13+E177*$AE$14+F177*$AE$15+G177*$AE$16+H177*$AE$17+I177*$AE$18+J177*$AE$19+K177*$AE$20+L177*$AE$21+M177*$AE$22+N177*$AE$23+O177*$AE$24+P177*$AE$25+Q177*$AE$26+R177*$AE$27+S177*$AE$28+T177*$AE$29+U177*$AE$30</f>
        <v/>
      </c>
      <c r="W177" s="8">
        <f>1/(1+EXP(-V177))</f>
        <v/>
      </c>
      <c r="X177" s="9">
        <f>-IF(C177=1,LN(W177),LN(1-W177))</f>
        <v/>
      </c>
      <c r="Y177" s="8">
        <f>1</f>
        <v/>
      </c>
      <c r="Z177" s="9">
        <f>Y177*X177</f>
        <v/>
      </c>
      <c r="AA177" s="10">
        <f>IF(W177&gt;$AE$32,1,0)</f>
        <v/>
      </c>
      <c r="AB177">
        <f>IF(AA177=C177,1,0)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$AE$12+D178*$AE$13+E178*$AE$14+F178*$AE$15+G178*$AE$16+H178*$AE$17+I178*$AE$18+J178*$AE$19+K178*$AE$20+L178*$AE$21+M178*$AE$22+N178*$AE$23+O178*$AE$24+P178*$AE$25+Q178*$AE$26+R178*$AE$27+S178*$AE$28+T178*$AE$29+U178*$AE$30</f>
        <v/>
      </c>
      <c r="W178" s="8">
        <f>1/(1+EXP(-V178))</f>
        <v/>
      </c>
      <c r="X178" s="9">
        <f>-IF(C178=1,LN(W178),LN(1-W178))</f>
        <v/>
      </c>
      <c r="Y178" s="8">
        <f>1</f>
        <v/>
      </c>
      <c r="Z178" s="9">
        <f>Y178*X178</f>
        <v/>
      </c>
      <c r="AA178" s="10">
        <f>IF(W178&gt;$AE$32,1,0)</f>
        <v/>
      </c>
      <c r="AB178">
        <f>IF(AA178=C178,1,0)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$AE$12+D179*$AE$13+E179*$AE$14+F179*$AE$15+G179*$AE$16+H179*$AE$17+I179*$AE$18+J179*$AE$19+K179*$AE$20+L179*$AE$21+M179*$AE$22+N179*$AE$23+O179*$AE$24+P179*$AE$25+Q179*$AE$26+R179*$AE$27+S179*$AE$28+T179*$AE$29+U179*$AE$30</f>
        <v/>
      </c>
      <c r="W179" s="8">
        <f>1/(1+EXP(-V179))</f>
        <v/>
      </c>
      <c r="X179" s="9">
        <f>-IF(C179=1,LN(W179),LN(1-W179))</f>
        <v/>
      </c>
      <c r="Y179" s="8">
        <f>1</f>
        <v/>
      </c>
      <c r="Z179" s="9">
        <f>Y179*X179</f>
        <v/>
      </c>
      <c r="AA179" s="10">
        <f>IF(W179&gt;$AE$32,1,0)</f>
        <v/>
      </c>
      <c r="AB179">
        <f>IF(AA179=C179,1,0)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$AE$12+D180*$AE$13+E180*$AE$14+F180*$AE$15+G180*$AE$16+H180*$AE$17+I180*$AE$18+J180*$AE$19+K180*$AE$20+L180*$AE$21+M180*$AE$22+N180*$AE$23+O180*$AE$24+P180*$AE$25+Q180*$AE$26+R180*$AE$27+S180*$AE$28+T180*$AE$29+U180*$AE$30</f>
        <v/>
      </c>
      <c r="W180" s="8">
        <f>1/(1+EXP(-V180))</f>
        <v/>
      </c>
      <c r="X180" s="9">
        <f>-IF(C180=1,LN(W180),LN(1-W180))</f>
        <v/>
      </c>
      <c r="Y180" s="8">
        <f>1</f>
        <v/>
      </c>
      <c r="Z180" s="9">
        <f>Y180*X180</f>
        <v/>
      </c>
      <c r="AA180" s="10">
        <f>IF(W180&gt;$AE$32,1,0)</f>
        <v/>
      </c>
      <c r="AB180">
        <f>IF(AA180=C180,1,0)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$AE$12+D181*$AE$13+E181*$AE$14+F181*$AE$15+G181*$AE$16+H181*$AE$17+I181*$AE$18+J181*$AE$19+K181*$AE$20+L181*$AE$21+M181*$AE$22+N181*$AE$23+O181*$AE$24+P181*$AE$25+Q181*$AE$26+R181*$AE$27+S181*$AE$28+T181*$AE$29+U181*$AE$30</f>
        <v/>
      </c>
      <c r="W181" s="8">
        <f>1/(1+EXP(-V181))</f>
        <v/>
      </c>
      <c r="X181" s="9">
        <f>-IF(C181=1,LN(W181),LN(1-W181))</f>
        <v/>
      </c>
      <c r="Y181" s="8">
        <f>1</f>
        <v/>
      </c>
      <c r="Z181" s="9">
        <f>Y181*X181</f>
        <v/>
      </c>
      <c r="AA181" s="10">
        <f>IF(W181&gt;$AE$32,1,0)</f>
        <v/>
      </c>
      <c r="AB181">
        <f>IF(AA181=C181,1,0)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$AE$12+D182*$AE$13+E182*$AE$14+F182*$AE$15+G182*$AE$16+H182*$AE$17+I182*$AE$18+J182*$AE$19+K182*$AE$20+L182*$AE$21+M182*$AE$22+N182*$AE$23+O182*$AE$24+P182*$AE$25+Q182*$AE$26+R182*$AE$27+S182*$AE$28+T182*$AE$29+U182*$AE$30</f>
        <v/>
      </c>
      <c r="W182" s="8">
        <f>1/(1+EXP(-V182))</f>
        <v/>
      </c>
      <c r="X182" s="9">
        <f>-IF(C182=1,LN(W182),LN(1-W182))</f>
        <v/>
      </c>
      <c r="Y182" s="8">
        <f>1</f>
        <v/>
      </c>
      <c r="Z182" s="9">
        <f>Y182*X182</f>
        <v/>
      </c>
      <c r="AA182" s="10">
        <f>IF(W182&gt;$AE$32,1,0)</f>
        <v/>
      </c>
      <c r="AB182">
        <f>IF(AA182=C182,1,0)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$AE$12+D183*$AE$13+E183*$AE$14+F183*$AE$15+G183*$AE$16+H183*$AE$17+I183*$AE$18+J183*$AE$19+K183*$AE$20+L183*$AE$21+M183*$AE$22+N183*$AE$23+O183*$AE$24+P183*$AE$25+Q183*$AE$26+R183*$AE$27+S183*$AE$28+T183*$AE$29+U183*$AE$30</f>
        <v/>
      </c>
      <c r="W183" s="8">
        <f>1/(1+EXP(-V183))</f>
        <v/>
      </c>
      <c r="X183" s="9">
        <f>-IF(C183=1,LN(W183),LN(1-W183))</f>
        <v/>
      </c>
      <c r="Y183" s="8">
        <f>1</f>
        <v/>
      </c>
      <c r="Z183" s="9">
        <f>Y183*X183</f>
        <v/>
      </c>
      <c r="AA183" s="10">
        <f>IF(W183&gt;$AE$32,1,0)</f>
        <v/>
      </c>
      <c r="AB183">
        <f>IF(AA183=C183,1,0)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$AE$12+D184*$AE$13+E184*$AE$14+F184*$AE$15+G184*$AE$16+H184*$AE$17+I184*$AE$18+J184*$AE$19+K184*$AE$20+L184*$AE$21+M184*$AE$22+N184*$AE$23+O184*$AE$24+P184*$AE$25+Q184*$AE$26+R184*$AE$27+S184*$AE$28+T184*$AE$29+U184*$AE$30</f>
        <v/>
      </c>
      <c r="W184" s="8">
        <f>1/(1+EXP(-V184))</f>
        <v/>
      </c>
      <c r="X184" s="9">
        <f>-IF(C184=1,LN(W184),LN(1-W184))</f>
        <v/>
      </c>
      <c r="Y184" s="8">
        <f>1</f>
        <v/>
      </c>
      <c r="Z184" s="9">
        <f>Y184*X184</f>
        <v/>
      </c>
      <c r="AA184" s="10">
        <f>IF(W184&gt;$AE$32,1,0)</f>
        <v/>
      </c>
      <c r="AB184">
        <f>IF(AA184=C184,1,0)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$AE$12+D185*$AE$13+E185*$AE$14+F185*$AE$15+G185*$AE$16+H185*$AE$17+I185*$AE$18+J185*$AE$19+K185*$AE$20+L185*$AE$21+M185*$AE$22+N185*$AE$23+O185*$AE$24+P185*$AE$25+Q185*$AE$26+R185*$AE$27+S185*$AE$28+T185*$AE$29+U185*$AE$30</f>
        <v/>
      </c>
      <c r="W185" s="8">
        <f>1/(1+EXP(-V185))</f>
        <v/>
      </c>
      <c r="X185" s="9">
        <f>-IF(C185=1,LN(W185),LN(1-W185))</f>
        <v/>
      </c>
      <c r="Y185" s="8">
        <f>1</f>
        <v/>
      </c>
      <c r="Z185" s="9">
        <f>Y185*X185</f>
        <v/>
      </c>
      <c r="AA185" s="10">
        <f>IF(W185&gt;$AE$32,1,0)</f>
        <v/>
      </c>
      <c r="AB185">
        <f>IF(AA185=C185,1,0)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$AE$12+D186*$AE$13+E186*$AE$14+F186*$AE$15+G186*$AE$16+H186*$AE$17+I186*$AE$18+J186*$AE$19+K186*$AE$20+L186*$AE$21+M186*$AE$22+N186*$AE$23+O186*$AE$24+P186*$AE$25+Q186*$AE$26+R186*$AE$27+S186*$AE$28+T186*$AE$29+U186*$AE$30</f>
        <v/>
      </c>
      <c r="W186" s="8">
        <f>1/(1+EXP(-V186))</f>
        <v/>
      </c>
      <c r="X186" s="9">
        <f>-IF(C186=1,LN(W186),LN(1-W186))</f>
        <v/>
      </c>
      <c r="Y186" s="8">
        <f>1</f>
        <v/>
      </c>
      <c r="Z186" s="9">
        <f>Y186*X186</f>
        <v/>
      </c>
      <c r="AA186" s="10">
        <f>IF(W186&gt;$AE$32,1,0)</f>
        <v/>
      </c>
      <c r="AB186">
        <f>IF(AA186=C186,1,0)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$AE$12+D187*$AE$13+E187*$AE$14+F187*$AE$15+G187*$AE$16+H187*$AE$17+I187*$AE$18+J187*$AE$19+K187*$AE$20+L187*$AE$21+M187*$AE$22+N187*$AE$23+O187*$AE$24+P187*$AE$25+Q187*$AE$26+R187*$AE$27+S187*$AE$28+T187*$AE$29+U187*$AE$30</f>
        <v/>
      </c>
      <c r="W187" s="8">
        <f>1/(1+EXP(-V187))</f>
        <v/>
      </c>
      <c r="X187" s="9">
        <f>-IF(C187=1,LN(W187),LN(1-W187))</f>
        <v/>
      </c>
      <c r="Y187" s="8">
        <f>1</f>
        <v/>
      </c>
      <c r="Z187" s="9">
        <f>Y187*X187</f>
        <v/>
      </c>
      <c r="AA187" s="10">
        <f>IF(W187&gt;$AE$32,1,0)</f>
        <v/>
      </c>
      <c r="AB187">
        <f>IF(AA187=C187,1,0)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$AE$12+D188*$AE$13+E188*$AE$14+F188*$AE$15+G188*$AE$16+H188*$AE$17+I188*$AE$18+J188*$AE$19+K188*$AE$20+L188*$AE$21+M188*$AE$22+N188*$AE$23+O188*$AE$24+P188*$AE$25+Q188*$AE$26+R188*$AE$27+S188*$AE$28+T188*$AE$29+U188*$AE$30</f>
        <v/>
      </c>
      <c r="W188" s="8">
        <f>1/(1+EXP(-V188))</f>
        <v/>
      </c>
      <c r="X188" s="9">
        <f>-IF(C188=1,LN(W188),LN(1-W188))</f>
        <v/>
      </c>
      <c r="Y188" s="8">
        <f>1</f>
        <v/>
      </c>
      <c r="Z188" s="9">
        <f>Y188*X188</f>
        <v/>
      </c>
      <c r="AA188" s="10">
        <f>IF(W188&gt;$AE$32,1,0)</f>
        <v/>
      </c>
      <c r="AB188">
        <f>IF(AA188=C188,1,0)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$AE$12+D189*$AE$13+E189*$AE$14+F189*$AE$15+G189*$AE$16+H189*$AE$17+I189*$AE$18+J189*$AE$19+K189*$AE$20+L189*$AE$21+M189*$AE$22+N189*$AE$23+O189*$AE$24+P189*$AE$25+Q189*$AE$26+R189*$AE$27+S189*$AE$28+T189*$AE$29+U189*$AE$30</f>
        <v/>
      </c>
      <c r="W189" s="8">
        <f>1/(1+EXP(-V189))</f>
        <v/>
      </c>
      <c r="X189" s="9">
        <f>-IF(C189=1,LN(W189),LN(1-W189))</f>
        <v/>
      </c>
      <c r="Y189" s="8">
        <f>1</f>
        <v/>
      </c>
      <c r="Z189" s="9">
        <f>Y189*X189</f>
        <v/>
      </c>
      <c r="AA189" s="10">
        <f>IF(W189&gt;$AE$32,1,0)</f>
        <v/>
      </c>
      <c r="AB189">
        <f>IF(AA189=C189,1,0)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$AE$12+D190*$AE$13+E190*$AE$14+F190*$AE$15+G190*$AE$16+H190*$AE$17+I190*$AE$18+J190*$AE$19+K190*$AE$20+L190*$AE$21+M190*$AE$22+N190*$AE$23+O190*$AE$24+P190*$AE$25+Q190*$AE$26+R190*$AE$27+S190*$AE$28+T190*$AE$29+U190*$AE$30</f>
        <v/>
      </c>
      <c r="W190" s="8">
        <f>1/(1+EXP(-V190))</f>
        <v/>
      </c>
      <c r="X190" s="9">
        <f>-IF(C190=1,LN(W190),LN(1-W190))</f>
        <v/>
      </c>
      <c r="Y190" s="8">
        <f>1</f>
        <v/>
      </c>
      <c r="Z190" s="9">
        <f>Y190*X190</f>
        <v/>
      </c>
      <c r="AA190" s="10">
        <f>IF(W190&gt;$AE$32,1,0)</f>
        <v/>
      </c>
      <c r="AB190">
        <f>IF(AA190=C190,1,0)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$AE$12+D191*$AE$13+E191*$AE$14+F191*$AE$15+G191*$AE$16+H191*$AE$17+I191*$AE$18+J191*$AE$19+K191*$AE$20+L191*$AE$21+M191*$AE$22+N191*$AE$23+O191*$AE$24+P191*$AE$25+Q191*$AE$26+R191*$AE$27+S191*$AE$28+T191*$AE$29+U191*$AE$30</f>
        <v/>
      </c>
      <c r="W191" s="8">
        <f>1/(1+EXP(-V191))</f>
        <v/>
      </c>
      <c r="X191" s="9">
        <f>-IF(C191=1,LN(W191),LN(1-W191))</f>
        <v/>
      </c>
      <c r="Y191" s="8">
        <f>1</f>
        <v/>
      </c>
      <c r="Z191" s="9">
        <f>Y191*X191</f>
        <v/>
      </c>
      <c r="AA191" s="10">
        <f>IF(W191&gt;$AE$32,1,0)</f>
        <v/>
      </c>
      <c r="AB191">
        <f>IF(AA191=C191,1,0)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$AE$12+D192*$AE$13+E192*$AE$14+F192*$AE$15+G192*$AE$16+H192*$AE$17+I192*$AE$18+J192*$AE$19+K192*$AE$20+L192*$AE$21+M192*$AE$22+N192*$AE$23+O192*$AE$24+P192*$AE$25+Q192*$AE$26+R192*$AE$27+S192*$AE$28+T192*$AE$29+U192*$AE$30</f>
        <v/>
      </c>
      <c r="W192" s="8">
        <f>1/(1+EXP(-V192))</f>
        <v/>
      </c>
      <c r="X192" s="9">
        <f>-IF(C192=1,LN(W192),LN(1-W192))</f>
        <v/>
      </c>
      <c r="Y192" s="8">
        <f>1</f>
        <v/>
      </c>
      <c r="Z192" s="9">
        <f>Y192*X192</f>
        <v/>
      </c>
      <c r="AA192" s="10">
        <f>IF(W192&gt;$AE$32,1,0)</f>
        <v/>
      </c>
      <c r="AB192">
        <f>IF(AA192=C192,1,0)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$AE$12+D193*$AE$13+E193*$AE$14+F193*$AE$15+G193*$AE$16+H193*$AE$17+I193*$AE$18+J193*$AE$19+K193*$AE$20+L193*$AE$21+M193*$AE$22+N193*$AE$23+O193*$AE$24+P193*$AE$25+Q193*$AE$26+R193*$AE$27+S193*$AE$28+T193*$AE$29+U193*$AE$30</f>
        <v/>
      </c>
      <c r="W193" s="8">
        <f>1/(1+EXP(-V193))</f>
        <v/>
      </c>
      <c r="X193" s="9">
        <f>-IF(C193=1,LN(W193),LN(1-W193))</f>
        <v/>
      </c>
      <c r="Y193" s="8">
        <f>1</f>
        <v/>
      </c>
      <c r="Z193" s="9">
        <f>Y193*X193</f>
        <v/>
      </c>
      <c r="AA193" s="10">
        <f>IF(W193&gt;$AE$32,1,0)</f>
        <v/>
      </c>
      <c r="AB193">
        <f>IF(AA193=C193,1,0)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$AE$12+D194*$AE$13+E194*$AE$14+F194*$AE$15+G194*$AE$16+H194*$AE$17+I194*$AE$18+J194*$AE$19+K194*$AE$20+L194*$AE$21+M194*$AE$22+N194*$AE$23+O194*$AE$24+P194*$AE$25+Q194*$AE$26+R194*$AE$27+S194*$AE$28+T194*$AE$29+U194*$AE$30</f>
        <v/>
      </c>
      <c r="W194" s="8">
        <f>1/(1+EXP(-V194))</f>
        <v/>
      </c>
      <c r="X194" s="9">
        <f>-IF(C194=1,LN(W194),LN(1-W194))</f>
        <v/>
      </c>
      <c r="Y194" s="8">
        <f>1</f>
        <v/>
      </c>
      <c r="Z194" s="9">
        <f>Y194*X194</f>
        <v/>
      </c>
      <c r="AA194" s="10">
        <f>IF(W194&gt;$AE$32,1,0)</f>
        <v/>
      </c>
      <c r="AB194">
        <f>IF(AA194=C194,1,0)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$AE$12+D195*$AE$13+E195*$AE$14+F195*$AE$15+G195*$AE$16+H195*$AE$17+I195*$AE$18+J195*$AE$19+K195*$AE$20+L195*$AE$21+M195*$AE$22+N195*$AE$23+O195*$AE$24+P195*$AE$25+Q195*$AE$26+R195*$AE$27+S195*$AE$28+T195*$AE$29+U195*$AE$30</f>
        <v/>
      </c>
      <c r="W195" s="8">
        <f>1/(1+EXP(-V195))</f>
        <v/>
      </c>
      <c r="X195" s="9">
        <f>-IF(C195=1,LN(W195),LN(1-W195))</f>
        <v/>
      </c>
      <c r="Y195" s="8">
        <f>1</f>
        <v/>
      </c>
      <c r="Z195" s="9">
        <f>Y195*X195</f>
        <v/>
      </c>
      <c r="AA195" s="10">
        <f>IF(W195&gt;$AE$32,1,0)</f>
        <v/>
      </c>
      <c r="AB195">
        <f>IF(AA195=C195,1,0)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$AE$12+D196*$AE$13+E196*$AE$14+F196*$AE$15+G196*$AE$16+H196*$AE$17+I196*$AE$18+J196*$AE$19+K196*$AE$20+L196*$AE$21+M196*$AE$22+N196*$AE$23+O196*$AE$24+P196*$AE$25+Q196*$AE$26+R196*$AE$27+S196*$AE$28+T196*$AE$29+U196*$AE$30</f>
        <v/>
      </c>
      <c r="W196" s="8">
        <f>1/(1+EXP(-V196))</f>
        <v/>
      </c>
      <c r="X196" s="9">
        <f>-IF(C196=1,LN(W196),LN(1-W196))</f>
        <v/>
      </c>
      <c r="Y196" s="8">
        <f>1</f>
        <v/>
      </c>
      <c r="Z196" s="9">
        <f>Y196*X196</f>
        <v/>
      </c>
      <c r="AA196" s="10">
        <f>IF(W196&gt;$AE$32,1,0)</f>
        <v/>
      </c>
      <c r="AB196">
        <f>IF(AA196=C196,1,0)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$AE$12+D197*$AE$13+E197*$AE$14+F197*$AE$15+G197*$AE$16+H197*$AE$17+I197*$AE$18+J197*$AE$19+K197*$AE$20+L197*$AE$21+M197*$AE$22+N197*$AE$23+O197*$AE$24+P197*$AE$25+Q197*$AE$26+R197*$AE$27+S197*$AE$28+T197*$AE$29+U197*$AE$30</f>
        <v/>
      </c>
      <c r="W197" s="8">
        <f>1/(1+EXP(-V197))</f>
        <v/>
      </c>
      <c r="X197" s="9">
        <f>-IF(C197=1,LN(W197),LN(1-W197))</f>
        <v/>
      </c>
      <c r="Y197" s="8">
        <f>1</f>
        <v/>
      </c>
      <c r="Z197" s="9">
        <f>Y197*X197</f>
        <v/>
      </c>
      <c r="AA197" s="10">
        <f>IF(W197&gt;$AE$32,1,0)</f>
        <v/>
      </c>
      <c r="AB197">
        <f>IF(AA197=C197,1,0)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$AE$12+D198*$AE$13+E198*$AE$14+F198*$AE$15+G198*$AE$16+H198*$AE$17+I198*$AE$18+J198*$AE$19+K198*$AE$20+L198*$AE$21+M198*$AE$22+N198*$AE$23+O198*$AE$24+P198*$AE$25+Q198*$AE$26+R198*$AE$27+S198*$AE$28+T198*$AE$29+U198*$AE$30</f>
        <v/>
      </c>
      <c r="W198" s="8">
        <f>1/(1+EXP(-V198))</f>
        <v/>
      </c>
      <c r="X198" s="9">
        <f>-IF(C198=1,LN(W198),LN(1-W198))</f>
        <v/>
      </c>
      <c r="Y198" s="8">
        <f>1</f>
        <v/>
      </c>
      <c r="Z198" s="9">
        <f>Y198*X198</f>
        <v/>
      </c>
      <c r="AA198" s="10">
        <f>IF(W198&gt;$AE$32,1,0)</f>
        <v/>
      </c>
      <c r="AB198">
        <f>IF(AA198=C198,1,0)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$AE$12+D199*$AE$13+E199*$AE$14+F199*$AE$15+G199*$AE$16+H199*$AE$17+I199*$AE$18+J199*$AE$19+K199*$AE$20+L199*$AE$21+M199*$AE$22+N199*$AE$23+O199*$AE$24+P199*$AE$25+Q199*$AE$26+R199*$AE$27+S199*$AE$28+T199*$AE$29+U199*$AE$30</f>
        <v/>
      </c>
      <c r="W199" s="8">
        <f>1/(1+EXP(-V199))</f>
        <v/>
      </c>
      <c r="X199" s="9">
        <f>-IF(C199=1,LN(W199),LN(1-W199))</f>
        <v/>
      </c>
      <c r="Y199" s="8">
        <f>1</f>
        <v/>
      </c>
      <c r="Z199" s="9">
        <f>Y199*X199</f>
        <v/>
      </c>
      <c r="AA199" s="10">
        <f>IF(W199&gt;$AE$32,1,0)</f>
        <v/>
      </c>
      <c r="AB199">
        <f>IF(AA199=C199,1,0)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$AE$12+D200*$AE$13+E200*$AE$14+F200*$AE$15+G200*$AE$16+H200*$AE$17+I200*$AE$18+J200*$AE$19+K200*$AE$20+L200*$AE$21+M200*$AE$22+N200*$AE$23+O200*$AE$24+P200*$AE$25+Q200*$AE$26+R200*$AE$27+S200*$AE$28+T200*$AE$29+U200*$AE$30</f>
        <v/>
      </c>
      <c r="W200" s="8">
        <f>1/(1+EXP(-V200))</f>
        <v/>
      </c>
      <c r="X200" s="9">
        <f>-IF(C200=1,LN(W200),LN(1-W200))</f>
        <v/>
      </c>
      <c r="Y200" s="8">
        <f>1</f>
        <v/>
      </c>
      <c r="Z200" s="9">
        <f>Y200*X200</f>
        <v/>
      </c>
      <c r="AA200" s="10">
        <f>IF(W200&gt;$AE$32,1,0)</f>
        <v/>
      </c>
      <c r="AB200">
        <f>IF(AA200=C200,1,0)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$AE$12+D201*$AE$13+E201*$AE$14+F201*$AE$15+G201*$AE$16+H201*$AE$17+I201*$AE$18+J201*$AE$19+K201*$AE$20+L201*$AE$21+M201*$AE$22+N201*$AE$23+O201*$AE$24+P201*$AE$25+Q201*$AE$26+R201*$AE$27+S201*$AE$28+T201*$AE$29+U201*$AE$30</f>
        <v/>
      </c>
      <c r="W201" s="8">
        <f>1/(1+EXP(-V201))</f>
        <v/>
      </c>
      <c r="X201" s="9">
        <f>-IF(C201=1,LN(W201),LN(1-W201))</f>
        <v/>
      </c>
      <c r="Y201" s="8">
        <f>1</f>
        <v/>
      </c>
      <c r="Z201" s="9">
        <f>Y201*X201</f>
        <v/>
      </c>
      <c r="AA201" s="10">
        <f>IF(W201&gt;$AE$32,1,0)</f>
        <v/>
      </c>
      <c r="AB201">
        <f>IF(AA201=C201,1,0)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$AE$12+D202*$AE$13+E202*$AE$14+F202*$AE$15+G202*$AE$16+H202*$AE$17+I202*$AE$18+J202*$AE$19+K202*$AE$20+L202*$AE$21+M202*$AE$22+N202*$AE$23+O202*$AE$24+P202*$AE$25+Q202*$AE$26+R202*$AE$27+S202*$AE$28+T202*$AE$29+U202*$AE$30</f>
        <v/>
      </c>
      <c r="W202" s="8">
        <f>1/(1+EXP(-V202))</f>
        <v/>
      </c>
      <c r="X202" s="9">
        <f>-IF(C202=1,LN(W202),LN(1-W202))</f>
        <v/>
      </c>
      <c r="Y202" s="8">
        <f>1</f>
        <v/>
      </c>
      <c r="Z202" s="9">
        <f>Y202*X202</f>
        <v/>
      </c>
      <c r="AA202" s="10">
        <f>IF(W202&gt;$AE$32,1,0)</f>
        <v/>
      </c>
      <c r="AB202">
        <f>IF(AA202=C202,1,0)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$AE$12+D203*$AE$13+E203*$AE$14+F203*$AE$15+G203*$AE$16+H203*$AE$17+I203*$AE$18+J203*$AE$19+K203*$AE$20+L203*$AE$21+M203*$AE$22+N203*$AE$23+O203*$AE$24+P203*$AE$25+Q203*$AE$26+R203*$AE$27+S203*$AE$28+T203*$AE$29+U203*$AE$30</f>
        <v/>
      </c>
      <c r="W203" s="8">
        <f>1/(1+EXP(-V203))</f>
        <v/>
      </c>
      <c r="X203" s="9">
        <f>-IF(C203=1,LN(W203),LN(1-W203))</f>
        <v/>
      </c>
      <c r="Y203" s="8">
        <f>1</f>
        <v/>
      </c>
      <c r="Z203" s="9">
        <f>Y203*X203</f>
        <v/>
      </c>
      <c r="AA203" s="10">
        <f>IF(W203&gt;$AE$32,1,0)</f>
        <v/>
      </c>
      <c r="AB203">
        <f>IF(AA203=C203,1,0)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$AE$12+D204*$AE$13+E204*$AE$14+F204*$AE$15+G204*$AE$16+H204*$AE$17+I204*$AE$18+J204*$AE$19+K204*$AE$20+L204*$AE$21+M204*$AE$22+N204*$AE$23+O204*$AE$24+P204*$AE$25+Q204*$AE$26+R204*$AE$27+S204*$AE$28+T204*$AE$29+U204*$AE$30</f>
        <v/>
      </c>
      <c r="W204" s="8">
        <f>1/(1+EXP(-V204))</f>
        <v/>
      </c>
      <c r="X204" s="9">
        <f>-IF(C204=1,LN(W204),LN(1-W204))</f>
        <v/>
      </c>
      <c r="Y204" s="8">
        <f>1</f>
        <v/>
      </c>
      <c r="Z204" s="9">
        <f>Y204*X204</f>
        <v/>
      </c>
      <c r="AA204" s="10">
        <f>IF(W204&gt;$AE$32,1,0)</f>
        <v/>
      </c>
      <c r="AB204">
        <f>IF(AA204=C204,1,0)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$AE$12+D205*$AE$13+E205*$AE$14+F205*$AE$15+G205*$AE$16+H205*$AE$17+I205*$AE$18+J205*$AE$19+K205*$AE$20+L205*$AE$21+M205*$AE$22+N205*$AE$23+O205*$AE$24+P205*$AE$25+Q205*$AE$26+R205*$AE$27+S205*$AE$28+T205*$AE$29+U205*$AE$30</f>
        <v/>
      </c>
      <c r="W205" s="8">
        <f>1/(1+EXP(-V205))</f>
        <v/>
      </c>
      <c r="X205" s="9">
        <f>-IF(C205=1,LN(W205),LN(1-W205))</f>
        <v/>
      </c>
      <c r="Y205" s="8">
        <f>1</f>
        <v/>
      </c>
      <c r="Z205" s="9">
        <f>Y205*X205</f>
        <v/>
      </c>
      <c r="AA205" s="10">
        <f>IF(W205&gt;$AE$32,1,0)</f>
        <v/>
      </c>
      <c r="AB205">
        <f>IF(AA205=C205,1,0)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$AE$12+D206*$AE$13+E206*$AE$14+F206*$AE$15+G206*$AE$16+H206*$AE$17+I206*$AE$18+J206*$AE$19+K206*$AE$20+L206*$AE$21+M206*$AE$22+N206*$AE$23+O206*$AE$24+P206*$AE$25+Q206*$AE$26+R206*$AE$27+S206*$AE$28+T206*$AE$29+U206*$AE$30</f>
        <v/>
      </c>
      <c r="W206" s="8">
        <f>1/(1+EXP(-V206))</f>
        <v/>
      </c>
      <c r="X206" s="9">
        <f>-IF(C206=1,LN(W206),LN(1-W206))</f>
        <v/>
      </c>
      <c r="Y206" s="8">
        <f>1</f>
        <v/>
      </c>
      <c r="Z206" s="9">
        <f>Y206*X206</f>
        <v/>
      </c>
      <c r="AA206" s="10">
        <f>IF(W206&gt;$AE$32,1,0)</f>
        <v/>
      </c>
      <c r="AB206">
        <f>IF(AA206=C206,1,0)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$AE$12+D207*$AE$13+E207*$AE$14+F207*$AE$15+G207*$AE$16+H207*$AE$17+I207*$AE$18+J207*$AE$19+K207*$AE$20+L207*$AE$21+M207*$AE$22+N207*$AE$23+O207*$AE$24+P207*$AE$25+Q207*$AE$26+R207*$AE$27+S207*$AE$28+T207*$AE$29+U207*$AE$30</f>
        <v/>
      </c>
      <c r="W207" s="8">
        <f>1/(1+EXP(-V207))</f>
        <v/>
      </c>
      <c r="X207" s="9">
        <f>-IF(C207=1,LN(W207),LN(1-W207))</f>
        <v/>
      </c>
      <c r="Y207" s="8">
        <f>1</f>
        <v/>
      </c>
      <c r="Z207" s="9">
        <f>Y207*X207</f>
        <v/>
      </c>
      <c r="AA207" s="10">
        <f>IF(W207&gt;$AE$32,1,0)</f>
        <v/>
      </c>
      <c r="AB207">
        <f>IF(AA207=C207,1,0)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$AE$12+D208*$AE$13+E208*$AE$14+F208*$AE$15+G208*$AE$16+H208*$AE$17+I208*$AE$18+J208*$AE$19+K208*$AE$20+L208*$AE$21+M208*$AE$22+N208*$AE$23+O208*$AE$24+P208*$AE$25+Q208*$AE$26+R208*$AE$27+S208*$AE$28+T208*$AE$29+U208*$AE$30</f>
        <v/>
      </c>
      <c r="W208" s="8">
        <f>1/(1+EXP(-V208))</f>
        <v/>
      </c>
      <c r="X208" s="9">
        <f>-IF(C208=1,LN(W208),LN(1-W208))</f>
        <v/>
      </c>
      <c r="Y208" s="8">
        <f>1</f>
        <v/>
      </c>
      <c r="Z208" s="9">
        <f>Y208*X208</f>
        <v/>
      </c>
      <c r="AA208" s="10">
        <f>IF(W208&gt;$AE$32,1,0)</f>
        <v/>
      </c>
      <c r="AB208">
        <f>IF(AA208=C208,1,0)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$AE$12+D209*$AE$13+E209*$AE$14+F209*$AE$15+G209*$AE$16+H209*$AE$17+I209*$AE$18+J209*$AE$19+K209*$AE$20+L209*$AE$21+M209*$AE$22+N209*$AE$23+O209*$AE$24+P209*$AE$25+Q209*$AE$26+R209*$AE$27+S209*$AE$28+T209*$AE$29+U209*$AE$30</f>
        <v/>
      </c>
      <c r="W209" s="8">
        <f>1/(1+EXP(-V209))</f>
        <v/>
      </c>
      <c r="X209" s="9">
        <f>-IF(C209=1,LN(W209),LN(1-W209))</f>
        <v/>
      </c>
      <c r="Y209" s="8">
        <f>1</f>
        <v/>
      </c>
      <c r="Z209" s="9">
        <f>Y209*X209</f>
        <v/>
      </c>
      <c r="AA209" s="10">
        <f>IF(W209&gt;$AE$32,1,0)</f>
        <v/>
      </c>
      <c r="AB209">
        <f>IF(AA209=C209,1,0)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$AE$12+D210*$AE$13+E210*$AE$14+F210*$AE$15+G210*$AE$16+H210*$AE$17+I210*$AE$18+J210*$AE$19+K210*$AE$20+L210*$AE$21+M210*$AE$22+N210*$AE$23+O210*$AE$24+P210*$AE$25+Q210*$AE$26+R210*$AE$27+S210*$AE$28+T210*$AE$29+U210*$AE$30</f>
        <v/>
      </c>
      <c r="W210" s="8">
        <f>1/(1+EXP(-V210))</f>
        <v/>
      </c>
      <c r="X210" s="9">
        <f>-IF(C210=1,LN(W210),LN(1-W210))</f>
        <v/>
      </c>
      <c r="Y210" s="8">
        <f>1</f>
        <v/>
      </c>
      <c r="Z210" s="9">
        <f>Y210*X210</f>
        <v/>
      </c>
      <c r="AA210" s="10">
        <f>IF(W210&gt;$AE$32,1,0)</f>
        <v/>
      </c>
      <c r="AB210">
        <f>IF(AA210=C210,1,0)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$AE$12+D211*$AE$13+E211*$AE$14+F211*$AE$15+G211*$AE$16+H211*$AE$17+I211*$AE$18+J211*$AE$19+K211*$AE$20+L211*$AE$21+M211*$AE$22+N211*$AE$23+O211*$AE$24+P211*$AE$25+Q211*$AE$26+R211*$AE$27+S211*$AE$28+T211*$AE$29+U211*$AE$30</f>
        <v/>
      </c>
      <c r="W211" s="8">
        <f>1/(1+EXP(-V211))</f>
        <v/>
      </c>
      <c r="X211" s="9">
        <f>-IF(C211=1,LN(W211),LN(1-W211))</f>
        <v/>
      </c>
      <c r="Y211" s="8">
        <f>1</f>
        <v/>
      </c>
      <c r="Z211" s="9">
        <f>Y211*X211</f>
        <v/>
      </c>
      <c r="AA211" s="10">
        <f>IF(W211&gt;$AE$32,1,0)</f>
        <v/>
      </c>
      <c r="AB211">
        <f>IF(AA211=C211,1,0)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$AE$12+D212*$AE$13+E212*$AE$14+F212*$AE$15+G212*$AE$16+H212*$AE$17+I212*$AE$18+J212*$AE$19+K212*$AE$20+L212*$AE$21+M212*$AE$22+N212*$AE$23+O212*$AE$24+P212*$AE$25+Q212*$AE$26+R212*$AE$27+S212*$AE$28+T212*$AE$29+U212*$AE$30</f>
        <v/>
      </c>
      <c r="W212" s="8">
        <f>1/(1+EXP(-V212))</f>
        <v/>
      </c>
      <c r="X212" s="9">
        <f>-IF(C212=1,LN(W212),LN(1-W212))</f>
        <v/>
      </c>
      <c r="Y212" s="8">
        <f>1</f>
        <v/>
      </c>
      <c r="Z212" s="9">
        <f>Y212*X212</f>
        <v/>
      </c>
      <c r="AA212" s="10">
        <f>IF(W212&gt;$AE$32,1,0)</f>
        <v/>
      </c>
      <c r="AB212">
        <f>IF(AA212=C212,1,0)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$AE$12+D213*$AE$13+E213*$AE$14+F213*$AE$15+G213*$AE$16+H213*$AE$17+I213*$AE$18+J213*$AE$19+K213*$AE$20+L213*$AE$21+M213*$AE$22+N213*$AE$23+O213*$AE$24+P213*$AE$25+Q213*$AE$26+R213*$AE$27+S213*$AE$28+T213*$AE$29+U213*$AE$30</f>
        <v/>
      </c>
      <c r="W213" s="8">
        <f>1/(1+EXP(-V213))</f>
        <v/>
      </c>
      <c r="X213" s="9">
        <f>-IF(C213=1,LN(W213),LN(1-W213))</f>
        <v/>
      </c>
      <c r="Y213" s="8">
        <f>1</f>
        <v/>
      </c>
      <c r="Z213" s="9">
        <f>Y213*X213</f>
        <v/>
      </c>
      <c r="AA213" s="10">
        <f>IF(W213&gt;$AE$32,1,0)</f>
        <v/>
      </c>
      <c r="AB213">
        <f>IF(AA213=C213,1,0)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$AE$12+D214*$AE$13+E214*$AE$14+F214*$AE$15+G214*$AE$16+H214*$AE$17+I214*$AE$18+J214*$AE$19+K214*$AE$20+L214*$AE$21+M214*$AE$22+N214*$AE$23+O214*$AE$24+P214*$AE$25+Q214*$AE$26+R214*$AE$27+S214*$AE$28+T214*$AE$29+U214*$AE$30</f>
        <v/>
      </c>
      <c r="W214" s="8">
        <f>1/(1+EXP(-V214))</f>
        <v/>
      </c>
      <c r="X214" s="9">
        <f>-IF(C214=1,LN(W214),LN(1-W214))</f>
        <v/>
      </c>
      <c r="Y214" s="8">
        <f>1</f>
        <v/>
      </c>
      <c r="Z214" s="9">
        <f>Y214*X214</f>
        <v/>
      </c>
      <c r="AA214" s="10">
        <f>IF(W214&gt;$AE$32,1,0)</f>
        <v/>
      </c>
      <c r="AB214">
        <f>IF(AA214=C214,1,0)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$AE$12+D215*$AE$13+E215*$AE$14+F215*$AE$15+G215*$AE$16+H215*$AE$17+I215*$AE$18+J215*$AE$19+K215*$AE$20+L215*$AE$21+M215*$AE$22+N215*$AE$23+O215*$AE$24+P215*$AE$25+Q215*$AE$26+R215*$AE$27+S215*$AE$28+T215*$AE$29+U215*$AE$30</f>
        <v/>
      </c>
      <c r="W215" s="8">
        <f>1/(1+EXP(-V215))</f>
        <v/>
      </c>
      <c r="X215" s="9">
        <f>-IF(C215=1,LN(W215),LN(1-W215))</f>
        <v/>
      </c>
      <c r="Y215" s="8">
        <f>1</f>
        <v/>
      </c>
      <c r="Z215" s="9">
        <f>Y215*X215</f>
        <v/>
      </c>
      <c r="AA215" s="10">
        <f>IF(W215&gt;$AE$32,1,0)</f>
        <v/>
      </c>
      <c r="AB215">
        <f>IF(AA215=C215,1,0)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$AE$12+D216*$AE$13+E216*$AE$14+F216*$AE$15+G216*$AE$16+H216*$AE$17+I216*$AE$18+J216*$AE$19+K216*$AE$20+L216*$AE$21+M216*$AE$22+N216*$AE$23+O216*$AE$24+P216*$AE$25+Q216*$AE$26+R216*$AE$27+S216*$AE$28+T216*$AE$29+U216*$AE$30</f>
        <v/>
      </c>
      <c r="W216" s="8">
        <f>1/(1+EXP(-V216))</f>
        <v/>
      </c>
      <c r="X216" s="9">
        <f>-IF(C216=1,LN(W216),LN(1-W216))</f>
        <v/>
      </c>
      <c r="Y216" s="8">
        <f>1</f>
        <v/>
      </c>
      <c r="Z216" s="9">
        <f>Y216*X216</f>
        <v/>
      </c>
      <c r="AA216" s="10">
        <f>IF(W216&gt;$AE$32,1,0)</f>
        <v/>
      </c>
      <c r="AB216">
        <f>IF(AA216=C216,1,0)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$AE$12+D217*$AE$13+E217*$AE$14+F217*$AE$15+G217*$AE$16+H217*$AE$17+I217*$AE$18+J217*$AE$19+K217*$AE$20+L217*$AE$21+M217*$AE$22+N217*$AE$23+O217*$AE$24+P217*$AE$25+Q217*$AE$26+R217*$AE$27+S217*$AE$28+T217*$AE$29+U217*$AE$30</f>
        <v/>
      </c>
      <c r="W217" s="8">
        <f>1/(1+EXP(-V217))</f>
        <v/>
      </c>
      <c r="X217" s="9">
        <f>-IF(C217=1,LN(W217),LN(1-W217))</f>
        <v/>
      </c>
      <c r="Y217" s="8">
        <f>1</f>
        <v/>
      </c>
      <c r="Z217" s="9">
        <f>Y217*X217</f>
        <v/>
      </c>
      <c r="AA217" s="10">
        <f>IF(W217&gt;$AE$32,1,0)</f>
        <v/>
      </c>
      <c r="AB217">
        <f>IF(AA217=C217,1,0)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$AE$12+D218*$AE$13+E218*$AE$14+F218*$AE$15+G218*$AE$16+H218*$AE$17+I218*$AE$18+J218*$AE$19+K218*$AE$20+L218*$AE$21+M218*$AE$22+N218*$AE$23+O218*$AE$24+P218*$AE$25+Q218*$AE$26+R218*$AE$27+S218*$AE$28+T218*$AE$29+U218*$AE$30</f>
        <v/>
      </c>
      <c r="W218" s="8">
        <f>1/(1+EXP(-V218))</f>
        <v/>
      </c>
      <c r="X218" s="9">
        <f>-IF(C218=1,LN(W218),LN(1-W218))</f>
        <v/>
      </c>
      <c r="Y218" s="8">
        <f>1</f>
        <v/>
      </c>
      <c r="Z218" s="9">
        <f>Y218*X218</f>
        <v/>
      </c>
      <c r="AA218" s="10">
        <f>IF(W218&gt;$AE$32,1,0)</f>
        <v/>
      </c>
      <c r="AB218">
        <f>IF(AA218=C218,1,0)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$AE$12+D219*$AE$13+E219*$AE$14+F219*$AE$15+G219*$AE$16+H219*$AE$17+I219*$AE$18+J219*$AE$19+K219*$AE$20+L219*$AE$21+M219*$AE$22+N219*$AE$23+O219*$AE$24+P219*$AE$25+Q219*$AE$26+R219*$AE$27+S219*$AE$28+T219*$AE$29+U219*$AE$30</f>
        <v/>
      </c>
      <c r="W219" s="8">
        <f>1/(1+EXP(-V219))</f>
        <v/>
      </c>
      <c r="X219" s="9">
        <f>-IF(C219=1,LN(W219),LN(1-W219))</f>
        <v/>
      </c>
      <c r="Y219" s="8">
        <f>1</f>
        <v/>
      </c>
      <c r="Z219" s="9">
        <f>Y219*X219</f>
        <v/>
      </c>
      <c r="AA219" s="10">
        <f>IF(W219&gt;$AE$32,1,0)</f>
        <v/>
      </c>
      <c r="AB219">
        <f>IF(AA219=C219,1,0)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$AE$12+D220*$AE$13+E220*$AE$14+F220*$AE$15+G220*$AE$16+H220*$AE$17+I220*$AE$18+J220*$AE$19+K220*$AE$20+L220*$AE$21+M220*$AE$22+N220*$AE$23+O220*$AE$24+P220*$AE$25+Q220*$AE$26+R220*$AE$27+S220*$AE$28+T220*$AE$29+U220*$AE$30</f>
        <v/>
      </c>
      <c r="W220" s="8">
        <f>1/(1+EXP(-V220))</f>
        <v/>
      </c>
      <c r="X220" s="9">
        <f>-IF(C220=1,LN(W220),LN(1-W220))</f>
        <v/>
      </c>
      <c r="Y220" s="8">
        <f>1</f>
        <v/>
      </c>
      <c r="Z220" s="9">
        <f>Y220*X220</f>
        <v/>
      </c>
      <c r="AA220" s="10">
        <f>IF(W220&gt;$AE$32,1,0)</f>
        <v/>
      </c>
      <c r="AB220">
        <f>IF(AA220=C220,1,0)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$AE$12+D221*$AE$13+E221*$AE$14+F221*$AE$15+G221*$AE$16+H221*$AE$17+I221*$AE$18+J221*$AE$19+K221*$AE$20+L221*$AE$21+M221*$AE$22+N221*$AE$23+O221*$AE$24+P221*$AE$25+Q221*$AE$26+R221*$AE$27+S221*$AE$28+T221*$AE$29+U221*$AE$30</f>
        <v/>
      </c>
      <c r="W221" s="8">
        <f>1/(1+EXP(-V221))</f>
        <v/>
      </c>
      <c r="X221" s="9">
        <f>-IF(C221=1,LN(W221),LN(1-W221))</f>
        <v/>
      </c>
      <c r="Y221" s="8">
        <f>1</f>
        <v/>
      </c>
      <c r="Z221" s="9">
        <f>Y221*X221</f>
        <v/>
      </c>
      <c r="AA221" s="10">
        <f>IF(W221&gt;$AE$32,1,0)</f>
        <v/>
      </c>
      <c r="AB221">
        <f>IF(AA221=C221,1,0)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$AE$12+D222*$AE$13+E222*$AE$14+F222*$AE$15+G222*$AE$16+H222*$AE$17+I222*$AE$18+J222*$AE$19+K222*$AE$20+L222*$AE$21+M222*$AE$22+N222*$AE$23+O222*$AE$24+P222*$AE$25+Q222*$AE$26+R222*$AE$27+S222*$AE$28+T222*$AE$29+U222*$AE$30</f>
        <v/>
      </c>
      <c r="W222" s="8">
        <f>1/(1+EXP(-V222))</f>
        <v/>
      </c>
      <c r="X222" s="9">
        <f>-IF(C222=1,LN(W222),LN(1-W222))</f>
        <v/>
      </c>
      <c r="Y222" s="8">
        <f>1</f>
        <v/>
      </c>
      <c r="Z222" s="9">
        <f>Y222*X222</f>
        <v/>
      </c>
      <c r="AA222" s="10">
        <f>IF(W222&gt;$AE$32,1,0)</f>
        <v/>
      </c>
      <c r="AB222">
        <f>IF(AA222=C222,1,0)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$AE$12+D223*$AE$13+E223*$AE$14+F223*$AE$15+G223*$AE$16+H223*$AE$17+I223*$AE$18+J223*$AE$19+K223*$AE$20+L223*$AE$21+M223*$AE$22+N223*$AE$23+O223*$AE$24+P223*$AE$25+Q223*$AE$26+R223*$AE$27+S223*$AE$28+T223*$AE$29+U223*$AE$30</f>
        <v/>
      </c>
      <c r="W223" s="8">
        <f>1/(1+EXP(-V223))</f>
        <v/>
      </c>
      <c r="X223" s="9">
        <f>-IF(C223=1,LN(W223),LN(1-W223))</f>
        <v/>
      </c>
      <c r="Y223" s="8">
        <f>1</f>
        <v/>
      </c>
      <c r="Z223" s="9">
        <f>Y223*X223</f>
        <v/>
      </c>
      <c r="AA223" s="10">
        <f>IF(W223&gt;$AE$32,1,0)</f>
        <v/>
      </c>
      <c r="AB223">
        <f>IF(AA223=C223,1,0)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$AE$12+D224*$AE$13+E224*$AE$14+F224*$AE$15+G224*$AE$16+H224*$AE$17+I224*$AE$18+J224*$AE$19+K224*$AE$20+L224*$AE$21+M224*$AE$22+N224*$AE$23+O224*$AE$24+P224*$AE$25+Q224*$AE$26+R224*$AE$27+S224*$AE$28+T224*$AE$29+U224*$AE$30</f>
        <v/>
      </c>
      <c r="W224" s="8">
        <f>1/(1+EXP(-V224))</f>
        <v/>
      </c>
      <c r="X224" s="9">
        <f>-IF(C224=1,LN(W224),LN(1-W224))</f>
        <v/>
      </c>
      <c r="Y224" s="8">
        <f>1</f>
        <v/>
      </c>
      <c r="Z224" s="9">
        <f>Y224*X224</f>
        <v/>
      </c>
      <c r="AA224" s="10">
        <f>IF(W224&gt;$AE$32,1,0)</f>
        <v/>
      </c>
      <c r="AB224">
        <f>IF(AA224=C224,1,0)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$AE$12+D225*$AE$13+E225*$AE$14+F225*$AE$15+G225*$AE$16+H225*$AE$17+I225*$AE$18+J225*$AE$19+K225*$AE$20+L225*$AE$21+M225*$AE$22+N225*$AE$23+O225*$AE$24+P225*$AE$25+Q225*$AE$26+R225*$AE$27+S225*$AE$28+T225*$AE$29+U225*$AE$30</f>
        <v/>
      </c>
      <c r="W225" s="8">
        <f>1/(1+EXP(-V225))</f>
        <v/>
      </c>
      <c r="X225" s="9">
        <f>-IF(C225=1,LN(W225),LN(1-W225))</f>
        <v/>
      </c>
      <c r="Y225" s="8">
        <f>1</f>
        <v/>
      </c>
      <c r="Z225" s="9">
        <f>Y225*X225</f>
        <v/>
      </c>
      <c r="AA225" s="10">
        <f>IF(W225&gt;$AE$32,1,0)</f>
        <v/>
      </c>
      <c r="AB225">
        <f>IF(AA225=C225,1,0)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$AE$12+D226*$AE$13+E226*$AE$14+F226*$AE$15+G226*$AE$16+H226*$AE$17+I226*$AE$18+J226*$AE$19+K226*$AE$20+L226*$AE$21+M226*$AE$22+N226*$AE$23+O226*$AE$24+P226*$AE$25+Q226*$AE$26+R226*$AE$27+S226*$AE$28+T226*$AE$29+U226*$AE$30</f>
        <v/>
      </c>
      <c r="W226" s="8">
        <f>1/(1+EXP(-V226))</f>
        <v/>
      </c>
      <c r="X226" s="9">
        <f>-IF(C226=1,LN(W226),LN(1-W226))</f>
        <v/>
      </c>
      <c r="Y226" s="8">
        <f>1</f>
        <v/>
      </c>
      <c r="Z226" s="9">
        <f>Y226*X226</f>
        <v/>
      </c>
      <c r="AA226" s="10">
        <f>IF(W226&gt;$AE$32,1,0)</f>
        <v/>
      </c>
      <c r="AB226">
        <f>IF(AA226=C226,1,0)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$AE$12+D227*$AE$13+E227*$AE$14+F227*$AE$15+G227*$AE$16+H227*$AE$17+I227*$AE$18+J227*$AE$19+K227*$AE$20+L227*$AE$21+M227*$AE$22+N227*$AE$23+O227*$AE$24+P227*$AE$25+Q227*$AE$26+R227*$AE$27+S227*$AE$28+T227*$AE$29+U227*$AE$30</f>
        <v/>
      </c>
      <c r="W227" s="8">
        <f>1/(1+EXP(-V227))</f>
        <v/>
      </c>
      <c r="X227" s="9">
        <f>-IF(C227=1,LN(W227),LN(1-W227))</f>
        <v/>
      </c>
      <c r="Y227" s="8">
        <f>1</f>
        <v/>
      </c>
      <c r="Z227" s="9">
        <f>Y227*X227</f>
        <v/>
      </c>
      <c r="AA227" s="10">
        <f>IF(W227&gt;$AE$32,1,0)</f>
        <v/>
      </c>
      <c r="AB227">
        <f>IF(AA227=C227,1,0)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$AE$12+D228*$AE$13+E228*$AE$14+F228*$AE$15+G228*$AE$16+H228*$AE$17+I228*$AE$18+J228*$AE$19+K228*$AE$20+L228*$AE$21+M228*$AE$22+N228*$AE$23+O228*$AE$24+P228*$AE$25+Q228*$AE$26+R228*$AE$27+S228*$AE$28+T228*$AE$29+U228*$AE$30</f>
        <v/>
      </c>
      <c r="W228" s="8">
        <f>1/(1+EXP(-V228))</f>
        <v/>
      </c>
      <c r="X228" s="9">
        <f>-IF(C228=1,LN(W228),LN(1-W228))</f>
        <v/>
      </c>
      <c r="Y228" s="8">
        <f>1</f>
        <v/>
      </c>
      <c r="Z228" s="9">
        <f>Y228*X228</f>
        <v/>
      </c>
      <c r="AA228" s="10">
        <f>IF(W228&gt;$AE$32,1,0)</f>
        <v/>
      </c>
      <c r="AB228">
        <f>IF(AA228=C228,1,0)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$AE$12+D229*$AE$13+E229*$AE$14+F229*$AE$15+G229*$AE$16+H229*$AE$17+I229*$AE$18+J229*$AE$19+K229*$AE$20+L229*$AE$21+M229*$AE$22+N229*$AE$23+O229*$AE$24+P229*$AE$25+Q229*$AE$26+R229*$AE$27+S229*$AE$28+T229*$AE$29+U229*$AE$30</f>
        <v/>
      </c>
      <c r="W229" s="8">
        <f>1/(1+EXP(-V229))</f>
        <v/>
      </c>
      <c r="X229" s="9">
        <f>-IF(C229=1,LN(W229),LN(1-W229))</f>
        <v/>
      </c>
      <c r="Y229" s="8">
        <f>1</f>
        <v/>
      </c>
      <c r="Z229" s="9">
        <f>Y229*X229</f>
        <v/>
      </c>
      <c r="AA229" s="10">
        <f>IF(W229&gt;$AE$32,1,0)</f>
        <v/>
      </c>
      <c r="AB229">
        <f>IF(AA229=C229,1,0)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$AE$12+D230*$AE$13+E230*$AE$14+F230*$AE$15+G230*$AE$16+H230*$AE$17+I230*$AE$18+J230*$AE$19+K230*$AE$20+L230*$AE$21+M230*$AE$22+N230*$AE$23+O230*$AE$24+P230*$AE$25+Q230*$AE$26+R230*$AE$27+S230*$AE$28+T230*$AE$29+U230*$AE$30</f>
        <v/>
      </c>
      <c r="W230" s="8">
        <f>1/(1+EXP(-V230))</f>
        <v/>
      </c>
      <c r="X230" s="9">
        <f>-IF(C230=1,LN(W230),LN(1-W230))</f>
        <v/>
      </c>
      <c r="Y230" s="8">
        <f>1</f>
        <v/>
      </c>
      <c r="Z230" s="9">
        <f>Y230*X230</f>
        <v/>
      </c>
      <c r="AA230" s="10">
        <f>IF(W230&gt;$AE$32,1,0)</f>
        <v/>
      </c>
      <c r="AB230">
        <f>IF(AA230=C230,1,0)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$AE$12+D231*$AE$13+E231*$AE$14+F231*$AE$15+G231*$AE$16+H231*$AE$17+I231*$AE$18+J231*$AE$19+K231*$AE$20+L231*$AE$21+M231*$AE$22+N231*$AE$23+O231*$AE$24+P231*$AE$25+Q231*$AE$26+R231*$AE$27+S231*$AE$28+T231*$AE$29+U231*$AE$30</f>
        <v/>
      </c>
      <c r="W231" s="8">
        <f>1/(1+EXP(-V231))</f>
        <v/>
      </c>
      <c r="X231" s="9">
        <f>-IF(C231=1,LN(W231),LN(1-W231))</f>
        <v/>
      </c>
      <c r="Y231" s="8">
        <f>1</f>
        <v/>
      </c>
      <c r="Z231" s="9">
        <f>Y231*X231</f>
        <v/>
      </c>
      <c r="AA231" s="10">
        <f>IF(W231&gt;$AE$32,1,0)</f>
        <v/>
      </c>
      <c r="AB231">
        <f>IF(AA231=C231,1,0)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$AE$12+D232*$AE$13+E232*$AE$14+F232*$AE$15+G232*$AE$16+H232*$AE$17+I232*$AE$18+J232*$AE$19+K232*$AE$20+L232*$AE$21+M232*$AE$22+N232*$AE$23+O232*$AE$24+P232*$AE$25+Q232*$AE$26+R232*$AE$27+S232*$AE$28+T232*$AE$29+U232*$AE$30</f>
        <v/>
      </c>
      <c r="W232" s="8">
        <f>1/(1+EXP(-V232))</f>
        <v/>
      </c>
      <c r="X232" s="9">
        <f>-IF(C232=1,LN(W232),LN(1-W232))</f>
        <v/>
      </c>
      <c r="Y232" s="8">
        <f>1</f>
        <v/>
      </c>
      <c r="Z232" s="9">
        <f>Y232*X232</f>
        <v/>
      </c>
      <c r="AA232" s="10">
        <f>IF(W232&gt;$AE$32,1,0)</f>
        <v/>
      </c>
      <c r="AB232">
        <f>IF(AA232=C232,1,0)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$AE$12+D233*$AE$13+E233*$AE$14+F233*$AE$15+G233*$AE$16+H233*$AE$17+I233*$AE$18+J233*$AE$19+K233*$AE$20+L233*$AE$21+M233*$AE$22+N233*$AE$23+O233*$AE$24+P233*$AE$25+Q233*$AE$26+R233*$AE$27+S233*$AE$28+T233*$AE$29+U233*$AE$30</f>
        <v/>
      </c>
      <c r="W233" s="8">
        <f>1/(1+EXP(-V233))</f>
        <v/>
      </c>
      <c r="X233" s="9">
        <f>-IF(C233=1,LN(W233),LN(1-W233))</f>
        <v/>
      </c>
      <c r="Y233" s="8">
        <f>1</f>
        <v/>
      </c>
      <c r="Z233" s="9">
        <f>Y233*X233</f>
        <v/>
      </c>
      <c r="AA233" s="10">
        <f>IF(W233&gt;$AE$32,1,0)</f>
        <v/>
      </c>
      <c r="AB233">
        <f>IF(AA233=C233,1,0)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$AE$12+D234*$AE$13+E234*$AE$14+F234*$AE$15+G234*$AE$16+H234*$AE$17+I234*$AE$18+J234*$AE$19+K234*$AE$20+L234*$AE$21+M234*$AE$22+N234*$AE$23+O234*$AE$24+P234*$AE$25+Q234*$AE$26+R234*$AE$27+S234*$AE$28+T234*$AE$29+U234*$AE$30</f>
        <v/>
      </c>
      <c r="W234" s="8">
        <f>1/(1+EXP(-V234))</f>
        <v/>
      </c>
      <c r="X234" s="9">
        <f>-IF(C234=1,LN(W234),LN(1-W234))</f>
        <v/>
      </c>
      <c r="Y234" s="8">
        <f>1</f>
        <v/>
      </c>
      <c r="Z234" s="9">
        <f>Y234*X234</f>
        <v/>
      </c>
      <c r="AA234" s="10">
        <f>IF(W234&gt;$AE$32,1,0)</f>
        <v/>
      </c>
      <c r="AB234">
        <f>IF(AA234=C234,1,0)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$AE$12+D235*$AE$13+E235*$AE$14+F235*$AE$15+G235*$AE$16+H235*$AE$17+I235*$AE$18+J235*$AE$19+K235*$AE$20+L235*$AE$21+M235*$AE$22+N235*$AE$23+O235*$AE$24+P235*$AE$25+Q235*$AE$26+R235*$AE$27+S235*$AE$28+T235*$AE$29+U235*$AE$30</f>
        <v/>
      </c>
      <c r="W235" s="8">
        <f>1/(1+EXP(-V235))</f>
        <v/>
      </c>
      <c r="X235" s="9">
        <f>-IF(C235=1,LN(W235),LN(1-W235))</f>
        <v/>
      </c>
      <c r="Y235" s="8">
        <f>1</f>
        <v/>
      </c>
      <c r="Z235" s="9">
        <f>Y235*X235</f>
        <v/>
      </c>
      <c r="AA235" s="10">
        <f>IF(W235&gt;$AE$32,1,0)</f>
        <v/>
      </c>
      <c r="AB235">
        <f>IF(AA235=C235,1,0)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$AE$12+D236*$AE$13+E236*$AE$14+F236*$AE$15+G236*$AE$16+H236*$AE$17+I236*$AE$18+J236*$AE$19+K236*$AE$20+L236*$AE$21+M236*$AE$22+N236*$AE$23+O236*$AE$24+P236*$AE$25+Q236*$AE$26+R236*$AE$27+S236*$AE$28+T236*$AE$29+U236*$AE$30</f>
        <v/>
      </c>
      <c r="W236" s="8">
        <f>1/(1+EXP(-V236))</f>
        <v/>
      </c>
      <c r="X236" s="9">
        <f>-IF(C236=1,LN(W236),LN(1-W236))</f>
        <v/>
      </c>
      <c r="Y236" s="8">
        <f>1</f>
        <v/>
      </c>
      <c r="Z236" s="9">
        <f>Y236*X236</f>
        <v/>
      </c>
      <c r="AA236" s="10">
        <f>IF(W236&gt;$AE$32,1,0)</f>
        <v/>
      </c>
      <c r="AB236">
        <f>IF(AA236=C236,1,0)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$AE$12+D237*$AE$13+E237*$AE$14+F237*$AE$15+G237*$AE$16+H237*$AE$17+I237*$AE$18+J237*$AE$19+K237*$AE$20+L237*$AE$21+M237*$AE$22+N237*$AE$23+O237*$AE$24+P237*$AE$25+Q237*$AE$26+R237*$AE$27+S237*$AE$28+T237*$AE$29+U237*$AE$30</f>
        <v/>
      </c>
      <c r="W237" s="8">
        <f>1/(1+EXP(-V237))</f>
        <v/>
      </c>
      <c r="X237" s="9">
        <f>-IF(C237=1,LN(W237),LN(1-W237))</f>
        <v/>
      </c>
      <c r="Y237" s="8">
        <f>1</f>
        <v/>
      </c>
      <c r="Z237" s="9">
        <f>Y237*X237</f>
        <v/>
      </c>
      <c r="AA237" s="10">
        <f>IF(W237&gt;$AE$32,1,0)</f>
        <v/>
      </c>
      <c r="AB237">
        <f>IF(AA237=C237,1,0)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$AE$12+D238*$AE$13+E238*$AE$14+F238*$AE$15+G238*$AE$16+H238*$AE$17+I238*$AE$18+J238*$AE$19+K238*$AE$20+L238*$AE$21+M238*$AE$22+N238*$AE$23+O238*$AE$24+P238*$AE$25+Q238*$AE$26+R238*$AE$27+S238*$AE$28+T238*$AE$29+U238*$AE$30</f>
        <v/>
      </c>
      <c r="W238" s="8">
        <f>1/(1+EXP(-V238))</f>
        <v/>
      </c>
      <c r="X238" s="9">
        <f>-IF(C238=1,LN(W238),LN(1-W238))</f>
        <v/>
      </c>
      <c r="Y238" s="8">
        <f>1</f>
        <v/>
      </c>
      <c r="Z238" s="9">
        <f>Y238*X238</f>
        <v/>
      </c>
      <c r="AA238" s="10">
        <f>IF(W238&gt;$AE$32,1,0)</f>
        <v/>
      </c>
      <c r="AB238">
        <f>IF(AA238=C238,1,0)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$AE$12+D239*$AE$13+E239*$AE$14+F239*$AE$15+G239*$AE$16+H239*$AE$17+I239*$AE$18+J239*$AE$19+K239*$AE$20+L239*$AE$21+M239*$AE$22+N239*$AE$23+O239*$AE$24+P239*$AE$25+Q239*$AE$26+R239*$AE$27+S239*$AE$28+T239*$AE$29+U239*$AE$30</f>
        <v/>
      </c>
      <c r="W239" s="8">
        <f>1/(1+EXP(-V239))</f>
        <v/>
      </c>
      <c r="X239" s="9">
        <f>-IF(C239=1,LN(W239),LN(1-W239))</f>
        <v/>
      </c>
      <c r="Y239" s="8">
        <f>1</f>
        <v/>
      </c>
      <c r="Z239" s="9">
        <f>Y239*X239</f>
        <v/>
      </c>
      <c r="AA239" s="10">
        <f>IF(W239&gt;$AE$32,1,0)</f>
        <v/>
      </c>
      <c r="AB239">
        <f>IF(AA239=C239,1,0)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$AE$12+D240*$AE$13+E240*$AE$14+F240*$AE$15+G240*$AE$16+H240*$AE$17+I240*$AE$18+J240*$AE$19+K240*$AE$20+L240*$AE$21+M240*$AE$22+N240*$AE$23+O240*$AE$24+P240*$AE$25+Q240*$AE$26+R240*$AE$27+S240*$AE$28+T240*$AE$29+U240*$AE$30</f>
        <v/>
      </c>
      <c r="W240" s="8">
        <f>1/(1+EXP(-V240))</f>
        <v/>
      </c>
      <c r="X240" s="9">
        <f>-IF(C240=1,LN(W240),LN(1-W240))</f>
        <v/>
      </c>
      <c r="Y240" s="8">
        <f>1</f>
        <v/>
      </c>
      <c r="Z240" s="9">
        <f>Y240*X240</f>
        <v/>
      </c>
      <c r="AA240" s="10">
        <f>IF(W240&gt;$AE$32,1,0)</f>
        <v/>
      </c>
      <c r="AB240">
        <f>IF(AA240=C240,1,0)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$AE$12+D241*$AE$13+E241*$AE$14+F241*$AE$15+G241*$AE$16+H241*$AE$17+I241*$AE$18+J241*$AE$19+K241*$AE$20+L241*$AE$21+M241*$AE$22+N241*$AE$23+O241*$AE$24+P241*$AE$25+Q241*$AE$26+R241*$AE$27+S241*$AE$28+T241*$AE$29+U241*$AE$30</f>
        <v/>
      </c>
      <c r="W241" s="8">
        <f>1/(1+EXP(-V241))</f>
        <v/>
      </c>
      <c r="X241" s="9">
        <f>-IF(C241=1,LN(W241),LN(1-W241))</f>
        <v/>
      </c>
      <c r="Y241" s="8">
        <f>1</f>
        <v/>
      </c>
      <c r="Z241" s="9">
        <f>Y241*X241</f>
        <v/>
      </c>
      <c r="AA241" s="10">
        <f>IF(W241&gt;$AE$32,1,0)</f>
        <v/>
      </c>
      <c r="AB241">
        <f>IF(AA241=C241,1,0)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$AE$12+D242*$AE$13+E242*$AE$14+F242*$AE$15+G242*$AE$16+H242*$AE$17+I242*$AE$18+J242*$AE$19+K242*$AE$20+L242*$AE$21+M242*$AE$22+N242*$AE$23+O242*$AE$24+P242*$AE$25+Q242*$AE$26+R242*$AE$27+S242*$AE$28+T242*$AE$29+U242*$AE$30</f>
        <v/>
      </c>
      <c r="W242" s="8">
        <f>1/(1+EXP(-V242))</f>
        <v/>
      </c>
      <c r="X242" s="9">
        <f>-IF(C242=1,LN(W242),LN(1-W242))</f>
        <v/>
      </c>
      <c r="Y242" s="8">
        <f>1</f>
        <v/>
      </c>
      <c r="Z242" s="9">
        <f>Y242*X242</f>
        <v/>
      </c>
      <c r="AA242" s="10">
        <f>IF(W242&gt;$AE$32,1,0)</f>
        <v/>
      </c>
      <c r="AB242">
        <f>IF(AA242=C242,1,0)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$AE$12+D243*$AE$13+E243*$AE$14+F243*$AE$15+G243*$AE$16+H243*$AE$17+I243*$AE$18+J243*$AE$19+K243*$AE$20+L243*$AE$21+M243*$AE$22+N243*$AE$23+O243*$AE$24+P243*$AE$25+Q243*$AE$26+R243*$AE$27+S243*$AE$28+T243*$AE$29+U243*$AE$30</f>
        <v/>
      </c>
      <c r="W243" s="8">
        <f>1/(1+EXP(-V243))</f>
        <v/>
      </c>
      <c r="X243" s="9">
        <f>-IF(C243=1,LN(W243),LN(1-W243))</f>
        <v/>
      </c>
      <c r="Y243" s="8">
        <f>1</f>
        <v/>
      </c>
      <c r="Z243" s="9">
        <f>Y243*X243</f>
        <v/>
      </c>
      <c r="AA243" s="10">
        <f>IF(W243&gt;$AE$32,1,0)</f>
        <v/>
      </c>
      <c r="AB243">
        <f>IF(AA243=C243,1,0)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$AE$12+D244*$AE$13+E244*$AE$14+F244*$AE$15+G244*$AE$16+H244*$AE$17+I244*$AE$18+J244*$AE$19+K244*$AE$20+L244*$AE$21+M244*$AE$22+N244*$AE$23+O244*$AE$24+P244*$AE$25+Q244*$AE$26+R244*$AE$27+S244*$AE$28+T244*$AE$29+U244*$AE$30</f>
        <v/>
      </c>
      <c r="W244" s="8">
        <f>1/(1+EXP(-V244))</f>
        <v/>
      </c>
      <c r="X244" s="9">
        <f>-IF(C244=1,LN(W244),LN(1-W244))</f>
        <v/>
      </c>
      <c r="Y244" s="8">
        <f>1</f>
        <v/>
      </c>
      <c r="Z244" s="9">
        <f>Y244*X244</f>
        <v/>
      </c>
      <c r="AA244" s="10">
        <f>IF(W244&gt;$AE$32,1,0)</f>
        <v/>
      </c>
      <c r="AB244">
        <f>IF(AA244=C244,1,0)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$AE$12+D245*$AE$13+E245*$AE$14+F245*$AE$15+G245*$AE$16+H245*$AE$17+I245*$AE$18+J245*$AE$19+K245*$AE$20+L245*$AE$21+M245*$AE$22+N245*$AE$23+O245*$AE$24+P245*$AE$25+Q245*$AE$26+R245*$AE$27+S245*$AE$28+T245*$AE$29+U245*$AE$30</f>
        <v/>
      </c>
      <c r="W245" s="8">
        <f>1/(1+EXP(-V245))</f>
        <v/>
      </c>
      <c r="X245" s="9">
        <f>-IF(C245=1,LN(W245),LN(1-W245))</f>
        <v/>
      </c>
      <c r="Y245" s="8">
        <f>1</f>
        <v/>
      </c>
      <c r="Z245" s="9">
        <f>Y245*X245</f>
        <v/>
      </c>
      <c r="AA245" s="10">
        <f>IF(W245&gt;$AE$32,1,0)</f>
        <v/>
      </c>
      <c r="AB245">
        <f>IF(AA245=C245,1,0)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$AE$12+D246*$AE$13+E246*$AE$14+F246*$AE$15+G246*$AE$16+H246*$AE$17+I246*$AE$18+J246*$AE$19+K246*$AE$20+L246*$AE$21+M246*$AE$22+N246*$AE$23+O246*$AE$24+P246*$AE$25+Q246*$AE$26+R246*$AE$27+S246*$AE$28+T246*$AE$29+U246*$AE$30</f>
        <v/>
      </c>
      <c r="W246" s="8">
        <f>1/(1+EXP(-V246))</f>
        <v/>
      </c>
      <c r="X246" s="9">
        <f>-IF(C246=1,LN(W246),LN(1-W246))</f>
        <v/>
      </c>
      <c r="Y246" s="8">
        <f>1</f>
        <v/>
      </c>
      <c r="Z246" s="9">
        <f>Y246*X246</f>
        <v/>
      </c>
      <c r="AA246" s="10">
        <f>IF(W246&gt;$AE$32,1,0)</f>
        <v/>
      </c>
      <c r="AB246">
        <f>IF(AA246=C246,1,0)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$AE$12+D247*$AE$13+E247*$AE$14+F247*$AE$15+G247*$AE$16+H247*$AE$17+I247*$AE$18+J247*$AE$19+K247*$AE$20+L247*$AE$21+M247*$AE$22+N247*$AE$23+O247*$AE$24+P247*$AE$25+Q247*$AE$26+R247*$AE$27+S247*$AE$28+T247*$AE$29+U247*$AE$30</f>
        <v/>
      </c>
      <c r="W247" s="8">
        <f>1/(1+EXP(-V247))</f>
        <v/>
      </c>
      <c r="X247" s="9">
        <f>-IF(C247=1,LN(W247),LN(1-W247))</f>
        <v/>
      </c>
      <c r="Y247" s="8">
        <f>1</f>
        <v/>
      </c>
      <c r="Z247" s="9">
        <f>Y247*X247</f>
        <v/>
      </c>
      <c r="AA247" s="10">
        <f>IF(W247&gt;$AE$32,1,0)</f>
        <v/>
      </c>
      <c r="AB247">
        <f>IF(AA247=C247,1,0)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$AE$12+D248*$AE$13+E248*$AE$14+F248*$AE$15+G248*$AE$16+H248*$AE$17+I248*$AE$18+J248*$AE$19+K248*$AE$20+L248*$AE$21+M248*$AE$22+N248*$AE$23+O248*$AE$24+P248*$AE$25+Q248*$AE$26+R248*$AE$27+S248*$AE$28+T248*$AE$29+U248*$AE$30</f>
        <v/>
      </c>
      <c r="W248" s="8">
        <f>1/(1+EXP(-V248))</f>
        <v/>
      </c>
      <c r="X248" s="9">
        <f>-IF(C248=1,LN(W248),LN(1-W248))</f>
        <v/>
      </c>
      <c r="Y248" s="8">
        <f>1</f>
        <v/>
      </c>
      <c r="Z248" s="9">
        <f>Y248*X248</f>
        <v/>
      </c>
      <c r="AA248" s="10">
        <f>IF(W248&gt;$AE$32,1,0)</f>
        <v/>
      </c>
      <c r="AB248">
        <f>IF(AA248=C248,1,0)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$AE$12+D249*$AE$13+E249*$AE$14+F249*$AE$15+G249*$AE$16+H249*$AE$17+I249*$AE$18+J249*$AE$19+K249*$AE$20+L249*$AE$21+M249*$AE$22+N249*$AE$23+O249*$AE$24+P249*$AE$25+Q249*$AE$26+R249*$AE$27+S249*$AE$28+T249*$AE$29+U249*$AE$30</f>
        <v/>
      </c>
      <c r="W249" s="8">
        <f>1/(1+EXP(-V249))</f>
        <v/>
      </c>
      <c r="X249" s="9">
        <f>-IF(C249=1,LN(W249),LN(1-W249))</f>
        <v/>
      </c>
      <c r="Y249" s="8">
        <f>1</f>
        <v/>
      </c>
      <c r="Z249" s="9">
        <f>Y249*X249</f>
        <v/>
      </c>
      <c r="AA249" s="10">
        <f>IF(W249&gt;$AE$32,1,0)</f>
        <v/>
      </c>
      <c r="AB249">
        <f>IF(AA249=C249,1,0)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$AE$12+D250*$AE$13+E250*$AE$14+F250*$AE$15+G250*$AE$16+H250*$AE$17+I250*$AE$18+J250*$AE$19+K250*$AE$20+L250*$AE$21+M250*$AE$22+N250*$AE$23+O250*$AE$24+P250*$AE$25+Q250*$AE$26+R250*$AE$27+S250*$AE$28+T250*$AE$29+U250*$AE$30</f>
        <v/>
      </c>
      <c r="W250" s="8">
        <f>1/(1+EXP(-V250))</f>
        <v/>
      </c>
      <c r="X250" s="9">
        <f>-IF(C250=1,LN(W250),LN(1-W250))</f>
        <v/>
      </c>
      <c r="Y250" s="8">
        <f>1</f>
        <v/>
      </c>
      <c r="Z250" s="9">
        <f>Y250*X250</f>
        <v/>
      </c>
      <c r="AA250" s="10">
        <f>IF(W250&gt;$AE$32,1,0)</f>
        <v/>
      </c>
      <c r="AB250">
        <f>IF(AA250=C250,1,0)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$AE$12+D251*$AE$13+E251*$AE$14+F251*$AE$15+G251*$AE$16+H251*$AE$17+I251*$AE$18+J251*$AE$19+K251*$AE$20+L251*$AE$21+M251*$AE$22+N251*$AE$23+O251*$AE$24+P251*$AE$25+Q251*$AE$26+R251*$AE$27+S251*$AE$28+T251*$AE$29+U251*$AE$30</f>
        <v/>
      </c>
      <c r="W251" s="8">
        <f>1/(1+EXP(-V251))</f>
        <v/>
      </c>
      <c r="X251" s="9">
        <f>-IF(C251=1,LN(W251),LN(1-W251))</f>
        <v/>
      </c>
      <c r="Y251" s="8">
        <f>1</f>
        <v/>
      </c>
      <c r="Z251" s="9">
        <f>Y251*X251</f>
        <v/>
      </c>
      <c r="AA251" s="10">
        <f>IF(W251&gt;$AE$32,1,0)</f>
        <v/>
      </c>
      <c r="AB251">
        <f>IF(AA251=C251,1,0)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$AE$12+D252*$AE$13+E252*$AE$14+F252*$AE$15+G252*$AE$16+H252*$AE$17+I252*$AE$18+J252*$AE$19+K252*$AE$20+L252*$AE$21+M252*$AE$22+N252*$AE$23+O252*$AE$24+P252*$AE$25+Q252*$AE$26+R252*$AE$27+S252*$AE$28+T252*$AE$29+U252*$AE$30</f>
        <v/>
      </c>
      <c r="W252" s="8">
        <f>1/(1+EXP(-V252))</f>
        <v/>
      </c>
      <c r="X252" s="9">
        <f>-IF(C252=1,LN(W252),LN(1-W252))</f>
        <v/>
      </c>
      <c r="Y252" s="8">
        <f>1</f>
        <v/>
      </c>
      <c r="Z252" s="9">
        <f>Y252*X252</f>
        <v/>
      </c>
      <c r="AA252" s="10">
        <f>IF(W252&gt;$AE$32,1,0)</f>
        <v/>
      </c>
      <c r="AB252">
        <f>IF(AA252=C252,1,0)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$AE$12+D253*$AE$13+E253*$AE$14+F253*$AE$15+G253*$AE$16+H253*$AE$17+I253*$AE$18+J253*$AE$19+K253*$AE$20+L253*$AE$21+M253*$AE$22+N253*$AE$23+O253*$AE$24+P253*$AE$25+Q253*$AE$26+R253*$AE$27+S253*$AE$28+T253*$AE$29+U253*$AE$30</f>
        <v/>
      </c>
      <c r="W253" s="8">
        <f>1/(1+EXP(-V253))</f>
        <v/>
      </c>
      <c r="X253" s="9">
        <f>-IF(C253=1,LN(W253),LN(1-W253))</f>
        <v/>
      </c>
      <c r="Y253" s="8">
        <f>1</f>
        <v/>
      </c>
      <c r="Z253" s="9">
        <f>Y253*X253</f>
        <v/>
      </c>
      <c r="AA253" s="10">
        <f>IF(W253&gt;$AE$32,1,0)</f>
        <v/>
      </c>
      <c r="AB253">
        <f>IF(AA253=C253,1,0)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$AE$12+D254*$AE$13+E254*$AE$14+F254*$AE$15+G254*$AE$16+H254*$AE$17+I254*$AE$18+J254*$AE$19+K254*$AE$20+L254*$AE$21+M254*$AE$22+N254*$AE$23+O254*$AE$24+P254*$AE$25+Q254*$AE$26+R254*$AE$27+S254*$AE$28+T254*$AE$29+U254*$AE$30</f>
        <v/>
      </c>
      <c r="W254" s="8">
        <f>1/(1+EXP(-V254))</f>
        <v/>
      </c>
      <c r="X254" s="9">
        <f>-IF(C254=1,LN(W254),LN(1-W254))</f>
        <v/>
      </c>
      <c r="Y254" s="8">
        <f>1</f>
        <v/>
      </c>
      <c r="Z254" s="9">
        <f>Y254*X254</f>
        <v/>
      </c>
      <c r="AA254" s="10">
        <f>IF(W254&gt;$AE$32,1,0)</f>
        <v/>
      </c>
      <c r="AB254">
        <f>IF(AA254=C254,1,0)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$AE$12+D255*$AE$13+E255*$AE$14+F255*$AE$15+G255*$AE$16+H255*$AE$17+I255*$AE$18+J255*$AE$19+K255*$AE$20+L255*$AE$21+M255*$AE$22+N255*$AE$23+O255*$AE$24+P255*$AE$25+Q255*$AE$26+R255*$AE$27+S255*$AE$28+T255*$AE$29+U255*$AE$30</f>
        <v/>
      </c>
      <c r="W255" s="8">
        <f>1/(1+EXP(-V255))</f>
        <v/>
      </c>
      <c r="X255" s="9">
        <f>-IF(C255=1,LN(W255),LN(1-W255))</f>
        <v/>
      </c>
      <c r="Y255" s="8">
        <f>1</f>
        <v/>
      </c>
      <c r="Z255" s="9">
        <f>Y255*X255</f>
        <v/>
      </c>
      <c r="AA255" s="10">
        <f>IF(W255&gt;$AE$32,1,0)</f>
        <v/>
      </c>
      <c r="AB255">
        <f>IF(AA255=C255,1,0)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$AE$12+D256*$AE$13+E256*$AE$14+F256*$AE$15+G256*$AE$16+H256*$AE$17+I256*$AE$18+J256*$AE$19+K256*$AE$20+L256*$AE$21+M256*$AE$22+N256*$AE$23+O256*$AE$24+P256*$AE$25+Q256*$AE$26+R256*$AE$27+S256*$AE$28+T256*$AE$29+U256*$AE$30</f>
        <v/>
      </c>
      <c r="W256" s="8">
        <f>1/(1+EXP(-V256))</f>
        <v/>
      </c>
      <c r="X256" s="9">
        <f>-IF(C256=1,LN(W256),LN(1-W256))</f>
        <v/>
      </c>
      <c r="Y256" s="8">
        <f>1</f>
        <v/>
      </c>
      <c r="Z256" s="9">
        <f>Y256*X256</f>
        <v/>
      </c>
      <c r="AA256" s="10">
        <f>IF(W256&gt;$AE$32,1,0)</f>
        <v/>
      </c>
      <c r="AB256">
        <f>IF(AA256=C256,1,0)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$AE$12+D257*$AE$13+E257*$AE$14+F257*$AE$15+G257*$AE$16+H257*$AE$17+I257*$AE$18+J257*$AE$19+K257*$AE$20+L257*$AE$21+M257*$AE$22+N257*$AE$23+O257*$AE$24+P257*$AE$25+Q257*$AE$26+R257*$AE$27+S257*$AE$28+T257*$AE$29+U257*$AE$30</f>
        <v/>
      </c>
      <c r="W257" s="8">
        <f>1/(1+EXP(-V257))</f>
        <v/>
      </c>
      <c r="X257" s="9">
        <f>-IF(C257=1,LN(W257),LN(1-W257))</f>
        <v/>
      </c>
      <c r="Y257" s="8">
        <f>1</f>
        <v/>
      </c>
      <c r="Z257" s="9">
        <f>Y257*X257</f>
        <v/>
      </c>
      <c r="AA257" s="10">
        <f>IF(W257&gt;$AE$32,1,0)</f>
        <v/>
      </c>
      <c r="AB257">
        <f>IF(AA257=C257,1,0)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$AE$12+D258*$AE$13+E258*$AE$14+F258*$AE$15+G258*$AE$16+H258*$AE$17+I258*$AE$18+J258*$AE$19+K258*$AE$20+L258*$AE$21+M258*$AE$22+N258*$AE$23+O258*$AE$24+P258*$AE$25+Q258*$AE$26+R258*$AE$27+S258*$AE$28+T258*$AE$29+U258*$AE$30</f>
        <v/>
      </c>
      <c r="W258" s="8">
        <f>1/(1+EXP(-V258))</f>
        <v/>
      </c>
      <c r="X258" s="9">
        <f>-IF(C258=1,LN(W258),LN(1-W258))</f>
        <v/>
      </c>
      <c r="Y258" s="8">
        <f>1</f>
        <v/>
      </c>
      <c r="Z258" s="9">
        <f>Y258*X258</f>
        <v/>
      </c>
      <c r="AA258" s="10">
        <f>IF(W258&gt;$AE$32,1,0)</f>
        <v/>
      </c>
      <c r="AB258">
        <f>IF(AA258=C258,1,0)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$AE$12+D259*$AE$13+E259*$AE$14+F259*$AE$15+G259*$AE$16+H259*$AE$17+I259*$AE$18+J259*$AE$19+K259*$AE$20+L259*$AE$21+M259*$AE$22+N259*$AE$23+O259*$AE$24+P259*$AE$25+Q259*$AE$26+R259*$AE$27+S259*$AE$28+T259*$AE$29+U259*$AE$30</f>
        <v/>
      </c>
      <c r="W259" s="8">
        <f>1/(1+EXP(-V259))</f>
        <v/>
      </c>
      <c r="X259" s="9">
        <f>-IF(C259=1,LN(W259),LN(1-W259))</f>
        <v/>
      </c>
      <c r="Y259" s="8">
        <f>1</f>
        <v/>
      </c>
      <c r="Z259" s="9">
        <f>Y259*X259</f>
        <v/>
      </c>
      <c r="AA259" s="10">
        <f>IF(W259&gt;$AE$32,1,0)</f>
        <v/>
      </c>
      <c r="AB259">
        <f>IF(AA259=C259,1,0)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$AE$12+D260*$AE$13+E260*$AE$14+F260*$AE$15+G260*$AE$16+H260*$AE$17+I260*$AE$18+J260*$AE$19+K260*$AE$20+L260*$AE$21+M260*$AE$22+N260*$AE$23+O260*$AE$24+P260*$AE$25+Q260*$AE$26+R260*$AE$27+S260*$AE$28+T260*$AE$29+U260*$AE$30</f>
        <v/>
      </c>
      <c r="W260" s="8">
        <f>1/(1+EXP(-V260))</f>
        <v/>
      </c>
      <c r="X260" s="9">
        <f>-IF(C260=1,LN(W260),LN(1-W260))</f>
        <v/>
      </c>
      <c r="Y260" s="8">
        <f>1</f>
        <v/>
      </c>
      <c r="Z260" s="9">
        <f>Y260*X260</f>
        <v/>
      </c>
      <c r="AA260" s="10">
        <f>IF(W260&gt;$AE$32,1,0)</f>
        <v/>
      </c>
      <c r="AB260">
        <f>IF(AA260=C260,1,0)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$AE$12+D261*$AE$13+E261*$AE$14+F261*$AE$15+G261*$AE$16+H261*$AE$17+I261*$AE$18+J261*$AE$19+K261*$AE$20+L261*$AE$21+M261*$AE$22+N261*$AE$23+O261*$AE$24+P261*$AE$25+Q261*$AE$26+R261*$AE$27+S261*$AE$28+T261*$AE$29+U261*$AE$30</f>
        <v/>
      </c>
      <c r="W261" s="8">
        <f>1/(1+EXP(-V261))</f>
        <v/>
      </c>
      <c r="X261" s="9">
        <f>-IF(C261=1,LN(W261),LN(1-W261))</f>
        <v/>
      </c>
      <c r="Y261" s="8">
        <f>1</f>
        <v/>
      </c>
      <c r="Z261" s="9">
        <f>Y261*X261</f>
        <v/>
      </c>
      <c r="AA261" s="10">
        <f>IF(W261&gt;$AE$32,1,0)</f>
        <v/>
      </c>
      <c r="AB261">
        <f>IF(AA261=C261,1,0)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$AE$12+D262*$AE$13+E262*$AE$14+F262*$AE$15+G262*$AE$16+H262*$AE$17+I262*$AE$18+J262*$AE$19+K262*$AE$20+L262*$AE$21+M262*$AE$22+N262*$AE$23+O262*$AE$24+P262*$AE$25+Q262*$AE$26+R262*$AE$27+S262*$AE$28+T262*$AE$29+U262*$AE$30</f>
        <v/>
      </c>
      <c r="W262" s="8">
        <f>1/(1+EXP(-V262))</f>
        <v/>
      </c>
      <c r="X262" s="9">
        <f>-IF(C262=1,LN(W262),LN(1-W262))</f>
        <v/>
      </c>
      <c r="Y262" s="8">
        <f>1</f>
        <v/>
      </c>
      <c r="Z262" s="9">
        <f>Y262*X262</f>
        <v/>
      </c>
      <c r="AA262" s="10">
        <f>IF(W262&gt;$AE$32,1,0)</f>
        <v/>
      </c>
      <c r="AB262">
        <f>IF(AA262=C262,1,0)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$AE$12+D263*$AE$13+E263*$AE$14+F263*$AE$15+G263*$AE$16+H263*$AE$17+I263*$AE$18+J263*$AE$19+K263*$AE$20+L263*$AE$21+M263*$AE$22+N263*$AE$23+O263*$AE$24+P263*$AE$25+Q263*$AE$26+R263*$AE$27+S263*$AE$28+T263*$AE$29+U263*$AE$30</f>
        <v/>
      </c>
      <c r="W263" s="8">
        <f>1/(1+EXP(-V263))</f>
        <v/>
      </c>
      <c r="X263" s="9">
        <f>-IF(C263=1,LN(W263),LN(1-W263))</f>
        <v/>
      </c>
      <c r="Y263" s="8">
        <f>1</f>
        <v/>
      </c>
      <c r="Z263" s="9">
        <f>Y263*X263</f>
        <v/>
      </c>
      <c r="AA263" s="10">
        <f>IF(W263&gt;$AE$32,1,0)</f>
        <v/>
      </c>
      <c r="AB263">
        <f>IF(AA263=C263,1,0)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$AE$12+D264*$AE$13+E264*$AE$14+F264*$AE$15+G264*$AE$16+H264*$AE$17+I264*$AE$18+J264*$AE$19+K264*$AE$20+L264*$AE$21+M264*$AE$22+N264*$AE$23+O264*$AE$24+P264*$AE$25+Q264*$AE$26+R264*$AE$27+S264*$AE$28+T264*$AE$29+U264*$AE$30</f>
        <v/>
      </c>
      <c r="W264" s="8">
        <f>1/(1+EXP(-V264))</f>
        <v/>
      </c>
      <c r="X264" s="9">
        <f>-IF(C264=1,LN(W264),LN(1-W264))</f>
        <v/>
      </c>
      <c r="Y264" s="8">
        <f>1</f>
        <v/>
      </c>
      <c r="Z264" s="9">
        <f>Y264*X264</f>
        <v/>
      </c>
      <c r="AA264" s="10">
        <f>IF(W264&gt;$AE$32,1,0)</f>
        <v/>
      </c>
      <c r="AB264">
        <f>IF(AA264=C264,1,0)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$AE$12+D265*$AE$13+E265*$AE$14+F265*$AE$15+G265*$AE$16+H265*$AE$17+I265*$AE$18+J265*$AE$19+K265*$AE$20+L265*$AE$21+M265*$AE$22+N265*$AE$23+O265*$AE$24+P265*$AE$25+Q265*$AE$26+R265*$AE$27+S265*$AE$28+T265*$AE$29+U265*$AE$30</f>
        <v/>
      </c>
      <c r="W265" s="8">
        <f>1/(1+EXP(-V265))</f>
        <v/>
      </c>
      <c r="X265" s="9">
        <f>-IF(C265=1,LN(W265),LN(1-W265))</f>
        <v/>
      </c>
      <c r="Y265" s="8">
        <f>1</f>
        <v/>
      </c>
      <c r="Z265" s="9">
        <f>Y265*X265</f>
        <v/>
      </c>
      <c r="AA265" s="10">
        <f>IF(W265&gt;$AE$32,1,0)</f>
        <v/>
      </c>
      <c r="AB265">
        <f>IF(AA265=C265,1,0)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$AE$12+D266*$AE$13+E266*$AE$14+F266*$AE$15+G266*$AE$16+H266*$AE$17+I266*$AE$18+J266*$AE$19+K266*$AE$20+L266*$AE$21+M266*$AE$22+N266*$AE$23+O266*$AE$24+P266*$AE$25+Q266*$AE$26+R266*$AE$27+S266*$AE$28+T266*$AE$29+U266*$AE$30</f>
        <v/>
      </c>
      <c r="W266" s="8">
        <f>1/(1+EXP(-V266))</f>
        <v/>
      </c>
      <c r="X266" s="9">
        <f>-IF(C266=1,LN(W266),LN(1-W266))</f>
        <v/>
      </c>
      <c r="Y266" s="8">
        <f>1</f>
        <v/>
      </c>
      <c r="Z266" s="9">
        <f>Y266*X266</f>
        <v/>
      </c>
      <c r="AA266" s="10">
        <f>IF(W266&gt;$AE$32,1,0)</f>
        <v/>
      </c>
      <c r="AB266">
        <f>IF(AA266=C266,1,0)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$AE$12+D267*$AE$13+E267*$AE$14+F267*$AE$15+G267*$AE$16+H267*$AE$17+I267*$AE$18+J267*$AE$19+K267*$AE$20+L267*$AE$21+M267*$AE$22+N267*$AE$23+O267*$AE$24+P267*$AE$25+Q267*$AE$26+R267*$AE$27+S267*$AE$28+T267*$AE$29+U267*$AE$30</f>
        <v/>
      </c>
      <c r="W267" s="8">
        <f>1/(1+EXP(-V267))</f>
        <v/>
      </c>
      <c r="X267" s="9">
        <f>-IF(C267=1,LN(W267),LN(1-W267))</f>
        <v/>
      </c>
      <c r="Y267" s="8">
        <f>1</f>
        <v/>
      </c>
      <c r="Z267" s="9">
        <f>Y267*X267</f>
        <v/>
      </c>
      <c r="AA267" s="10">
        <f>IF(W267&gt;$AE$32,1,0)</f>
        <v/>
      </c>
      <c r="AB267">
        <f>IF(AA267=C267,1,0)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$AE$12+D268*$AE$13+E268*$AE$14+F268*$AE$15+G268*$AE$16+H268*$AE$17+I268*$AE$18+J268*$AE$19+K268*$AE$20+L268*$AE$21+M268*$AE$22+N268*$AE$23+O268*$AE$24+P268*$AE$25+Q268*$AE$26+R268*$AE$27+S268*$AE$28+T268*$AE$29+U268*$AE$30</f>
        <v/>
      </c>
      <c r="W268" s="8">
        <f>1/(1+EXP(-V268))</f>
        <v/>
      </c>
      <c r="X268" s="9">
        <f>-IF(C268=1,LN(W268),LN(1-W268))</f>
        <v/>
      </c>
      <c r="Y268" s="8">
        <f>1</f>
        <v/>
      </c>
      <c r="Z268" s="9">
        <f>Y268*X268</f>
        <v/>
      </c>
      <c r="AA268" s="10">
        <f>IF(W268&gt;$AE$32,1,0)</f>
        <v/>
      </c>
      <c r="AB268">
        <f>IF(AA268=C268,1,0)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$AE$12+D269*$AE$13+E269*$AE$14+F269*$AE$15+G269*$AE$16+H269*$AE$17+I269*$AE$18+J269*$AE$19+K269*$AE$20+L269*$AE$21+M269*$AE$22+N269*$AE$23+O269*$AE$24+P269*$AE$25+Q269*$AE$26+R269*$AE$27+S269*$AE$28+T269*$AE$29+U269*$AE$30</f>
        <v/>
      </c>
      <c r="W269" s="8">
        <f>1/(1+EXP(-V269))</f>
        <v/>
      </c>
      <c r="X269" s="9">
        <f>-IF(C269=1,LN(W269),LN(1-W269))</f>
        <v/>
      </c>
      <c r="Y269" s="8">
        <f>1</f>
        <v/>
      </c>
      <c r="Z269" s="9">
        <f>Y269*X269</f>
        <v/>
      </c>
      <c r="AA269" s="10">
        <f>IF(W269&gt;$AE$32,1,0)</f>
        <v/>
      </c>
      <c r="AB269">
        <f>IF(AA269=C269,1,0)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$AE$12+D270*$AE$13+E270*$AE$14+F270*$AE$15+G270*$AE$16+H270*$AE$17+I270*$AE$18+J270*$AE$19+K270*$AE$20+L270*$AE$21+M270*$AE$22+N270*$AE$23+O270*$AE$24+P270*$AE$25+Q270*$AE$26+R270*$AE$27+S270*$AE$28+T270*$AE$29+U270*$AE$30</f>
        <v/>
      </c>
      <c r="W270" s="8">
        <f>1/(1+EXP(-V270))</f>
        <v/>
      </c>
      <c r="X270" s="9">
        <f>-IF(C270=1,LN(W270),LN(1-W270))</f>
        <v/>
      </c>
      <c r="Y270" s="8">
        <f>1</f>
        <v/>
      </c>
      <c r="Z270" s="9">
        <f>Y270*X270</f>
        <v/>
      </c>
      <c r="AA270" s="10">
        <f>IF(W270&gt;$AE$32,1,0)</f>
        <v/>
      </c>
      <c r="AB270">
        <f>IF(AA270=C270,1,0)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$AE$12+D271*$AE$13+E271*$AE$14+F271*$AE$15+G271*$AE$16+H271*$AE$17+I271*$AE$18+J271*$AE$19+K271*$AE$20+L271*$AE$21+M271*$AE$22+N271*$AE$23+O271*$AE$24+P271*$AE$25+Q271*$AE$26+R271*$AE$27+S271*$AE$28+T271*$AE$29+U271*$AE$30</f>
        <v/>
      </c>
      <c r="W271" s="8">
        <f>1/(1+EXP(-V271))</f>
        <v/>
      </c>
      <c r="X271" s="9">
        <f>-IF(C271=1,LN(W271),LN(1-W271))</f>
        <v/>
      </c>
      <c r="Y271" s="8">
        <f>1</f>
        <v/>
      </c>
      <c r="Z271" s="9">
        <f>Y271*X271</f>
        <v/>
      </c>
      <c r="AA271" s="10">
        <f>IF(W271&gt;$AE$32,1,0)</f>
        <v/>
      </c>
      <c r="AB271">
        <f>IF(AA271=C271,1,0)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$AE$12+D272*$AE$13+E272*$AE$14+F272*$AE$15+G272*$AE$16+H272*$AE$17+I272*$AE$18+J272*$AE$19+K272*$AE$20+L272*$AE$21+M272*$AE$22+N272*$AE$23+O272*$AE$24+P272*$AE$25+Q272*$AE$26+R272*$AE$27+S272*$AE$28+T272*$AE$29+U272*$AE$30</f>
        <v/>
      </c>
      <c r="W272" s="8">
        <f>1/(1+EXP(-V272))</f>
        <v/>
      </c>
      <c r="X272" s="9">
        <f>-IF(C272=1,LN(W272),LN(1-W272))</f>
        <v/>
      </c>
      <c r="Y272" s="8">
        <f>1</f>
        <v/>
      </c>
      <c r="Z272" s="9">
        <f>Y272*X272</f>
        <v/>
      </c>
      <c r="AA272" s="10">
        <f>IF(W272&gt;$AE$32,1,0)</f>
        <v/>
      </c>
      <c r="AB272">
        <f>IF(AA272=C272,1,0)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$AE$12+D273*$AE$13+E273*$AE$14+F273*$AE$15+G273*$AE$16+H273*$AE$17+I273*$AE$18+J273*$AE$19+K273*$AE$20+L273*$AE$21+M273*$AE$22+N273*$AE$23+O273*$AE$24+P273*$AE$25+Q273*$AE$26+R273*$AE$27+S273*$AE$28+T273*$AE$29+U273*$AE$30</f>
        <v/>
      </c>
      <c r="W273" s="8">
        <f>1/(1+EXP(-V273))</f>
        <v/>
      </c>
      <c r="X273" s="9">
        <f>-IF(C273=1,LN(W273),LN(1-W273))</f>
        <v/>
      </c>
      <c r="Y273" s="8">
        <f>1</f>
        <v/>
      </c>
      <c r="Z273" s="9">
        <f>Y273*X273</f>
        <v/>
      </c>
      <c r="AA273" s="10">
        <f>IF(W273&gt;$AE$32,1,0)</f>
        <v/>
      </c>
      <c r="AB273">
        <f>IF(AA273=C273,1,0)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$AE$12+D274*$AE$13+E274*$AE$14+F274*$AE$15+G274*$AE$16+H274*$AE$17+I274*$AE$18+J274*$AE$19+K274*$AE$20+L274*$AE$21+M274*$AE$22+N274*$AE$23+O274*$AE$24+P274*$AE$25+Q274*$AE$26+R274*$AE$27+S274*$AE$28+T274*$AE$29+U274*$AE$30</f>
        <v/>
      </c>
      <c r="W274" s="8">
        <f>1/(1+EXP(-V274))</f>
        <v/>
      </c>
      <c r="X274" s="9">
        <f>-IF(C274=1,LN(W274),LN(1-W274))</f>
        <v/>
      </c>
      <c r="Y274" s="8">
        <f>1</f>
        <v/>
      </c>
      <c r="Z274" s="9">
        <f>Y274*X274</f>
        <v/>
      </c>
      <c r="AA274" s="10">
        <f>IF(W274&gt;$AE$32,1,0)</f>
        <v/>
      </c>
      <c r="AB274">
        <f>IF(AA274=C274,1,0)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$AE$12+D275*$AE$13+E275*$AE$14+F275*$AE$15+G275*$AE$16+H275*$AE$17+I275*$AE$18+J275*$AE$19+K275*$AE$20+L275*$AE$21+M275*$AE$22+N275*$AE$23+O275*$AE$24+P275*$AE$25+Q275*$AE$26+R275*$AE$27+S275*$AE$28+T275*$AE$29+U275*$AE$30</f>
        <v/>
      </c>
      <c r="W275" s="8">
        <f>1/(1+EXP(-V275))</f>
        <v/>
      </c>
      <c r="X275" s="9">
        <f>-IF(C275=1,LN(W275),LN(1-W275))</f>
        <v/>
      </c>
      <c r="Y275" s="8">
        <f>1</f>
        <v/>
      </c>
      <c r="Z275" s="9">
        <f>Y275*X275</f>
        <v/>
      </c>
      <c r="AA275" s="10">
        <f>IF(W275&gt;$AE$32,1,0)</f>
        <v/>
      </c>
      <c r="AB275">
        <f>IF(AA275=C275,1,0)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$AE$12+D276*$AE$13+E276*$AE$14+F276*$AE$15+G276*$AE$16+H276*$AE$17+I276*$AE$18+J276*$AE$19+K276*$AE$20+L276*$AE$21+M276*$AE$22+N276*$AE$23+O276*$AE$24+P276*$AE$25+Q276*$AE$26+R276*$AE$27+S276*$AE$28+T276*$AE$29+U276*$AE$30</f>
        <v/>
      </c>
      <c r="W276" s="8">
        <f>1/(1+EXP(-V276))</f>
        <v/>
      </c>
      <c r="X276" s="9">
        <f>-IF(C276=1,LN(W276),LN(1-W276))</f>
        <v/>
      </c>
      <c r="Y276" s="8">
        <f>1</f>
        <v/>
      </c>
      <c r="Z276" s="9">
        <f>Y276*X276</f>
        <v/>
      </c>
      <c r="AA276" s="10">
        <f>IF(W276&gt;$AE$32,1,0)</f>
        <v/>
      </c>
      <c r="AB276">
        <f>IF(AA276=C276,1,0)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$AE$12+D277*$AE$13+E277*$AE$14+F277*$AE$15+G277*$AE$16+H277*$AE$17+I277*$AE$18+J277*$AE$19+K277*$AE$20+L277*$AE$21+M277*$AE$22+N277*$AE$23+O277*$AE$24+P277*$AE$25+Q277*$AE$26+R277*$AE$27+S277*$AE$28+T277*$AE$29+U277*$AE$30</f>
        <v/>
      </c>
      <c r="W277" s="8">
        <f>1/(1+EXP(-V277))</f>
        <v/>
      </c>
      <c r="X277" s="9">
        <f>-IF(C277=1,LN(W277),LN(1-W277))</f>
        <v/>
      </c>
      <c r="Y277" s="8">
        <f>1</f>
        <v/>
      </c>
      <c r="Z277" s="9">
        <f>Y277*X277</f>
        <v/>
      </c>
      <c r="AA277" s="10">
        <f>IF(W277&gt;$AE$32,1,0)</f>
        <v/>
      </c>
      <c r="AB277">
        <f>IF(AA277=C277,1,0)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$AE$12+D278*$AE$13+E278*$AE$14+F278*$AE$15+G278*$AE$16+H278*$AE$17+I278*$AE$18+J278*$AE$19+K278*$AE$20+L278*$AE$21+M278*$AE$22+N278*$AE$23+O278*$AE$24+P278*$AE$25+Q278*$AE$26+R278*$AE$27+S278*$AE$28+T278*$AE$29+U278*$AE$30</f>
        <v/>
      </c>
      <c r="W278" s="8">
        <f>1/(1+EXP(-V278))</f>
        <v/>
      </c>
      <c r="X278" s="9">
        <f>-IF(C278=1,LN(W278),LN(1-W278))</f>
        <v/>
      </c>
      <c r="Y278" s="8">
        <f>1</f>
        <v/>
      </c>
      <c r="Z278" s="9">
        <f>Y278*X278</f>
        <v/>
      </c>
      <c r="AA278" s="10">
        <f>IF(W278&gt;$AE$32,1,0)</f>
        <v/>
      </c>
      <c r="AB278">
        <f>IF(AA278=C278,1,0)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$AE$12+D279*$AE$13+E279*$AE$14+F279*$AE$15+G279*$AE$16+H279*$AE$17+I279*$AE$18+J279*$AE$19+K279*$AE$20+L279*$AE$21+M279*$AE$22+N279*$AE$23+O279*$AE$24+P279*$AE$25+Q279*$AE$26+R279*$AE$27+S279*$AE$28+T279*$AE$29+U279*$AE$30</f>
        <v/>
      </c>
      <c r="W279" s="8">
        <f>1/(1+EXP(-V279))</f>
        <v/>
      </c>
      <c r="X279" s="9">
        <f>-IF(C279=1,LN(W279),LN(1-W279))</f>
        <v/>
      </c>
      <c r="Y279" s="8">
        <f>1</f>
        <v/>
      </c>
      <c r="Z279" s="9">
        <f>Y279*X279</f>
        <v/>
      </c>
      <c r="AA279" s="10">
        <f>IF(W279&gt;$AE$32,1,0)</f>
        <v/>
      </c>
      <c r="AB279">
        <f>IF(AA279=C279,1,0)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$AE$12+D280*$AE$13+E280*$AE$14+F280*$AE$15+G280*$AE$16+H280*$AE$17+I280*$AE$18+J280*$AE$19+K280*$AE$20+L280*$AE$21+M280*$AE$22+N280*$AE$23+O280*$AE$24+P280*$AE$25+Q280*$AE$26+R280*$AE$27+S280*$AE$28+T280*$AE$29+U280*$AE$30</f>
        <v/>
      </c>
      <c r="W280" s="8">
        <f>1/(1+EXP(-V280))</f>
        <v/>
      </c>
      <c r="X280" s="9">
        <f>-IF(C280=1,LN(W280),LN(1-W280))</f>
        <v/>
      </c>
      <c r="Y280" s="8">
        <f>1</f>
        <v/>
      </c>
      <c r="Z280" s="9">
        <f>Y280*X280</f>
        <v/>
      </c>
      <c r="AA280" s="10">
        <f>IF(W280&gt;$AE$32,1,0)</f>
        <v/>
      </c>
      <c r="AB280">
        <f>IF(AA280=C280,1,0)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$AE$12+D281*$AE$13+E281*$AE$14+F281*$AE$15+G281*$AE$16+H281*$AE$17+I281*$AE$18+J281*$AE$19+K281*$AE$20+L281*$AE$21+M281*$AE$22+N281*$AE$23+O281*$AE$24+P281*$AE$25+Q281*$AE$26+R281*$AE$27+S281*$AE$28+T281*$AE$29+U281*$AE$30</f>
        <v/>
      </c>
      <c r="W281" s="8">
        <f>1/(1+EXP(-V281))</f>
        <v/>
      </c>
      <c r="X281" s="9">
        <f>-IF(C281=1,LN(W281),LN(1-W281))</f>
        <v/>
      </c>
      <c r="Y281" s="8">
        <f>1</f>
        <v/>
      </c>
      <c r="Z281" s="9">
        <f>Y281*X281</f>
        <v/>
      </c>
      <c r="AA281" s="10">
        <f>IF(W281&gt;$AE$32,1,0)</f>
        <v/>
      </c>
      <c r="AB281">
        <f>IF(AA281=C281,1,0)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$AE$12+D282*$AE$13+E282*$AE$14+F282*$AE$15+G282*$AE$16+H282*$AE$17+I282*$AE$18+J282*$AE$19+K282*$AE$20+L282*$AE$21+M282*$AE$22+N282*$AE$23+O282*$AE$24+P282*$AE$25+Q282*$AE$26+R282*$AE$27+S282*$AE$28+T282*$AE$29+U282*$AE$30</f>
        <v/>
      </c>
      <c r="W282" s="8">
        <f>1/(1+EXP(-V282))</f>
        <v/>
      </c>
      <c r="X282" s="9">
        <f>-IF(C282=1,LN(W282),LN(1-W282))</f>
        <v/>
      </c>
      <c r="Y282" s="8">
        <f>1</f>
        <v/>
      </c>
      <c r="Z282" s="9">
        <f>Y282*X282</f>
        <v/>
      </c>
      <c r="AA282" s="10">
        <f>IF(W282&gt;$AE$32,1,0)</f>
        <v/>
      </c>
      <c r="AB282">
        <f>IF(AA282=C282,1,0)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$AE$12+D283*$AE$13+E283*$AE$14+F283*$AE$15+G283*$AE$16+H283*$AE$17+I283*$AE$18+J283*$AE$19+K283*$AE$20+L283*$AE$21+M283*$AE$22+N283*$AE$23+O283*$AE$24+P283*$AE$25+Q283*$AE$26+R283*$AE$27+S283*$AE$28+T283*$AE$29+U283*$AE$30</f>
        <v/>
      </c>
      <c r="W283" s="8">
        <f>1/(1+EXP(-V283))</f>
        <v/>
      </c>
      <c r="X283" s="9">
        <f>-IF(C283=1,LN(W283),LN(1-W283))</f>
        <v/>
      </c>
      <c r="Y283" s="8">
        <f>1</f>
        <v/>
      </c>
      <c r="Z283" s="9">
        <f>Y283*X283</f>
        <v/>
      </c>
      <c r="AA283" s="10">
        <f>IF(W283&gt;$AE$32,1,0)</f>
        <v/>
      </c>
      <c r="AB283">
        <f>IF(AA283=C283,1,0)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$AE$12+D284*$AE$13+E284*$AE$14+F284*$AE$15+G284*$AE$16+H284*$AE$17+I284*$AE$18+J284*$AE$19+K284*$AE$20+L284*$AE$21+M284*$AE$22+N284*$AE$23+O284*$AE$24+P284*$AE$25+Q284*$AE$26+R284*$AE$27+S284*$AE$28+T284*$AE$29+U284*$AE$30</f>
        <v/>
      </c>
      <c r="W284" s="8">
        <f>1/(1+EXP(-V284))</f>
        <v/>
      </c>
      <c r="X284" s="9">
        <f>-IF(C284=1,LN(W284),LN(1-W284))</f>
        <v/>
      </c>
      <c r="Y284" s="8">
        <f>1</f>
        <v/>
      </c>
      <c r="Z284" s="9">
        <f>Y284*X284</f>
        <v/>
      </c>
      <c r="AA284" s="10">
        <f>IF(W284&gt;$AE$32,1,0)</f>
        <v/>
      </c>
      <c r="AB284">
        <f>IF(AA284=C284,1,0)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$AE$12+D285*$AE$13+E285*$AE$14+F285*$AE$15+G285*$AE$16+H285*$AE$17+I285*$AE$18+J285*$AE$19+K285*$AE$20+L285*$AE$21+M285*$AE$22+N285*$AE$23+O285*$AE$24+P285*$AE$25+Q285*$AE$26+R285*$AE$27+S285*$AE$28+T285*$AE$29+U285*$AE$30</f>
        <v/>
      </c>
      <c r="W285" s="8">
        <f>1/(1+EXP(-V285))</f>
        <v/>
      </c>
      <c r="X285" s="9">
        <f>-IF(C285=1,LN(W285),LN(1-W285))</f>
        <v/>
      </c>
      <c r="Y285" s="8">
        <f>1</f>
        <v/>
      </c>
      <c r="Z285" s="9">
        <f>Y285*X285</f>
        <v/>
      </c>
      <c r="AA285" s="10">
        <f>IF(W285&gt;$AE$32,1,0)</f>
        <v/>
      </c>
      <c r="AB285">
        <f>IF(AA285=C285,1,0)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$AE$12+D286*$AE$13+E286*$AE$14+F286*$AE$15+G286*$AE$16+H286*$AE$17+I286*$AE$18+J286*$AE$19+K286*$AE$20+L286*$AE$21+M286*$AE$22+N286*$AE$23+O286*$AE$24+P286*$AE$25+Q286*$AE$26+R286*$AE$27+S286*$AE$28+T286*$AE$29+U286*$AE$30</f>
        <v/>
      </c>
      <c r="W286" s="8">
        <f>1/(1+EXP(-V286))</f>
        <v/>
      </c>
      <c r="X286" s="9">
        <f>-IF(C286=1,LN(W286),LN(1-W286))</f>
        <v/>
      </c>
      <c r="Y286" s="8">
        <f>1</f>
        <v/>
      </c>
      <c r="Z286" s="9">
        <f>Y286*X286</f>
        <v/>
      </c>
      <c r="AA286" s="10">
        <f>IF(W286&gt;$AE$32,1,0)</f>
        <v/>
      </c>
      <c r="AB286">
        <f>IF(AA286=C286,1,0)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$AE$12+D287*$AE$13+E287*$AE$14+F287*$AE$15+G287*$AE$16+H287*$AE$17+I287*$AE$18+J287*$AE$19+K287*$AE$20+L287*$AE$21+M287*$AE$22+N287*$AE$23+O287*$AE$24+P287*$AE$25+Q287*$AE$26+R287*$AE$27+S287*$AE$28+T287*$AE$29+U287*$AE$30</f>
        <v/>
      </c>
      <c r="W287" s="8">
        <f>1/(1+EXP(-V287))</f>
        <v/>
      </c>
      <c r="X287" s="9">
        <f>-IF(C287=1,LN(W287),LN(1-W287))</f>
        <v/>
      </c>
      <c r="Y287" s="8">
        <f>1</f>
        <v/>
      </c>
      <c r="Z287" s="9">
        <f>Y287*X287</f>
        <v/>
      </c>
      <c r="AA287" s="10">
        <f>IF(W287&gt;$AE$32,1,0)</f>
        <v/>
      </c>
      <c r="AB287">
        <f>IF(AA287=C287,1,0)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$AE$12+D288*$AE$13+E288*$AE$14+F288*$AE$15+G288*$AE$16+H288*$AE$17+I288*$AE$18+J288*$AE$19+K288*$AE$20+L288*$AE$21+M288*$AE$22+N288*$AE$23+O288*$AE$24+P288*$AE$25+Q288*$AE$26+R288*$AE$27+S288*$AE$28+T288*$AE$29+U288*$AE$30</f>
        <v/>
      </c>
      <c r="W288" s="8">
        <f>1/(1+EXP(-V288))</f>
        <v/>
      </c>
      <c r="X288" s="9">
        <f>-IF(C288=1,LN(W288),LN(1-W288))</f>
        <v/>
      </c>
      <c r="Y288" s="8">
        <f>1</f>
        <v/>
      </c>
      <c r="Z288" s="9">
        <f>Y288*X288</f>
        <v/>
      </c>
      <c r="AA288" s="10">
        <f>IF(W288&gt;$AE$32,1,0)</f>
        <v/>
      </c>
      <c r="AB288">
        <f>IF(AA288=C288,1,0)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$AE$12+D289*$AE$13+E289*$AE$14+F289*$AE$15+G289*$AE$16+H289*$AE$17+I289*$AE$18+J289*$AE$19+K289*$AE$20+L289*$AE$21+M289*$AE$22+N289*$AE$23+O289*$AE$24+P289*$AE$25+Q289*$AE$26+R289*$AE$27+S289*$AE$28+T289*$AE$29+U289*$AE$30</f>
        <v/>
      </c>
      <c r="W289" s="8">
        <f>1/(1+EXP(-V289))</f>
        <v/>
      </c>
      <c r="X289" s="9">
        <f>-IF(C289=1,LN(W289),LN(1-W289))</f>
        <v/>
      </c>
      <c r="Y289" s="8">
        <f>1</f>
        <v/>
      </c>
      <c r="Z289" s="9">
        <f>Y289*X289</f>
        <v/>
      </c>
      <c r="AA289" s="10">
        <f>IF(W289&gt;$AE$32,1,0)</f>
        <v/>
      </c>
      <c r="AB289">
        <f>IF(AA289=C289,1,0)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$AE$12+D290*$AE$13+E290*$AE$14+F290*$AE$15+G290*$AE$16+H290*$AE$17+I290*$AE$18+J290*$AE$19+K290*$AE$20+L290*$AE$21+M290*$AE$22+N290*$AE$23+O290*$AE$24+P290*$AE$25+Q290*$AE$26+R290*$AE$27+S290*$AE$28+T290*$AE$29+U290*$AE$30</f>
        <v/>
      </c>
      <c r="W290" s="8">
        <f>1/(1+EXP(-V290))</f>
        <v/>
      </c>
      <c r="X290" s="9">
        <f>-IF(C290=1,LN(W290),LN(1-W290))</f>
        <v/>
      </c>
      <c r="Y290" s="8">
        <f>1</f>
        <v/>
      </c>
      <c r="Z290" s="9">
        <f>Y290*X290</f>
        <v/>
      </c>
      <c r="AA290" s="10">
        <f>IF(W290&gt;$AE$32,1,0)</f>
        <v/>
      </c>
      <c r="AB290">
        <f>IF(AA290=C290,1,0)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$AE$12+D291*$AE$13+E291*$AE$14+F291*$AE$15+G291*$AE$16+H291*$AE$17+I291*$AE$18+J291*$AE$19+K291*$AE$20+L291*$AE$21+M291*$AE$22+N291*$AE$23+O291*$AE$24+P291*$AE$25+Q291*$AE$26+R291*$AE$27+S291*$AE$28+T291*$AE$29+U291*$AE$30</f>
        <v/>
      </c>
      <c r="W291" s="8">
        <f>1/(1+EXP(-V291))</f>
        <v/>
      </c>
      <c r="X291" s="9">
        <f>-IF(C291=1,LN(W291),LN(1-W291))</f>
        <v/>
      </c>
      <c r="Y291" s="8">
        <f>1</f>
        <v/>
      </c>
      <c r="Z291" s="9">
        <f>Y291*X291</f>
        <v/>
      </c>
      <c r="AA291" s="10">
        <f>IF(W291&gt;$AE$32,1,0)</f>
        <v/>
      </c>
      <c r="AB291">
        <f>IF(AA291=C291,1,0)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$AE$12+D292*$AE$13+E292*$AE$14+F292*$AE$15+G292*$AE$16+H292*$AE$17+I292*$AE$18+J292*$AE$19+K292*$AE$20+L292*$AE$21+M292*$AE$22+N292*$AE$23+O292*$AE$24+P292*$AE$25+Q292*$AE$26+R292*$AE$27+S292*$AE$28+T292*$AE$29+U292*$AE$30</f>
        <v/>
      </c>
      <c r="W292" s="8">
        <f>1/(1+EXP(-V292))</f>
        <v/>
      </c>
      <c r="X292" s="9">
        <f>-IF(C292=1,LN(W292),LN(1-W292))</f>
        <v/>
      </c>
      <c r="Y292" s="8">
        <f>1</f>
        <v/>
      </c>
      <c r="Z292" s="9">
        <f>Y292*X292</f>
        <v/>
      </c>
      <c r="AA292" s="10">
        <f>IF(W292&gt;$AE$32,1,0)</f>
        <v/>
      </c>
      <c r="AB292">
        <f>IF(AA292=C292,1,0)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$AE$12+D293*$AE$13+E293*$AE$14+F293*$AE$15+G293*$AE$16+H293*$AE$17+I293*$AE$18+J293*$AE$19+K293*$AE$20+L293*$AE$21+M293*$AE$22+N293*$AE$23+O293*$AE$24+P293*$AE$25+Q293*$AE$26+R293*$AE$27+S293*$AE$28+T293*$AE$29+U293*$AE$30</f>
        <v/>
      </c>
      <c r="W293" s="8">
        <f>1/(1+EXP(-V293))</f>
        <v/>
      </c>
      <c r="X293" s="9">
        <f>-IF(C293=1,LN(W293),LN(1-W293))</f>
        <v/>
      </c>
      <c r="Y293" s="8">
        <f>1</f>
        <v/>
      </c>
      <c r="Z293" s="9">
        <f>Y293*X293</f>
        <v/>
      </c>
      <c r="AA293" s="10">
        <f>IF(W293&gt;$AE$32,1,0)</f>
        <v/>
      </c>
      <c r="AB293">
        <f>IF(AA293=C293,1,0)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$AE$12+D294*$AE$13+E294*$AE$14+F294*$AE$15+G294*$AE$16+H294*$AE$17+I294*$AE$18+J294*$AE$19+K294*$AE$20+L294*$AE$21+M294*$AE$22+N294*$AE$23+O294*$AE$24+P294*$AE$25+Q294*$AE$26+R294*$AE$27+S294*$AE$28+T294*$AE$29+U294*$AE$30</f>
        <v/>
      </c>
      <c r="W294" s="8">
        <f>1/(1+EXP(-V294))</f>
        <v/>
      </c>
      <c r="X294" s="9">
        <f>-IF(C294=1,LN(W294),LN(1-W294))</f>
        <v/>
      </c>
      <c r="Y294" s="8">
        <f>1</f>
        <v/>
      </c>
      <c r="Z294" s="9">
        <f>Y294*X294</f>
        <v/>
      </c>
      <c r="AA294" s="10">
        <f>IF(W294&gt;$AE$32,1,0)</f>
        <v/>
      </c>
      <c r="AB294">
        <f>IF(AA294=C294,1,0)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$AE$12+D295*$AE$13+E295*$AE$14+F295*$AE$15+G295*$AE$16+H295*$AE$17+I295*$AE$18+J295*$AE$19+K295*$AE$20+L295*$AE$21+M295*$AE$22+N295*$AE$23+O295*$AE$24+P295*$AE$25+Q295*$AE$26+R295*$AE$27+S295*$AE$28+T295*$AE$29+U295*$AE$30</f>
        <v/>
      </c>
      <c r="W295" s="8">
        <f>1/(1+EXP(-V295))</f>
        <v/>
      </c>
      <c r="X295" s="9">
        <f>-IF(C295=1,LN(W295),LN(1-W295))</f>
        <v/>
      </c>
      <c r="Y295" s="8">
        <f>1</f>
        <v/>
      </c>
      <c r="Z295" s="9">
        <f>Y295*X295</f>
        <v/>
      </c>
      <c r="AA295" s="10">
        <f>IF(W295&gt;$AE$32,1,0)</f>
        <v/>
      </c>
      <c r="AB295">
        <f>IF(AA295=C295,1,0)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$AE$12+D296*$AE$13+E296*$AE$14+F296*$AE$15+G296*$AE$16+H296*$AE$17+I296*$AE$18+J296*$AE$19+K296*$AE$20+L296*$AE$21+M296*$AE$22+N296*$AE$23+O296*$AE$24+P296*$AE$25+Q296*$AE$26+R296*$AE$27+S296*$AE$28+T296*$AE$29+U296*$AE$30</f>
        <v/>
      </c>
      <c r="W296" s="8">
        <f>1/(1+EXP(-V296))</f>
        <v/>
      </c>
      <c r="X296" s="9">
        <f>-IF(C296=1,LN(W296),LN(1-W296))</f>
        <v/>
      </c>
      <c r="Y296" s="8">
        <f>1</f>
        <v/>
      </c>
      <c r="Z296" s="9">
        <f>Y296*X296</f>
        <v/>
      </c>
      <c r="AA296" s="10">
        <f>IF(W296&gt;$AE$32,1,0)</f>
        <v/>
      </c>
      <c r="AB296">
        <f>IF(AA296=C296,1,0)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$AE$12+D297*$AE$13+E297*$AE$14+F297*$AE$15+G297*$AE$16+H297*$AE$17+I297*$AE$18+J297*$AE$19+K297*$AE$20+L297*$AE$21+M297*$AE$22+N297*$AE$23+O297*$AE$24+P297*$AE$25+Q297*$AE$26+R297*$AE$27+S297*$AE$28+T297*$AE$29+U297*$AE$30</f>
        <v/>
      </c>
      <c r="W297" s="8">
        <f>1/(1+EXP(-V297))</f>
        <v/>
      </c>
      <c r="X297" s="9">
        <f>-IF(C297=1,LN(W297),LN(1-W297))</f>
        <v/>
      </c>
      <c r="Y297" s="8">
        <f>1</f>
        <v/>
      </c>
      <c r="Z297" s="9">
        <f>Y297*X297</f>
        <v/>
      </c>
      <c r="AA297" s="10">
        <f>IF(W297&gt;$AE$32,1,0)</f>
        <v/>
      </c>
      <c r="AB297">
        <f>IF(AA297=C297,1,0)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$AE$12+D298*$AE$13+E298*$AE$14+F298*$AE$15+G298*$AE$16+H298*$AE$17+I298*$AE$18+J298*$AE$19+K298*$AE$20+L298*$AE$21+M298*$AE$22+N298*$AE$23+O298*$AE$24+P298*$AE$25+Q298*$AE$26+R298*$AE$27+S298*$AE$28+T298*$AE$29+U298*$AE$30</f>
        <v/>
      </c>
      <c r="W298" s="8">
        <f>1/(1+EXP(-V298))</f>
        <v/>
      </c>
      <c r="X298" s="9">
        <f>-IF(C298=1,LN(W298),LN(1-W298))</f>
        <v/>
      </c>
      <c r="Y298" s="8">
        <f>1</f>
        <v/>
      </c>
      <c r="Z298" s="9">
        <f>Y298*X298</f>
        <v/>
      </c>
      <c r="AA298" s="10">
        <f>IF(W298&gt;$AE$32,1,0)</f>
        <v/>
      </c>
      <c r="AB298">
        <f>IF(AA298=C298,1,0)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$AE$12+D299*$AE$13+E299*$AE$14+F299*$AE$15+G299*$AE$16+H299*$AE$17+I299*$AE$18+J299*$AE$19+K299*$AE$20+L299*$AE$21+M299*$AE$22+N299*$AE$23+O299*$AE$24+P299*$AE$25+Q299*$AE$26+R299*$AE$27+S299*$AE$28+T299*$AE$29+U299*$AE$30</f>
        <v/>
      </c>
      <c r="W299" s="8">
        <f>1/(1+EXP(-V299))</f>
        <v/>
      </c>
      <c r="X299" s="9">
        <f>-IF(C299=1,LN(W299),LN(1-W299))</f>
        <v/>
      </c>
      <c r="Y299" s="8">
        <f>1</f>
        <v/>
      </c>
      <c r="Z299" s="9">
        <f>Y299*X299</f>
        <v/>
      </c>
      <c r="AA299" s="10">
        <f>IF(W299&gt;$AE$32,1,0)</f>
        <v/>
      </c>
      <c r="AB299">
        <f>IF(AA299=C299,1,0)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$AE$12+D300*$AE$13+E300*$AE$14+F300*$AE$15+G300*$AE$16+H300*$AE$17+I300*$AE$18+J300*$AE$19+K300*$AE$20+L300*$AE$21+M300*$AE$22+N300*$AE$23+O300*$AE$24+P300*$AE$25+Q300*$AE$26+R300*$AE$27+S300*$AE$28+T300*$AE$29+U300*$AE$30</f>
        <v/>
      </c>
      <c r="W300" s="8">
        <f>1/(1+EXP(-V300))</f>
        <v/>
      </c>
      <c r="X300" s="9">
        <f>-IF(C300=1,LN(W300),LN(1-W300))</f>
        <v/>
      </c>
      <c r="Y300" s="8">
        <f>1</f>
        <v/>
      </c>
      <c r="Z300" s="9">
        <f>Y300*X300</f>
        <v/>
      </c>
      <c r="AA300" s="10">
        <f>IF(W300&gt;$AE$32,1,0)</f>
        <v/>
      </c>
      <c r="AB300">
        <f>IF(AA300=C300,1,0)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$AE$12+D301*$AE$13+E301*$AE$14+F301*$AE$15+G301*$AE$16+H301*$AE$17+I301*$AE$18+J301*$AE$19+K301*$AE$20+L301*$AE$21+M301*$AE$22+N301*$AE$23+O301*$AE$24+P301*$AE$25+Q301*$AE$26+R301*$AE$27+S301*$AE$28+T301*$AE$29+U301*$AE$30</f>
        <v/>
      </c>
      <c r="W301" s="8">
        <f>1/(1+EXP(-V301))</f>
        <v/>
      </c>
      <c r="X301" s="9">
        <f>-IF(C301=1,LN(W301),LN(1-W301))</f>
        <v/>
      </c>
      <c r="Y301" s="8">
        <f>1</f>
        <v/>
      </c>
      <c r="Z301" s="9">
        <f>Y301*X301</f>
        <v/>
      </c>
      <c r="AA301" s="10">
        <f>IF(W301&gt;$AE$32,1,0)</f>
        <v/>
      </c>
      <c r="AB301">
        <f>IF(AA301=C301,1,0)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$AE$12+D302*$AE$13+E302*$AE$14+F302*$AE$15+G302*$AE$16+H302*$AE$17+I302*$AE$18+J302*$AE$19+K302*$AE$20+L302*$AE$21+M302*$AE$22+N302*$AE$23+O302*$AE$24+P302*$AE$25+Q302*$AE$26+R302*$AE$27+S302*$AE$28+T302*$AE$29+U302*$AE$30</f>
        <v/>
      </c>
      <c r="W302" s="8">
        <f>1/(1+EXP(-V302))</f>
        <v/>
      </c>
      <c r="X302" s="9">
        <f>-IF(C302=1,LN(W302),LN(1-W302))</f>
        <v/>
      </c>
      <c r="Y302" s="8">
        <f>1</f>
        <v/>
      </c>
      <c r="Z302" s="9">
        <f>Y302*X302</f>
        <v/>
      </c>
      <c r="AA302" s="10">
        <f>IF(W302&gt;$AE$32,1,0)</f>
        <v/>
      </c>
      <c r="AB302">
        <f>IF(AA302=C302,1,0)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$AE$12+D303*$AE$13+E303*$AE$14+F303*$AE$15+G303*$AE$16+H303*$AE$17+I303*$AE$18+J303*$AE$19+K303*$AE$20+L303*$AE$21+M303*$AE$22+N303*$AE$23+O303*$AE$24+P303*$AE$25+Q303*$AE$26+R303*$AE$27+S303*$AE$28+T303*$AE$29+U303*$AE$30</f>
        <v/>
      </c>
      <c r="W303" s="8">
        <f>1/(1+EXP(-V303))</f>
        <v/>
      </c>
      <c r="X303" s="9">
        <f>-IF(C303=1,LN(W303),LN(1-W303))</f>
        <v/>
      </c>
      <c r="Y303" s="8">
        <f>1</f>
        <v/>
      </c>
      <c r="Z303" s="9">
        <f>Y303*X303</f>
        <v/>
      </c>
      <c r="AA303" s="10">
        <f>IF(W303&gt;$AE$32,1,0)</f>
        <v/>
      </c>
      <c r="AB303">
        <f>IF(AA303=C303,1,0)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$AE$12+D304*$AE$13+E304*$AE$14+F304*$AE$15+G304*$AE$16+H304*$AE$17+I304*$AE$18+J304*$AE$19+K304*$AE$20+L304*$AE$21+M304*$AE$22+N304*$AE$23+O304*$AE$24+P304*$AE$25+Q304*$AE$26+R304*$AE$27+S304*$AE$28+T304*$AE$29+U304*$AE$30</f>
        <v/>
      </c>
      <c r="W304" s="8">
        <f>1/(1+EXP(-V304))</f>
        <v/>
      </c>
      <c r="X304" s="9">
        <f>-IF(C304=1,LN(W304),LN(1-W304))</f>
        <v/>
      </c>
      <c r="Y304" s="8">
        <f>1</f>
        <v/>
      </c>
      <c r="Z304" s="9">
        <f>Y304*X304</f>
        <v/>
      </c>
      <c r="AA304" s="10">
        <f>IF(W304&gt;$AE$32,1,0)</f>
        <v/>
      </c>
      <c r="AB304">
        <f>IF(AA304=C304,1,0)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$AE$12+D305*$AE$13+E305*$AE$14+F305*$AE$15+G305*$AE$16+H305*$AE$17+I305*$AE$18+J305*$AE$19+K305*$AE$20+L305*$AE$21+M305*$AE$22+N305*$AE$23+O305*$AE$24+P305*$AE$25+Q305*$AE$26+R305*$AE$27+S305*$AE$28+T305*$AE$29+U305*$AE$30</f>
        <v/>
      </c>
      <c r="W305" s="8">
        <f>1/(1+EXP(-V305))</f>
        <v/>
      </c>
      <c r="X305" s="9">
        <f>-IF(C305=1,LN(W305),LN(1-W305))</f>
        <v/>
      </c>
      <c r="Y305" s="8">
        <f>1</f>
        <v/>
      </c>
      <c r="Z305" s="9">
        <f>Y305*X305</f>
        <v/>
      </c>
      <c r="AA305" s="10">
        <f>IF(W305&gt;$AE$32,1,0)</f>
        <v/>
      </c>
      <c r="AB305">
        <f>IF(AA305=C305,1,0)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$AE$12+D306*$AE$13+E306*$AE$14+F306*$AE$15+G306*$AE$16+H306*$AE$17+I306*$AE$18+J306*$AE$19+K306*$AE$20+L306*$AE$21+M306*$AE$22+N306*$AE$23+O306*$AE$24+P306*$AE$25+Q306*$AE$26+R306*$AE$27+S306*$AE$28+T306*$AE$29+U306*$AE$30</f>
        <v/>
      </c>
      <c r="W306" s="8">
        <f>1/(1+EXP(-V306))</f>
        <v/>
      </c>
      <c r="X306" s="9">
        <f>-IF(C306=1,LN(W306),LN(1-W306))</f>
        <v/>
      </c>
      <c r="Y306" s="8">
        <f>1</f>
        <v/>
      </c>
      <c r="Z306" s="9">
        <f>Y306*X306</f>
        <v/>
      </c>
      <c r="AA306" s="10">
        <f>IF(W306&gt;$AE$32,1,0)</f>
        <v/>
      </c>
      <c r="AB306">
        <f>IF(AA306=C306,1,0)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$AE$12+D307*$AE$13+E307*$AE$14+F307*$AE$15+G307*$AE$16+H307*$AE$17+I307*$AE$18+J307*$AE$19+K307*$AE$20+L307*$AE$21+M307*$AE$22+N307*$AE$23+O307*$AE$24+P307*$AE$25+Q307*$AE$26+R307*$AE$27+S307*$AE$28+T307*$AE$29+U307*$AE$30</f>
        <v/>
      </c>
      <c r="W307" s="8">
        <f>1/(1+EXP(-V307))</f>
        <v/>
      </c>
      <c r="X307" s="9">
        <f>-IF(C307=1,LN(W307),LN(1-W307))</f>
        <v/>
      </c>
      <c r="Y307" s="8">
        <f>1</f>
        <v/>
      </c>
      <c r="Z307" s="9">
        <f>Y307*X307</f>
        <v/>
      </c>
      <c r="AA307" s="10">
        <f>IF(W307&gt;$AE$32,1,0)</f>
        <v/>
      </c>
      <c r="AB307">
        <f>IF(AA307=C307,1,0)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$AE$12+D308*$AE$13+E308*$AE$14+F308*$AE$15+G308*$AE$16+H308*$AE$17+I308*$AE$18+J308*$AE$19+K308*$AE$20+L308*$AE$21+M308*$AE$22+N308*$AE$23+O308*$AE$24+P308*$AE$25+Q308*$AE$26+R308*$AE$27+S308*$AE$28+T308*$AE$29+U308*$AE$30</f>
        <v/>
      </c>
      <c r="W308" s="8">
        <f>1/(1+EXP(-V308))</f>
        <v/>
      </c>
      <c r="X308" s="9">
        <f>-IF(C308=1,LN(W308),LN(1-W308))</f>
        <v/>
      </c>
      <c r="Y308" s="8">
        <f>1</f>
        <v/>
      </c>
      <c r="Z308" s="9">
        <f>Y308*X308</f>
        <v/>
      </c>
      <c r="AA308" s="10">
        <f>IF(W308&gt;$AE$32,1,0)</f>
        <v/>
      </c>
      <c r="AB308">
        <f>IF(AA308=C308,1,0)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$AE$12+D309*$AE$13+E309*$AE$14+F309*$AE$15+G309*$AE$16+H309*$AE$17+I309*$AE$18+J309*$AE$19+K309*$AE$20+L309*$AE$21+M309*$AE$22+N309*$AE$23+O309*$AE$24+P309*$AE$25+Q309*$AE$26+R309*$AE$27+S309*$AE$28+T309*$AE$29+U309*$AE$30</f>
        <v/>
      </c>
      <c r="W309" s="8">
        <f>1/(1+EXP(-V309))</f>
        <v/>
      </c>
      <c r="X309" s="9">
        <f>-IF(C309=1,LN(W309),LN(1-W309))</f>
        <v/>
      </c>
      <c r="Y309" s="8">
        <f>1</f>
        <v/>
      </c>
      <c r="Z309" s="9">
        <f>Y309*X309</f>
        <v/>
      </c>
      <c r="AA309" s="10">
        <f>IF(W309&gt;$AE$32,1,0)</f>
        <v/>
      </c>
      <c r="AB309">
        <f>IF(AA309=C309,1,0)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$AE$12+D310*$AE$13+E310*$AE$14+F310*$AE$15+G310*$AE$16+H310*$AE$17+I310*$AE$18+J310*$AE$19+K310*$AE$20+L310*$AE$21+M310*$AE$22+N310*$AE$23+O310*$AE$24+P310*$AE$25+Q310*$AE$26+R310*$AE$27+S310*$AE$28+T310*$AE$29+U310*$AE$30</f>
        <v/>
      </c>
      <c r="W310" s="8">
        <f>1/(1+EXP(-V310))</f>
        <v/>
      </c>
      <c r="X310" s="9">
        <f>-IF(C310=1,LN(W310),LN(1-W310))</f>
        <v/>
      </c>
      <c r="Y310" s="8">
        <f>1</f>
        <v/>
      </c>
      <c r="Z310" s="9">
        <f>Y310*X310</f>
        <v/>
      </c>
      <c r="AA310" s="10">
        <f>IF(W310&gt;$AE$32,1,0)</f>
        <v/>
      </c>
      <c r="AB310">
        <f>IF(AA310=C310,1,0)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$AE$12+D311*$AE$13+E311*$AE$14+F311*$AE$15+G311*$AE$16+H311*$AE$17+I311*$AE$18+J311*$AE$19+K311*$AE$20+L311*$AE$21+M311*$AE$22+N311*$AE$23+O311*$AE$24+P311*$AE$25+Q311*$AE$26+R311*$AE$27+S311*$AE$28+T311*$AE$29+U311*$AE$30</f>
        <v/>
      </c>
      <c r="W311" s="8">
        <f>1/(1+EXP(-V311))</f>
        <v/>
      </c>
      <c r="X311" s="9">
        <f>-IF(C311=1,LN(W311),LN(1-W311))</f>
        <v/>
      </c>
      <c r="Y311" s="8">
        <f>1</f>
        <v/>
      </c>
      <c r="Z311" s="9">
        <f>Y311*X311</f>
        <v/>
      </c>
      <c r="AA311" s="10">
        <f>IF(W311&gt;$AE$32,1,0)</f>
        <v/>
      </c>
      <c r="AB311">
        <f>IF(AA311=C311,1,0)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$AE$12+D312*$AE$13+E312*$AE$14+F312*$AE$15+G312*$AE$16+H312*$AE$17+I312*$AE$18+J312*$AE$19+K312*$AE$20+L312*$AE$21+M312*$AE$22+N312*$AE$23+O312*$AE$24+P312*$AE$25+Q312*$AE$26+R312*$AE$27+S312*$AE$28+T312*$AE$29+U312*$AE$30</f>
        <v/>
      </c>
      <c r="W312" s="8">
        <f>1/(1+EXP(-V312))</f>
        <v/>
      </c>
      <c r="X312" s="9">
        <f>-IF(C312=1,LN(W312),LN(1-W312))</f>
        <v/>
      </c>
      <c r="Y312" s="8">
        <f>1</f>
        <v/>
      </c>
      <c r="Z312" s="9">
        <f>Y312*X312</f>
        <v/>
      </c>
      <c r="AA312" s="10">
        <f>IF(W312&gt;$AE$32,1,0)</f>
        <v/>
      </c>
      <c r="AB312">
        <f>IF(AA312=C312,1,0)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$AE$12+D313*$AE$13+E313*$AE$14+F313*$AE$15+G313*$AE$16+H313*$AE$17+I313*$AE$18+J313*$AE$19+K313*$AE$20+L313*$AE$21+M313*$AE$22+N313*$AE$23+O313*$AE$24+P313*$AE$25+Q313*$AE$26+R313*$AE$27+S313*$AE$28+T313*$AE$29+U313*$AE$30</f>
        <v/>
      </c>
      <c r="W313" s="8">
        <f>1/(1+EXP(-V313))</f>
        <v/>
      </c>
      <c r="X313" s="9">
        <f>-IF(C313=1,LN(W313),LN(1-W313))</f>
        <v/>
      </c>
      <c r="Y313" s="8">
        <f>1</f>
        <v/>
      </c>
      <c r="Z313" s="9">
        <f>Y313*X313</f>
        <v/>
      </c>
      <c r="AA313" s="10">
        <f>IF(W313&gt;$AE$32,1,0)</f>
        <v/>
      </c>
      <c r="AB313">
        <f>IF(AA313=C313,1,0)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$AE$12+D314*$AE$13+E314*$AE$14+F314*$AE$15+G314*$AE$16+H314*$AE$17+I314*$AE$18+J314*$AE$19+K314*$AE$20+L314*$AE$21+M314*$AE$22+N314*$AE$23+O314*$AE$24+P314*$AE$25+Q314*$AE$26+R314*$AE$27+S314*$AE$28+T314*$AE$29+U314*$AE$30</f>
        <v/>
      </c>
      <c r="W314" s="8">
        <f>1/(1+EXP(-V314))</f>
        <v/>
      </c>
      <c r="X314" s="9">
        <f>-IF(C314=1,LN(W314),LN(1-W314))</f>
        <v/>
      </c>
      <c r="Y314" s="8">
        <f>1</f>
        <v/>
      </c>
      <c r="Z314" s="9">
        <f>Y314*X314</f>
        <v/>
      </c>
      <c r="AA314" s="10">
        <f>IF(W314&gt;$AE$32,1,0)</f>
        <v/>
      </c>
      <c r="AB314">
        <f>IF(AA314=C314,1,0)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$AE$12+D315*$AE$13+E315*$AE$14+F315*$AE$15+G315*$AE$16+H315*$AE$17+I315*$AE$18+J315*$AE$19+K315*$AE$20+L315*$AE$21+M315*$AE$22+N315*$AE$23+O315*$AE$24+P315*$AE$25+Q315*$AE$26+R315*$AE$27+S315*$AE$28+T315*$AE$29+U315*$AE$30</f>
        <v/>
      </c>
      <c r="W315" s="8">
        <f>1/(1+EXP(-V315))</f>
        <v/>
      </c>
      <c r="X315" s="9">
        <f>-IF(C315=1,LN(W315),LN(1-W315))</f>
        <v/>
      </c>
      <c r="Y315" s="8">
        <f>1</f>
        <v/>
      </c>
      <c r="Z315" s="9">
        <f>Y315*X315</f>
        <v/>
      </c>
      <c r="AA315" s="10">
        <f>IF(W315&gt;$AE$32,1,0)</f>
        <v/>
      </c>
      <c r="AB315">
        <f>IF(AA315=C315,1,0)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$AE$12+D316*$AE$13+E316*$AE$14+F316*$AE$15+G316*$AE$16+H316*$AE$17+I316*$AE$18+J316*$AE$19+K316*$AE$20+L316*$AE$21+M316*$AE$22+N316*$AE$23+O316*$AE$24+P316*$AE$25+Q316*$AE$26+R316*$AE$27+S316*$AE$28+T316*$AE$29+U316*$AE$30</f>
        <v/>
      </c>
      <c r="W316" s="8">
        <f>1/(1+EXP(-V316))</f>
        <v/>
      </c>
      <c r="X316" s="9">
        <f>-IF(C316=1,LN(W316),LN(1-W316))</f>
        <v/>
      </c>
      <c r="Y316" s="8">
        <f>1</f>
        <v/>
      </c>
      <c r="Z316" s="9">
        <f>Y316*X316</f>
        <v/>
      </c>
      <c r="AA316" s="10">
        <f>IF(W316&gt;$AE$32,1,0)</f>
        <v/>
      </c>
      <c r="AB316">
        <f>IF(AA316=C316,1,0)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$AE$12+D317*$AE$13+E317*$AE$14+F317*$AE$15+G317*$AE$16+H317*$AE$17+I317*$AE$18+J317*$AE$19+K317*$AE$20+L317*$AE$21+M317*$AE$22+N317*$AE$23+O317*$AE$24+P317*$AE$25+Q317*$AE$26+R317*$AE$27+S317*$AE$28+T317*$AE$29+U317*$AE$30</f>
        <v/>
      </c>
      <c r="W317" s="8">
        <f>1/(1+EXP(-V317))</f>
        <v/>
      </c>
      <c r="X317" s="9">
        <f>-IF(C317=1,LN(W317),LN(1-W317))</f>
        <v/>
      </c>
      <c r="Y317" s="8">
        <f>1</f>
        <v/>
      </c>
      <c r="Z317" s="9">
        <f>Y317*X317</f>
        <v/>
      </c>
      <c r="AA317" s="10">
        <f>IF(W317&gt;$AE$32,1,0)</f>
        <v/>
      </c>
      <c r="AB317">
        <f>IF(AA317=C317,1,0)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$AE$12+D318*$AE$13+E318*$AE$14+F318*$AE$15+G318*$AE$16+H318*$AE$17+I318*$AE$18+J318*$AE$19+K318*$AE$20+L318*$AE$21+M318*$AE$22+N318*$AE$23+O318*$AE$24+P318*$AE$25+Q318*$AE$26+R318*$AE$27+S318*$AE$28+T318*$AE$29+U318*$AE$30</f>
        <v/>
      </c>
      <c r="W318" s="8">
        <f>1/(1+EXP(-V318))</f>
        <v/>
      </c>
      <c r="X318" s="9">
        <f>-IF(C318=1,LN(W318),LN(1-W318))</f>
        <v/>
      </c>
      <c r="Y318" s="8">
        <f>1</f>
        <v/>
      </c>
      <c r="Z318" s="9">
        <f>Y318*X318</f>
        <v/>
      </c>
      <c r="AA318" s="10">
        <f>IF(W318&gt;$AE$32,1,0)</f>
        <v/>
      </c>
      <c r="AB318">
        <f>IF(AA318=C318,1,0)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$AE$12+D319*$AE$13+E319*$AE$14+F319*$AE$15+G319*$AE$16+H319*$AE$17+I319*$AE$18+J319*$AE$19+K319*$AE$20+L319*$AE$21+M319*$AE$22+N319*$AE$23+O319*$AE$24+P319*$AE$25+Q319*$AE$26+R319*$AE$27+S319*$AE$28+T319*$AE$29+U319*$AE$30</f>
        <v/>
      </c>
      <c r="W319" s="8">
        <f>1/(1+EXP(-V319))</f>
        <v/>
      </c>
      <c r="X319" s="9">
        <f>-IF(C319=1,LN(W319),LN(1-W319))</f>
        <v/>
      </c>
      <c r="Y319" s="8">
        <f>1</f>
        <v/>
      </c>
      <c r="Z319" s="9">
        <f>Y319*X319</f>
        <v/>
      </c>
      <c r="AA319" s="10">
        <f>IF(W319&gt;$AE$32,1,0)</f>
        <v/>
      </c>
      <c r="AB319">
        <f>IF(AA319=C319,1,0)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$AE$12+D320*$AE$13+E320*$AE$14+F320*$AE$15+G320*$AE$16+H320*$AE$17+I320*$AE$18+J320*$AE$19+K320*$AE$20+L320*$AE$21+M320*$AE$22+N320*$AE$23+O320*$AE$24+P320*$AE$25+Q320*$AE$26+R320*$AE$27+S320*$AE$28+T320*$AE$29+U320*$AE$30</f>
        <v/>
      </c>
      <c r="W320" s="8">
        <f>1/(1+EXP(-V320))</f>
        <v/>
      </c>
      <c r="X320" s="9">
        <f>-IF(C320=1,LN(W320),LN(1-W320))</f>
        <v/>
      </c>
      <c r="Y320" s="8">
        <f>1</f>
        <v/>
      </c>
      <c r="Z320" s="9">
        <f>Y320*X320</f>
        <v/>
      </c>
      <c r="AA320" s="10">
        <f>IF(W320&gt;$AE$32,1,0)</f>
        <v/>
      </c>
      <c r="AB320">
        <f>IF(AA320=C320,1,0)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$AE$12+D321*$AE$13+E321*$AE$14+F321*$AE$15+G321*$AE$16+H321*$AE$17+I321*$AE$18+J321*$AE$19+K321*$AE$20+L321*$AE$21+M321*$AE$22+N321*$AE$23+O321*$AE$24+P321*$AE$25+Q321*$AE$26+R321*$AE$27+S321*$AE$28+T321*$AE$29+U321*$AE$30</f>
        <v/>
      </c>
      <c r="W321" s="8">
        <f>1/(1+EXP(-V321))</f>
        <v/>
      </c>
      <c r="X321" s="9">
        <f>-IF(C321=1,LN(W321),LN(1-W321))</f>
        <v/>
      </c>
      <c r="Y321" s="8">
        <f>1</f>
        <v/>
      </c>
      <c r="Z321" s="9">
        <f>Y321*X321</f>
        <v/>
      </c>
      <c r="AA321" s="10">
        <f>IF(W321&gt;$AE$32,1,0)</f>
        <v/>
      </c>
      <c r="AB321">
        <f>IF(AA321=C321,1,0)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$AE$12+D322*$AE$13+E322*$AE$14+F322*$AE$15+G322*$AE$16+H322*$AE$17+I322*$AE$18+J322*$AE$19+K322*$AE$20+L322*$AE$21+M322*$AE$22+N322*$AE$23+O322*$AE$24+P322*$AE$25+Q322*$AE$26+R322*$AE$27+S322*$AE$28+T322*$AE$29+U322*$AE$30</f>
        <v/>
      </c>
      <c r="W322" s="8">
        <f>1/(1+EXP(-V322))</f>
        <v/>
      </c>
      <c r="X322" s="9">
        <f>-IF(C322=1,LN(W322),LN(1-W322))</f>
        <v/>
      </c>
      <c r="Y322" s="8">
        <f>1</f>
        <v/>
      </c>
      <c r="Z322" s="9">
        <f>Y322*X322</f>
        <v/>
      </c>
      <c r="AA322" s="10">
        <f>IF(W322&gt;$AE$32,1,0)</f>
        <v/>
      </c>
      <c r="AB322">
        <f>IF(AA322=C322,1,0)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$AE$12+D323*$AE$13+E323*$AE$14+F323*$AE$15+G323*$AE$16+H323*$AE$17+I323*$AE$18+J323*$AE$19+K323*$AE$20+L323*$AE$21+M323*$AE$22+N323*$AE$23+O323*$AE$24+P323*$AE$25+Q323*$AE$26+R323*$AE$27+S323*$AE$28+T323*$AE$29+U323*$AE$30</f>
        <v/>
      </c>
      <c r="W323" s="8">
        <f>1/(1+EXP(-V323))</f>
        <v/>
      </c>
      <c r="X323" s="9">
        <f>-IF(C323=1,LN(W323),LN(1-W323))</f>
        <v/>
      </c>
      <c r="Y323" s="8">
        <f>1</f>
        <v/>
      </c>
      <c r="Z323" s="9">
        <f>Y323*X323</f>
        <v/>
      </c>
      <c r="AA323" s="10">
        <f>IF(W323&gt;$AE$32,1,0)</f>
        <v/>
      </c>
      <c r="AB323">
        <f>IF(AA323=C323,1,0)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$AE$12+D324*$AE$13+E324*$AE$14+F324*$AE$15+G324*$AE$16+H324*$AE$17+I324*$AE$18+J324*$AE$19+K324*$AE$20+L324*$AE$21+M324*$AE$22+N324*$AE$23+O324*$AE$24+P324*$AE$25+Q324*$AE$26+R324*$AE$27+S324*$AE$28+T324*$AE$29+U324*$AE$30</f>
        <v/>
      </c>
      <c r="W324" s="8">
        <f>1/(1+EXP(-V324))</f>
        <v/>
      </c>
      <c r="X324" s="9">
        <f>-IF(C324=1,LN(W324),LN(1-W324))</f>
        <v/>
      </c>
      <c r="Y324" s="8">
        <f>1</f>
        <v/>
      </c>
      <c r="Z324" s="9">
        <f>Y324*X324</f>
        <v/>
      </c>
      <c r="AA324" s="10">
        <f>IF(W324&gt;$AE$32,1,0)</f>
        <v/>
      </c>
      <c r="AB324">
        <f>IF(AA324=C324,1,0)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$AE$12+D325*$AE$13+E325*$AE$14+F325*$AE$15+G325*$AE$16+H325*$AE$17+I325*$AE$18+J325*$AE$19+K325*$AE$20+L325*$AE$21+M325*$AE$22+N325*$AE$23+O325*$AE$24+P325*$AE$25+Q325*$AE$26+R325*$AE$27+S325*$AE$28+T325*$AE$29+U325*$AE$30</f>
        <v/>
      </c>
      <c r="W325" s="8">
        <f>1/(1+EXP(-V325))</f>
        <v/>
      </c>
      <c r="X325" s="9">
        <f>-IF(C325=1,LN(W325),LN(1-W325))</f>
        <v/>
      </c>
      <c r="Y325" s="8">
        <f>1</f>
        <v/>
      </c>
      <c r="Z325" s="9">
        <f>Y325*X325</f>
        <v/>
      </c>
      <c r="AA325" s="10">
        <f>IF(W325&gt;$AE$32,1,0)</f>
        <v/>
      </c>
      <c r="AB325">
        <f>IF(AA325=C325,1,0)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$AE$12+D326*$AE$13+E326*$AE$14+F326*$AE$15+G326*$AE$16+H326*$AE$17+I326*$AE$18+J326*$AE$19+K326*$AE$20+L326*$AE$21+M326*$AE$22+N326*$AE$23+O326*$AE$24+P326*$AE$25+Q326*$AE$26+R326*$AE$27+S326*$AE$28+T326*$AE$29+U326*$AE$30</f>
        <v/>
      </c>
      <c r="W326" s="8">
        <f>1/(1+EXP(-V326))</f>
        <v/>
      </c>
      <c r="X326" s="9">
        <f>-IF(C326=1,LN(W326),LN(1-W326))</f>
        <v/>
      </c>
      <c r="Y326" s="8">
        <f>1</f>
        <v/>
      </c>
      <c r="Z326" s="9">
        <f>Y326*X326</f>
        <v/>
      </c>
      <c r="AA326" s="10">
        <f>IF(W326&gt;$AE$32,1,0)</f>
        <v/>
      </c>
      <c r="AB326">
        <f>IF(AA326=C326,1,0)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$AE$12+D327*$AE$13+E327*$AE$14+F327*$AE$15+G327*$AE$16+H327*$AE$17+I327*$AE$18+J327*$AE$19+K327*$AE$20+L327*$AE$21+M327*$AE$22+N327*$AE$23+O327*$AE$24+P327*$AE$25+Q327*$AE$26+R327*$AE$27+S327*$AE$28+T327*$AE$29+U327*$AE$30</f>
        <v/>
      </c>
      <c r="W327" s="8">
        <f>1/(1+EXP(-V327))</f>
        <v/>
      </c>
      <c r="X327" s="9">
        <f>-IF(C327=1,LN(W327),LN(1-W327))</f>
        <v/>
      </c>
      <c r="Y327" s="8">
        <f>1</f>
        <v/>
      </c>
      <c r="Z327" s="9">
        <f>Y327*X327</f>
        <v/>
      </c>
      <c r="AA327" s="10">
        <f>IF(W327&gt;$AE$32,1,0)</f>
        <v/>
      </c>
      <c r="AB327">
        <f>IF(AA327=C327,1,0)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$AE$12+D328*$AE$13+E328*$AE$14+F328*$AE$15+G328*$AE$16+H328*$AE$17+I328*$AE$18+J328*$AE$19+K328*$AE$20+L328*$AE$21+M328*$AE$22+N328*$AE$23+O328*$AE$24+P328*$AE$25+Q328*$AE$26+R328*$AE$27+S328*$AE$28+T328*$AE$29+U328*$AE$30</f>
        <v/>
      </c>
      <c r="W328" s="8">
        <f>1/(1+EXP(-V328))</f>
        <v/>
      </c>
      <c r="X328" s="9">
        <f>-IF(C328=1,LN(W328),LN(1-W328))</f>
        <v/>
      </c>
      <c r="Y328" s="8">
        <f>1</f>
        <v/>
      </c>
      <c r="Z328" s="9">
        <f>Y328*X328</f>
        <v/>
      </c>
      <c r="AA328" s="10">
        <f>IF(W328&gt;$AE$32,1,0)</f>
        <v/>
      </c>
      <c r="AB328">
        <f>IF(AA328=C328,1,0)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$AE$12+D329*$AE$13+E329*$AE$14+F329*$AE$15+G329*$AE$16+H329*$AE$17+I329*$AE$18+J329*$AE$19+K329*$AE$20+L329*$AE$21+M329*$AE$22+N329*$AE$23+O329*$AE$24+P329*$AE$25+Q329*$AE$26+R329*$AE$27+S329*$AE$28+T329*$AE$29+U329*$AE$30</f>
        <v/>
      </c>
      <c r="W329" s="8">
        <f>1/(1+EXP(-V329))</f>
        <v/>
      </c>
      <c r="X329" s="9">
        <f>-IF(C329=1,LN(W329),LN(1-W329))</f>
        <v/>
      </c>
      <c r="Y329" s="8">
        <f>1</f>
        <v/>
      </c>
      <c r="Z329" s="9">
        <f>Y329*X329</f>
        <v/>
      </c>
      <c r="AA329" s="10">
        <f>IF(W329&gt;$AE$32,1,0)</f>
        <v/>
      </c>
      <c r="AB329">
        <f>IF(AA329=C329,1,0)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$AE$12+D330*$AE$13+E330*$AE$14+F330*$AE$15+G330*$AE$16+H330*$AE$17+I330*$AE$18+J330*$AE$19+K330*$AE$20+L330*$AE$21+M330*$AE$22+N330*$AE$23+O330*$AE$24+P330*$AE$25+Q330*$AE$26+R330*$AE$27+S330*$AE$28+T330*$AE$29+U330*$AE$30</f>
        <v/>
      </c>
      <c r="W330" s="8">
        <f>1/(1+EXP(-V330))</f>
        <v/>
      </c>
      <c r="X330" s="9">
        <f>-IF(C330=1,LN(W330),LN(1-W330))</f>
        <v/>
      </c>
      <c r="Y330" s="8">
        <f>1</f>
        <v/>
      </c>
      <c r="Z330" s="9">
        <f>Y330*X330</f>
        <v/>
      </c>
      <c r="AA330" s="10">
        <f>IF(W330&gt;$AE$32,1,0)</f>
        <v/>
      </c>
      <c r="AB330">
        <f>IF(AA330=C330,1,0)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$AE$12+D331*$AE$13+E331*$AE$14+F331*$AE$15+G331*$AE$16+H331*$AE$17+I331*$AE$18+J331*$AE$19+K331*$AE$20+L331*$AE$21+M331*$AE$22+N331*$AE$23+O331*$AE$24+P331*$AE$25+Q331*$AE$26+R331*$AE$27+S331*$AE$28+T331*$AE$29+U331*$AE$30</f>
        <v/>
      </c>
      <c r="W331" s="8">
        <f>1/(1+EXP(-V331))</f>
        <v/>
      </c>
      <c r="X331" s="9">
        <f>-IF(C331=1,LN(W331),LN(1-W331))</f>
        <v/>
      </c>
      <c r="Y331" s="8">
        <f>1</f>
        <v/>
      </c>
      <c r="Z331" s="9">
        <f>Y331*X331</f>
        <v/>
      </c>
      <c r="AA331" s="10">
        <f>IF(W331&gt;$AE$32,1,0)</f>
        <v/>
      </c>
      <c r="AB331">
        <f>IF(AA331=C331,1,0)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$AE$12+D332*$AE$13+E332*$AE$14+F332*$AE$15+G332*$AE$16+H332*$AE$17+I332*$AE$18+J332*$AE$19+K332*$AE$20+L332*$AE$21+M332*$AE$22+N332*$AE$23+O332*$AE$24+P332*$AE$25+Q332*$AE$26+R332*$AE$27+S332*$AE$28+T332*$AE$29+U332*$AE$30</f>
        <v/>
      </c>
      <c r="W332" s="8">
        <f>1/(1+EXP(-V332))</f>
        <v/>
      </c>
      <c r="X332" s="9">
        <f>-IF(C332=1,LN(W332),LN(1-W332))</f>
        <v/>
      </c>
      <c r="Y332" s="8">
        <f>1</f>
        <v/>
      </c>
      <c r="Z332" s="9">
        <f>Y332*X332</f>
        <v/>
      </c>
      <c r="AA332" s="10">
        <f>IF(W332&gt;$AE$32,1,0)</f>
        <v/>
      </c>
      <c r="AB332">
        <f>IF(AA332=C332,1,0)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$AE$12+D333*$AE$13+E333*$AE$14+F333*$AE$15+G333*$AE$16+H333*$AE$17+I333*$AE$18+J333*$AE$19+K333*$AE$20+L333*$AE$21+M333*$AE$22+N333*$AE$23+O333*$AE$24+P333*$AE$25+Q333*$AE$26+R333*$AE$27+S333*$AE$28+T333*$AE$29+U333*$AE$30</f>
        <v/>
      </c>
      <c r="W333" s="8">
        <f>1/(1+EXP(-V333))</f>
        <v/>
      </c>
      <c r="X333" s="9">
        <f>-IF(C333=1,LN(W333),LN(1-W333))</f>
        <v/>
      </c>
      <c r="Y333" s="8">
        <f>1</f>
        <v/>
      </c>
      <c r="Z333" s="9">
        <f>Y333*X333</f>
        <v/>
      </c>
      <c r="AA333" s="10">
        <f>IF(W333&gt;$AE$32,1,0)</f>
        <v/>
      </c>
      <c r="AB333">
        <f>IF(AA333=C333,1,0)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$AE$12+D334*$AE$13+E334*$AE$14+F334*$AE$15+G334*$AE$16+H334*$AE$17+I334*$AE$18+J334*$AE$19+K334*$AE$20+L334*$AE$21+M334*$AE$22+N334*$AE$23+O334*$AE$24+P334*$AE$25+Q334*$AE$26+R334*$AE$27+S334*$AE$28+T334*$AE$29+U334*$AE$30</f>
        <v/>
      </c>
      <c r="W334" s="8">
        <f>1/(1+EXP(-V334))</f>
        <v/>
      </c>
      <c r="X334" s="9">
        <f>-IF(C334=1,LN(W334),LN(1-W334))</f>
        <v/>
      </c>
      <c r="Y334" s="8">
        <f>1</f>
        <v/>
      </c>
      <c r="Z334" s="9">
        <f>Y334*X334</f>
        <v/>
      </c>
      <c r="AA334" s="10">
        <f>IF(W334&gt;$AE$32,1,0)</f>
        <v/>
      </c>
      <c r="AB334">
        <f>IF(AA334=C334,1,0)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$AE$12+D335*$AE$13+E335*$AE$14+F335*$AE$15+G335*$AE$16+H335*$AE$17+I335*$AE$18+J335*$AE$19+K335*$AE$20+L335*$AE$21+M335*$AE$22+N335*$AE$23+O335*$AE$24+P335*$AE$25+Q335*$AE$26+R335*$AE$27+S335*$AE$28+T335*$AE$29+U335*$AE$30</f>
        <v/>
      </c>
      <c r="W335" s="8">
        <f>1/(1+EXP(-V335))</f>
        <v/>
      </c>
      <c r="X335" s="9">
        <f>-IF(C335=1,LN(W335),LN(1-W335))</f>
        <v/>
      </c>
      <c r="Y335" s="8">
        <f>1</f>
        <v/>
      </c>
      <c r="Z335" s="9">
        <f>Y335*X335</f>
        <v/>
      </c>
      <c r="AA335" s="10">
        <f>IF(W335&gt;$AE$32,1,0)</f>
        <v/>
      </c>
      <c r="AB335">
        <f>IF(AA335=C335,1,0)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$AE$12+D336*$AE$13+E336*$AE$14+F336*$AE$15+G336*$AE$16+H336*$AE$17+I336*$AE$18+J336*$AE$19+K336*$AE$20+L336*$AE$21+M336*$AE$22+N336*$AE$23+O336*$AE$24+P336*$AE$25+Q336*$AE$26+R336*$AE$27+S336*$AE$28+T336*$AE$29+U336*$AE$30</f>
        <v/>
      </c>
      <c r="W336" s="8">
        <f>1/(1+EXP(-V336))</f>
        <v/>
      </c>
      <c r="X336" s="9">
        <f>-IF(C336=1,LN(W336),LN(1-W336))</f>
        <v/>
      </c>
      <c r="Y336" s="8">
        <f>1</f>
        <v/>
      </c>
      <c r="Z336" s="9">
        <f>Y336*X336</f>
        <v/>
      </c>
      <c r="AA336" s="10">
        <f>IF(W336&gt;$AE$32,1,0)</f>
        <v/>
      </c>
      <c r="AB336">
        <f>IF(AA336=C336,1,0)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$AE$12+D337*$AE$13+E337*$AE$14+F337*$AE$15+G337*$AE$16+H337*$AE$17+I337*$AE$18+J337*$AE$19+K337*$AE$20+L337*$AE$21+M337*$AE$22+N337*$AE$23+O337*$AE$24+P337*$AE$25+Q337*$AE$26+R337*$AE$27+S337*$AE$28+T337*$AE$29+U337*$AE$30</f>
        <v/>
      </c>
      <c r="W337" s="8">
        <f>1/(1+EXP(-V337))</f>
        <v/>
      </c>
      <c r="X337" s="9">
        <f>-IF(C337=1,LN(W337),LN(1-W337))</f>
        <v/>
      </c>
      <c r="Y337" s="8">
        <f>1</f>
        <v/>
      </c>
      <c r="Z337" s="9">
        <f>Y337*X337</f>
        <v/>
      </c>
      <c r="AA337" s="10">
        <f>IF(W337&gt;$AE$32,1,0)</f>
        <v/>
      </c>
      <c r="AB337">
        <f>IF(AA337=C337,1,0)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$AE$12+D338*$AE$13+E338*$AE$14+F338*$AE$15+G338*$AE$16+H338*$AE$17+I338*$AE$18+J338*$AE$19+K338*$AE$20+L338*$AE$21+M338*$AE$22+N338*$AE$23+O338*$AE$24+P338*$AE$25+Q338*$AE$26+R338*$AE$27+S338*$AE$28+T338*$AE$29+U338*$AE$30</f>
        <v/>
      </c>
      <c r="W338" s="8">
        <f>1/(1+EXP(-V338))</f>
        <v/>
      </c>
      <c r="X338" s="9">
        <f>-IF(C338=1,LN(W338),LN(1-W338))</f>
        <v/>
      </c>
      <c r="Y338" s="8">
        <f>1</f>
        <v/>
      </c>
      <c r="Z338" s="9">
        <f>Y338*X338</f>
        <v/>
      </c>
      <c r="AA338" s="10">
        <f>IF(W338&gt;$AE$32,1,0)</f>
        <v/>
      </c>
      <c r="AB338">
        <f>IF(AA338=C338,1,0)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$AE$12+D339*$AE$13+E339*$AE$14+F339*$AE$15+G339*$AE$16+H339*$AE$17+I339*$AE$18+J339*$AE$19+K339*$AE$20+L339*$AE$21+M339*$AE$22+N339*$AE$23+O339*$AE$24+P339*$AE$25+Q339*$AE$26+R339*$AE$27+S339*$AE$28+T339*$AE$29+U339*$AE$30</f>
        <v/>
      </c>
      <c r="W339" s="8">
        <f>1/(1+EXP(-V339))</f>
        <v/>
      </c>
      <c r="X339" s="9">
        <f>-IF(C339=1,LN(W339),LN(1-W339))</f>
        <v/>
      </c>
      <c r="Y339" s="8">
        <f>1</f>
        <v/>
      </c>
      <c r="Z339" s="9">
        <f>Y339*X339</f>
        <v/>
      </c>
      <c r="AA339" s="10">
        <f>IF(W339&gt;$AE$32,1,0)</f>
        <v/>
      </c>
      <c r="AB339">
        <f>IF(AA339=C339,1,0)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$AE$12+D340*$AE$13+E340*$AE$14+F340*$AE$15+G340*$AE$16+H340*$AE$17+I340*$AE$18+J340*$AE$19+K340*$AE$20+L340*$AE$21+M340*$AE$22+N340*$AE$23+O340*$AE$24+P340*$AE$25+Q340*$AE$26+R340*$AE$27+S340*$AE$28+T340*$AE$29+U340*$AE$30</f>
        <v/>
      </c>
      <c r="W340" s="8">
        <f>1/(1+EXP(-V340))</f>
        <v/>
      </c>
      <c r="X340" s="9">
        <f>-IF(C340=1,LN(W340),LN(1-W340))</f>
        <v/>
      </c>
      <c r="Y340" s="8">
        <f>1</f>
        <v/>
      </c>
      <c r="Z340" s="9">
        <f>Y340*X340</f>
        <v/>
      </c>
      <c r="AA340" s="10">
        <f>IF(W340&gt;$AE$32,1,0)</f>
        <v/>
      </c>
      <c r="AB340">
        <f>IF(AA340=C340,1,0)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$AE$12+D341*$AE$13+E341*$AE$14+F341*$AE$15+G341*$AE$16+H341*$AE$17+I341*$AE$18+J341*$AE$19+K341*$AE$20+L341*$AE$21+M341*$AE$22+N341*$AE$23+O341*$AE$24+P341*$AE$25+Q341*$AE$26+R341*$AE$27+S341*$AE$28+T341*$AE$29+U341*$AE$30</f>
        <v/>
      </c>
      <c r="W341" s="8">
        <f>1/(1+EXP(-V341))</f>
        <v/>
      </c>
      <c r="X341" s="9">
        <f>-IF(C341=1,LN(W341),LN(1-W341))</f>
        <v/>
      </c>
      <c r="Y341" s="8">
        <f>1</f>
        <v/>
      </c>
      <c r="Z341" s="9">
        <f>Y341*X341</f>
        <v/>
      </c>
      <c r="AA341" s="10">
        <f>IF(W341&gt;$AE$32,1,0)</f>
        <v/>
      </c>
      <c r="AB341">
        <f>IF(AA341=C341,1,0)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$AE$12+D342*$AE$13+E342*$AE$14+F342*$AE$15+G342*$AE$16+H342*$AE$17+I342*$AE$18+J342*$AE$19+K342*$AE$20+L342*$AE$21+M342*$AE$22+N342*$AE$23+O342*$AE$24+P342*$AE$25+Q342*$AE$26+R342*$AE$27+S342*$AE$28+T342*$AE$29+U342*$AE$30</f>
        <v/>
      </c>
      <c r="W342" s="8">
        <f>1/(1+EXP(-V342))</f>
        <v/>
      </c>
      <c r="X342" s="9">
        <f>-IF(C342=1,LN(W342),LN(1-W342))</f>
        <v/>
      </c>
      <c r="Y342" s="8">
        <f>1</f>
        <v/>
      </c>
      <c r="Z342" s="9">
        <f>Y342*X342</f>
        <v/>
      </c>
      <c r="AA342" s="10">
        <f>IF(W342&gt;$AE$32,1,0)</f>
        <v/>
      </c>
      <c r="AB342">
        <f>IF(AA342=C342,1,0)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$AE$12+D343*$AE$13+E343*$AE$14+F343*$AE$15+G343*$AE$16+H343*$AE$17+I343*$AE$18+J343*$AE$19+K343*$AE$20+L343*$AE$21+M343*$AE$22+N343*$AE$23+O343*$AE$24+P343*$AE$25+Q343*$AE$26+R343*$AE$27+S343*$AE$28+T343*$AE$29+U343*$AE$30</f>
        <v/>
      </c>
      <c r="W343" s="8">
        <f>1/(1+EXP(-V343))</f>
        <v/>
      </c>
      <c r="X343" s="9">
        <f>-IF(C343=1,LN(W343),LN(1-W343))</f>
        <v/>
      </c>
      <c r="Y343" s="8">
        <f>1</f>
        <v/>
      </c>
      <c r="Z343" s="9">
        <f>Y343*X343</f>
        <v/>
      </c>
      <c r="AA343" s="10">
        <f>IF(W343&gt;$AE$32,1,0)</f>
        <v/>
      </c>
      <c r="AB343">
        <f>IF(AA343=C343,1,0)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$AE$12+D344*$AE$13+E344*$AE$14+F344*$AE$15+G344*$AE$16+H344*$AE$17+I344*$AE$18+J344*$AE$19+K344*$AE$20+L344*$AE$21+M344*$AE$22+N344*$AE$23+O344*$AE$24+P344*$AE$25+Q344*$AE$26+R344*$AE$27+S344*$AE$28+T344*$AE$29+U344*$AE$30</f>
        <v/>
      </c>
      <c r="W344" s="8">
        <f>1/(1+EXP(-V344))</f>
        <v/>
      </c>
      <c r="X344" s="9">
        <f>-IF(C344=1,LN(W344),LN(1-W344))</f>
        <v/>
      </c>
      <c r="Y344" s="8">
        <f>1</f>
        <v/>
      </c>
      <c r="Z344" s="9">
        <f>Y344*X344</f>
        <v/>
      </c>
      <c r="AA344" s="10">
        <f>IF(W344&gt;$AE$32,1,0)</f>
        <v/>
      </c>
      <c r="AB344">
        <f>IF(AA344=C344,1,0)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$AE$12+D345*$AE$13+E345*$AE$14+F345*$AE$15+G345*$AE$16+H345*$AE$17+I345*$AE$18+J345*$AE$19+K345*$AE$20+L345*$AE$21+M345*$AE$22+N345*$AE$23+O345*$AE$24+P345*$AE$25+Q345*$AE$26+R345*$AE$27+S345*$AE$28+T345*$AE$29+U345*$AE$30</f>
        <v/>
      </c>
      <c r="W345" s="8">
        <f>1/(1+EXP(-V345))</f>
        <v/>
      </c>
      <c r="X345" s="9">
        <f>-IF(C345=1,LN(W345),LN(1-W345))</f>
        <v/>
      </c>
      <c r="Y345" s="8">
        <f>1</f>
        <v/>
      </c>
      <c r="Z345" s="9">
        <f>Y345*X345</f>
        <v/>
      </c>
      <c r="AA345" s="10">
        <f>IF(W345&gt;$AE$32,1,0)</f>
        <v/>
      </c>
      <c r="AB345">
        <f>IF(AA345=C345,1,0)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$AE$12+D346*$AE$13+E346*$AE$14+F346*$AE$15+G346*$AE$16+H346*$AE$17+I346*$AE$18+J346*$AE$19+K346*$AE$20+L346*$AE$21+M346*$AE$22+N346*$AE$23+O346*$AE$24+P346*$AE$25+Q346*$AE$26+R346*$AE$27+S346*$AE$28+T346*$AE$29+U346*$AE$30</f>
        <v/>
      </c>
      <c r="W346" s="8">
        <f>1/(1+EXP(-V346))</f>
        <v/>
      </c>
      <c r="X346" s="9">
        <f>-IF(C346=1,LN(W346),LN(1-W346))</f>
        <v/>
      </c>
      <c r="Y346" s="8">
        <f>1</f>
        <v/>
      </c>
      <c r="Z346" s="9">
        <f>Y346*X346</f>
        <v/>
      </c>
      <c r="AA346" s="10">
        <f>IF(W346&gt;$AE$32,1,0)</f>
        <v/>
      </c>
      <c r="AB346">
        <f>IF(AA346=C346,1,0)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$AE$12+D347*$AE$13+E347*$AE$14+F347*$AE$15+G347*$AE$16+H347*$AE$17+I347*$AE$18+J347*$AE$19+K347*$AE$20+L347*$AE$21+M347*$AE$22+N347*$AE$23+O347*$AE$24+P347*$AE$25+Q347*$AE$26+R347*$AE$27+S347*$AE$28+T347*$AE$29+U347*$AE$30</f>
        <v/>
      </c>
      <c r="W347" s="8">
        <f>1/(1+EXP(-V347))</f>
        <v/>
      </c>
      <c r="X347" s="9">
        <f>-IF(C347=1,LN(W347),LN(1-W347))</f>
        <v/>
      </c>
      <c r="Y347" s="8">
        <f>1</f>
        <v/>
      </c>
      <c r="Z347" s="9">
        <f>Y347*X347</f>
        <v/>
      </c>
      <c r="AA347" s="10">
        <f>IF(W347&gt;$AE$32,1,0)</f>
        <v/>
      </c>
      <c r="AB347">
        <f>IF(AA347=C347,1,0)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$AE$12+D348*$AE$13+E348*$AE$14+F348*$AE$15+G348*$AE$16+H348*$AE$17+I348*$AE$18+J348*$AE$19+K348*$AE$20+L348*$AE$21+M348*$AE$22+N348*$AE$23+O348*$AE$24+P348*$AE$25+Q348*$AE$26+R348*$AE$27+S348*$AE$28+T348*$AE$29+U348*$AE$30</f>
        <v/>
      </c>
      <c r="W348" s="8">
        <f>1/(1+EXP(-V348))</f>
        <v/>
      </c>
      <c r="X348" s="9">
        <f>-IF(C348=1,LN(W348),LN(1-W348))</f>
        <v/>
      </c>
      <c r="Y348" s="8">
        <f>1</f>
        <v/>
      </c>
      <c r="Z348" s="9">
        <f>Y348*X348</f>
        <v/>
      </c>
      <c r="AA348" s="10">
        <f>IF(W348&gt;$AE$32,1,0)</f>
        <v/>
      </c>
      <c r="AB348">
        <f>IF(AA348=C348,1,0)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$AE$12+D349*$AE$13+E349*$AE$14+F349*$AE$15+G349*$AE$16+H349*$AE$17+I349*$AE$18+J349*$AE$19+K349*$AE$20+L349*$AE$21+M349*$AE$22+N349*$AE$23+O349*$AE$24+P349*$AE$25+Q349*$AE$26+R349*$AE$27+S349*$AE$28+T349*$AE$29+U349*$AE$30</f>
        <v/>
      </c>
      <c r="W349" s="8">
        <f>1/(1+EXP(-V349))</f>
        <v/>
      </c>
      <c r="X349" s="9">
        <f>-IF(C349=1,LN(W349),LN(1-W349))</f>
        <v/>
      </c>
      <c r="Y349" s="8">
        <f>1</f>
        <v/>
      </c>
      <c r="Z349" s="9">
        <f>Y349*X349</f>
        <v/>
      </c>
      <c r="AA349" s="10">
        <f>IF(W349&gt;$AE$32,1,0)</f>
        <v/>
      </c>
      <c r="AB349">
        <f>IF(AA349=C349,1,0)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$AE$12+D350*$AE$13+E350*$AE$14+F350*$AE$15+G350*$AE$16+H350*$AE$17+I350*$AE$18+J350*$AE$19+K350*$AE$20+L350*$AE$21+M350*$AE$22+N350*$AE$23+O350*$AE$24+P350*$AE$25+Q350*$AE$26+R350*$AE$27+S350*$AE$28+T350*$AE$29+U350*$AE$30</f>
        <v/>
      </c>
      <c r="W350" s="8">
        <f>1/(1+EXP(-V350))</f>
        <v/>
      </c>
      <c r="X350" s="9">
        <f>-IF(C350=1,LN(W350),LN(1-W350))</f>
        <v/>
      </c>
      <c r="Y350" s="8">
        <f>1</f>
        <v/>
      </c>
      <c r="Z350" s="9">
        <f>Y350*X350</f>
        <v/>
      </c>
      <c r="AA350" s="10">
        <f>IF(W350&gt;$AE$32,1,0)</f>
        <v/>
      </c>
      <c r="AB350">
        <f>IF(AA350=C350,1,0)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$AE$12+D351*$AE$13+E351*$AE$14+F351*$AE$15+G351*$AE$16+H351*$AE$17+I351*$AE$18+J351*$AE$19+K351*$AE$20+L351*$AE$21+M351*$AE$22+N351*$AE$23+O351*$AE$24+P351*$AE$25+Q351*$AE$26+R351*$AE$27+S351*$AE$28+T351*$AE$29+U351*$AE$30</f>
        <v/>
      </c>
      <c r="W351" s="8">
        <f>1/(1+EXP(-V351))</f>
        <v/>
      </c>
      <c r="X351" s="9">
        <f>-IF(C351=1,LN(W351),LN(1-W351))</f>
        <v/>
      </c>
      <c r="Y351" s="8">
        <f>1</f>
        <v/>
      </c>
      <c r="Z351" s="9">
        <f>Y351*X351</f>
        <v/>
      </c>
      <c r="AA351" s="10">
        <f>IF(W351&gt;$AE$32,1,0)</f>
        <v/>
      </c>
      <c r="AB351">
        <f>IF(AA351=C351,1,0)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$AE$12+D352*$AE$13+E352*$AE$14+F352*$AE$15+G352*$AE$16+H352*$AE$17+I352*$AE$18+J352*$AE$19+K352*$AE$20+L352*$AE$21+M352*$AE$22+N352*$AE$23+O352*$AE$24+P352*$AE$25+Q352*$AE$26+R352*$AE$27+S352*$AE$28+T352*$AE$29+U352*$AE$30</f>
        <v/>
      </c>
      <c r="W352" s="8">
        <f>1/(1+EXP(-V352))</f>
        <v/>
      </c>
      <c r="X352" s="9">
        <f>-IF(C352=1,LN(W352),LN(1-W352))</f>
        <v/>
      </c>
      <c r="Y352" s="8">
        <f>1</f>
        <v/>
      </c>
      <c r="Z352" s="9">
        <f>Y352*X352</f>
        <v/>
      </c>
      <c r="AA352" s="10">
        <f>IF(W352&gt;$AE$32,1,0)</f>
        <v/>
      </c>
      <c r="AB352">
        <f>IF(AA352=C352,1,0)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$AE$12+D353*$AE$13+E353*$AE$14+F353*$AE$15+G353*$AE$16+H353*$AE$17+I353*$AE$18+J353*$AE$19+K353*$AE$20+L353*$AE$21+M353*$AE$22+N353*$AE$23+O353*$AE$24+P353*$AE$25+Q353*$AE$26+R353*$AE$27+S353*$AE$28+T353*$AE$29+U353*$AE$30</f>
        <v/>
      </c>
      <c r="W353" s="8">
        <f>1/(1+EXP(-V353))</f>
        <v/>
      </c>
      <c r="X353" s="9">
        <f>-IF(C353=1,LN(W353),LN(1-W353))</f>
        <v/>
      </c>
      <c r="Y353" s="8">
        <f>1</f>
        <v/>
      </c>
      <c r="Z353" s="9">
        <f>Y353*X353</f>
        <v/>
      </c>
      <c r="AA353" s="10">
        <f>IF(W353&gt;$AE$32,1,0)</f>
        <v/>
      </c>
      <c r="AB353">
        <f>IF(AA353=C353,1,0)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$AE$12+D354*$AE$13+E354*$AE$14+F354*$AE$15+G354*$AE$16+H354*$AE$17+I354*$AE$18+J354*$AE$19+K354*$AE$20+L354*$AE$21+M354*$AE$22+N354*$AE$23+O354*$AE$24+P354*$AE$25+Q354*$AE$26+R354*$AE$27+S354*$AE$28+T354*$AE$29+U354*$AE$30</f>
        <v/>
      </c>
      <c r="W354" s="8">
        <f>1/(1+EXP(-V354))</f>
        <v/>
      </c>
      <c r="X354" s="9">
        <f>-IF(C354=1,LN(W354),LN(1-W354))</f>
        <v/>
      </c>
      <c r="Y354" s="8">
        <f>1</f>
        <v/>
      </c>
      <c r="Z354" s="9">
        <f>Y354*X354</f>
        <v/>
      </c>
      <c r="AA354" s="10">
        <f>IF(W354&gt;$AE$32,1,0)</f>
        <v/>
      </c>
      <c r="AB354">
        <f>IF(AA354=C354,1,0)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$AE$12+D355*$AE$13+E355*$AE$14+F355*$AE$15+G355*$AE$16+H355*$AE$17+I355*$AE$18+J355*$AE$19+K355*$AE$20+L355*$AE$21+M355*$AE$22+N355*$AE$23+O355*$AE$24+P355*$AE$25+Q355*$AE$26+R355*$AE$27+S355*$AE$28+T355*$AE$29+U355*$AE$30</f>
        <v/>
      </c>
      <c r="W355" s="8">
        <f>1/(1+EXP(-V355))</f>
        <v/>
      </c>
      <c r="X355" s="9">
        <f>-IF(C355=1,LN(W355),LN(1-W355))</f>
        <v/>
      </c>
      <c r="Y355" s="8">
        <f>1</f>
        <v/>
      </c>
      <c r="Z355" s="9">
        <f>Y355*X355</f>
        <v/>
      </c>
      <c r="AA355" s="10">
        <f>IF(W355&gt;$AE$32,1,0)</f>
        <v/>
      </c>
      <c r="AB355">
        <f>IF(AA355=C355,1,0)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$AE$12+D356*$AE$13+E356*$AE$14+F356*$AE$15+G356*$AE$16+H356*$AE$17+I356*$AE$18+J356*$AE$19+K356*$AE$20+L356*$AE$21+M356*$AE$22+N356*$AE$23+O356*$AE$24+P356*$AE$25+Q356*$AE$26+R356*$AE$27+S356*$AE$28+T356*$AE$29+U356*$AE$30</f>
        <v/>
      </c>
      <c r="W356" s="8">
        <f>1/(1+EXP(-V356))</f>
        <v/>
      </c>
      <c r="X356" s="9">
        <f>-IF(C356=1,LN(W356),LN(1-W356))</f>
        <v/>
      </c>
      <c r="Y356" s="8">
        <f>1</f>
        <v/>
      </c>
      <c r="Z356" s="9">
        <f>Y356*X356</f>
        <v/>
      </c>
      <c r="AA356" s="10">
        <f>IF(W356&gt;$AE$32,1,0)</f>
        <v/>
      </c>
      <c r="AB356">
        <f>IF(AA356=C356,1,0)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$AE$12+D357*$AE$13+E357*$AE$14+F357*$AE$15+G357*$AE$16+H357*$AE$17+I357*$AE$18+J357*$AE$19+K357*$AE$20+L357*$AE$21+M357*$AE$22+N357*$AE$23+O357*$AE$24+P357*$AE$25+Q357*$AE$26+R357*$AE$27+S357*$AE$28+T357*$AE$29+U357*$AE$30</f>
        <v/>
      </c>
      <c r="W357" s="8">
        <f>1/(1+EXP(-V357))</f>
        <v/>
      </c>
      <c r="X357" s="9">
        <f>-IF(C357=1,LN(W357),LN(1-W357))</f>
        <v/>
      </c>
      <c r="Y357" s="8">
        <f>1</f>
        <v/>
      </c>
      <c r="Z357" s="9">
        <f>Y357*X357</f>
        <v/>
      </c>
      <c r="AA357" s="10">
        <f>IF(W357&gt;$AE$32,1,0)</f>
        <v/>
      </c>
      <c r="AB357">
        <f>IF(AA357=C357,1,0)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$AE$12+D358*$AE$13+E358*$AE$14+F358*$AE$15+G358*$AE$16+H358*$AE$17+I358*$AE$18+J358*$AE$19+K358*$AE$20+L358*$AE$21+M358*$AE$22+N358*$AE$23+O358*$AE$24+P358*$AE$25+Q358*$AE$26+R358*$AE$27+S358*$AE$28+T358*$AE$29+U358*$AE$30</f>
        <v/>
      </c>
      <c r="W358" s="8">
        <f>1/(1+EXP(-V358))</f>
        <v/>
      </c>
      <c r="X358" s="9">
        <f>-IF(C358=1,LN(W358),LN(1-W358))</f>
        <v/>
      </c>
      <c r="Y358" s="8">
        <f>1</f>
        <v/>
      </c>
      <c r="Z358" s="9">
        <f>Y358*X358</f>
        <v/>
      </c>
      <c r="AA358" s="10">
        <f>IF(W358&gt;$AE$32,1,0)</f>
        <v/>
      </c>
      <c r="AB358">
        <f>IF(AA358=C358,1,0)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$AE$12+D359*$AE$13+E359*$AE$14+F359*$AE$15+G359*$AE$16+H359*$AE$17+I359*$AE$18+J359*$AE$19+K359*$AE$20+L359*$AE$21+M359*$AE$22+N359*$AE$23+O359*$AE$24+P359*$AE$25+Q359*$AE$26+R359*$AE$27+S359*$AE$28+T359*$AE$29+U359*$AE$30</f>
        <v/>
      </c>
      <c r="W359" s="8">
        <f>1/(1+EXP(-V359))</f>
        <v/>
      </c>
      <c r="X359" s="9">
        <f>-IF(C359=1,LN(W359),LN(1-W359))</f>
        <v/>
      </c>
      <c r="Y359" s="8">
        <f>1</f>
        <v/>
      </c>
      <c r="Z359" s="9">
        <f>Y359*X359</f>
        <v/>
      </c>
      <c r="AA359" s="10">
        <f>IF(W359&gt;$AE$32,1,0)</f>
        <v/>
      </c>
      <c r="AB359">
        <f>IF(AA359=C359,1,0)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$AE$12+D360*$AE$13+E360*$AE$14+F360*$AE$15+G360*$AE$16+H360*$AE$17+I360*$AE$18+J360*$AE$19+K360*$AE$20+L360*$AE$21+M360*$AE$22+N360*$AE$23+O360*$AE$24+P360*$AE$25+Q360*$AE$26+R360*$AE$27+S360*$AE$28+T360*$AE$29+U360*$AE$30</f>
        <v/>
      </c>
      <c r="W360" s="8">
        <f>1/(1+EXP(-V360))</f>
        <v/>
      </c>
      <c r="X360" s="9">
        <f>-IF(C360=1,LN(W360),LN(1-W360))</f>
        <v/>
      </c>
      <c r="Y360" s="8">
        <f>1</f>
        <v/>
      </c>
      <c r="Z360" s="9">
        <f>Y360*X360</f>
        <v/>
      </c>
      <c r="AA360" s="10">
        <f>IF(W360&gt;$AE$32,1,0)</f>
        <v/>
      </c>
      <c r="AB360">
        <f>IF(AA360=C360,1,0)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$AE$12+D361*$AE$13+E361*$AE$14+F361*$AE$15+G361*$AE$16+H361*$AE$17+I361*$AE$18+J361*$AE$19+K361*$AE$20+L361*$AE$21+M361*$AE$22+N361*$AE$23+O361*$AE$24+P361*$AE$25+Q361*$AE$26+R361*$AE$27+S361*$AE$28+T361*$AE$29+U361*$AE$30</f>
        <v/>
      </c>
      <c r="W361" s="8">
        <f>1/(1+EXP(-V361))</f>
        <v/>
      </c>
      <c r="X361" s="9">
        <f>-IF(C361=1,LN(W361),LN(1-W361))</f>
        <v/>
      </c>
      <c r="Y361" s="8">
        <f>1</f>
        <v/>
      </c>
      <c r="Z361" s="9">
        <f>Y361*X361</f>
        <v/>
      </c>
      <c r="AA361" s="10">
        <f>IF(W361&gt;$AE$32,1,0)</f>
        <v/>
      </c>
      <c r="AB361">
        <f>IF(AA361=C361,1,0)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$AE$12+D362*$AE$13+E362*$AE$14+F362*$AE$15+G362*$AE$16+H362*$AE$17+I362*$AE$18+J362*$AE$19+K362*$AE$20+L362*$AE$21+M362*$AE$22+N362*$AE$23+O362*$AE$24+P362*$AE$25+Q362*$AE$26+R362*$AE$27+S362*$AE$28+T362*$AE$29+U362*$AE$30</f>
        <v/>
      </c>
      <c r="W362" s="8">
        <f>1/(1+EXP(-V362))</f>
        <v/>
      </c>
      <c r="X362" s="9">
        <f>-IF(C362=1,LN(W362),LN(1-W362))</f>
        <v/>
      </c>
      <c r="Y362" s="8">
        <f>1</f>
        <v/>
      </c>
      <c r="Z362" s="9">
        <f>Y362*X362</f>
        <v/>
      </c>
      <c r="AA362" s="10">
        <f>IF(W362&gt;$AE$32,1,0)</f>
        <v/>
      </c>
      <c r="AB362">
        <f>IF(AA362=C362,1,0)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$AE$12+D363*$AE$13+E363*$AE$14+F363*$AE$15+G363*$AE$16+H363*$AE$17+I363*$AE$18+J363*$AE$19+K363*$AE$20+L363*$AE$21+M363*$AE$22+N363*$AE$23+O363*$AE$24+P363*$AE$25+Q363*$AE$26+R363*$AE$27+S363*$AE$28+T363*$AE$29+U363*$AE$30</f>
        <v/>
      </c>
      <c r="W363" s="8">
        <f>1/(1+EXP(-V363))</f>
        <v/>
      </c>
      <c r="X363" s="9">
        <f>-IF(C363=1,LN(W363),LN(1-W363))</f>
        <v/>
      </c>
      <c r="Y363" s="8">
        <f>1</f>
        <v/>
      </c>
      <c r="Z363" s="9">
        <f>Y363*X363</f>
        <v/>
      </c>
      <c r="AA363" s="10">
        <f>IF(W363&gt;$AE$32,1,0)</f>
        <v/>
      </c>
      <c r="AB363">
        <f>IF(AA363=C363,1,0)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$AE$12+D364*$AE$13+E364*$AE$14+F364*$AE$15+G364*$AE$16+H364*$AE$17+I364*$AE$18+J364*$AE$19+K364*$AE$20+L364*$AE$21+M364*$AE$22+N364*$AE$23+O364*$AE$24+P364*$AE$25+Q364*$AE$26+R364*$AE$27+S364*$AE$28+T364*$AE$29+U364*$AE$30</f>
        <v/>
      </c>
      <c r="W364" s="8">
        <f>1/(1+EXP(-V364))</f>
        <v/>
      </c>
      <c r="X364" s="9">
        <f>-IF(C364=1,LN(W364),LN(1-W364))</f>
        <v/>
      </c>
      <c r="Y364" s="8">
        <f>1</f>
        <v/>
      </c>
      <c r="Z364" s="9">
        <f>Y364*X364</f>
        <v/>
      </c>
      <c r="AA364" s="10">
        <f>IF(W364&gt;$AE$32,1,0)</f>
        <v/>
      </c>
      <c r="AB364">
        <f>IF(AA364=C364,1,0)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$AE$12+D365*$AE$13+E365*$AE$14+F365*$AE$15+G365*$AE$16+H365*$AE$17+I365*$AE$18+J365*$AE$19+K365*$AE$20+L365*$AE$21+M365*$AE$22+N365*$AE$23+O365*$AE$24+P365*$AE$25+Q365*$AE$26+R365*$AE$27+S365*$AE$28+T365*$AE$29+U365*$AE$30</f>
        <v/>
      </c>
      <c r="W365" s="8">
        <f>1/(1+EXP(-V365))</f>
        <v/>
      </c>
      <c r="X365" s="9">
        <f>-IF(C365=1,LN(W365),LN(1-W365))</f>
        <v/>
      </c>
      <c r="Y365" s="8">
        <f>1</f>
        <v/>
      </c>
      <c r="Z365" s="9">
        <f>Y365*X365</f>
        <v/>
      </c>
      <c r="AA365" s="10">
        <f>IF(W365&gt;$AE$32,1,0)</f>
        <v/>
      </c>
      <c r="AB365">
        <f>IF(AA365=C365,1,0)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$AE$12+D366*$AE$13+E366*$AE$14+F366*$AE$15+G366*$AE$16+H366*$AE$17+I366*$AE$18+J366*$AE$19+K366*$AE$20+L366*$AE$21+M366*$AE$22+N366*$AE$23+O366*$AE$24+P366*$AE$25+Q366*$AE$26+R366*$AE$27+S366*$AE$28+T366*$AE$29+U366*$AE$30</f>
        <v/>
      </c>
      <c r="W366" s="8">
        <f>1/(1+EXP(-V366))</f>
        <v/>
      </c>
      <c r="X366" s="9">
        <f>-IF(C366=1,LN(W366),LN(1-W366))</f>
        <v/>
      </c>
      <c r="Y366" s="8">
        <f>1</f>
        <v/>
      </c>
      <c r="Z366" s="9">
        <f>Y366*X366</f>
        <v/>
      </c>
      <c r="AA366" s="10">
        <f>IF(W366&gt;$AE$32,1,0)</f>
        <v/>
      </c>
      <c r="AB366">
        <f>IF(AA366=C366,1,0)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$AE$12+D367*$AE$13+E367*$AE$14+F367*$AE$15+G367*$AE$16+H367*$AE$17+I367*$AE$18+J367*$AE$19+K367*$AE$20+L367*$AE$21+M367*$AE$22+N367*$AE$23+O367*$AE$24+P367*$AE$25+Q367*$AE$26+R367*$AE$27+S367*$AE$28+T367*$AE$29+U367*$AE$30</f>
        <v/>
      </c>
      <c r="W367" s="8">
        <f>1/(1+EXP(-V367))</f>
        <v/>
      </c>
      <c r="X367" s="9">
        <f>-IF(C367=1,LN(W367),LN(1-W367))</f>
        <v/>
      </c>
      <c r="Y367" s="8">
        <f>1</f>
        <v/>
      </c>
      <c r="Z367" s="9">
        <f>Y367*X367</f>
        <v/>
      </c>
      <c r="AA367" s="10">
        <f>IF(W367&gt;$AE$32,1,0)</f>
        <v/>
      </c>
      <c r="AB367">
        <f>IF(AA367=C367,1,0)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$AE$12+D368*$AE$13+E368*$AE$14+F368*$AE$15+G368*$AE$16+H368*$AE$17+I368*$AE$18+J368*$AE$19+K368*$AE$20+L368*$AE$21+M368*$AE$22+N368*$AE$23+O368*$AE$24+P368*$AE$25+Q368*$AE$26+R368*$AE$27+S368*$AE$28+T368*$AE$29+U368*$AE$30</f>
        <v/>
      </c>
      <c r="W368" s="8">
        <f>1/(1+EXP(-V368))</f>
        <v/>
      </c>
      <c r="X368" s="9">
        <f>-IF(C368=1,LN(W368),LN(1-W368))</f>
        <v/>
      </c>
      <c r="Y368" s="8">
        <f>1</f>
        <v/>
      </c>
      <c r="Z368" s="9">
        <f>Y368*X368</f>
        <v/>
      </c>
      <c r="AA368" s="10">
        <f>IF(W368&gt;$AE$32,1,0)</f>
        <v/>
      </c>
      <c r="AB368">
        <f>IF(AA368=C368,1,0)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$AE$12+D369*$AE$13+E369*$AE$14+F369*$AE$15+G369*$AE$16+H369*$AE$17+I369*$AE$18+J369*$AE$19+K369*$AE$20+L369*$AE$21+M369*$AE$22+N369*$AE$23+O369*$AE$24+P369*$AE$25+Q369*$AE$26+R369*$AE$27+S369*$AE$28+T369*$AE$29+U369*$AE$30</f>
        <v/>
      </c>
      <c r="W369" s="8">
        <f>1/(1+EXP(-V369))</f>
        <v/>
      </c>
      <c r="X369" s="9">
        <f>-IF(C369=1,LN(W369),LN(1-W369))</f>
        <v/>
      </c>
      <c r="Y369" s="8">
        <f>1</f>
        <v/>
      </c>
      <c r="Z369" s="9">
        <f>Y369*X369</f>
        <v/>
      </c>
      <c r="AA369" s="10">
        <f>IF(W369&gt;$AE$32,1,0)</f>
        <v/>
      </c>
      <c r="AB369">
        <f>IF(AA369=C369,1,0)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$AE$12+D370*$AE$13+E370*$AE$14+F370*$AE$15+G370*$AE$16+H370*$AE$17+I370*$AE$18+J370*$AE$19+K370*$AE$20+L370*$AE$21+M370*$AE$22+N370*$AE$23+O370*$AE$24+P370*$AE$25+Q370*$AE$26+R370*$AE$27+S370*$AE$28+T370*$AE$29+U370*$AE$30</f>
        <v/>
      </c>
      <c r="W370" s="8">
        <f>1/(1+EXP(-V370))</f>
        <v/>
      </c>
      <c r="X370" s="9">
        <f>-IF(C370=1,LN(W370),LN(1-W370))</f>
        <v/>
      </c>
      <c r="Y370" s="8">
        <f>1</f>
        <v/>
      </c>
      <c r="Z370" s="9">
        <f>Y370*X370</f>
        <v/>
      </c>
      <c r="AA370" s="10">
        <f>IF(W370&gt;$AE$32,1,0)</f>
        <v/>
      </c>
      <c r="AB370">
        <f>IF(AA370=C370,1,0)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$AE$12+D371*$AE$13+E371*$AE$14+F371*$AE$15+G371*$AE$16+H371*$AE$17+I371*$AE$18+J371*$AE$19+K371*$AE$20+L371*$AE$21+M371*$AE$22+N371*$AE$23+O371*$AE$24+P371*$AE$25+Q371*$AE$26+R371*$AE$27+S371*$AE$28+T371*$AE$29+U371*$AE$30</f>
        <v/>
      </c>
      <c r="W371" s="8">
        <f>1/(1+EXP(-V371))</f>
        <v/>
      </c>
      <c r="X371" s="9">
        <f>-IF(C371=1,LN(W371),LN(1-W371))</f>
        <v/>
      </c>
      <c r="Y371" s="8">
        <f>1</f>
        <v/>
      </c>
      <c r="Z371" s="9">
        <f>Y371*X371</f>
        <v/>
      </c>
      <c r="AA371" s="10">
        <f>IF(W371&gt;$AE$32,1,0)</f>
        <v/>
      </c>
      <c r="AB371">
        <f>IF(AA371=C371,1,0)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$AE$12+D372*$AE$13+E372*$AE$14+F372*$AE$15+G372*$AE$16+H372*$AE$17+I372*$AE$18+J372*$AE$19+K372*$AE$20+L372*$AE$21+M372*$AE$22+N372*$AE$23+O372*$AE$24+P372*$AE$25+Q372*$AE$26+R372*$AE$27+S372*$AE$28+T372*$AE$29+U372*$AE$30</f>
        <v/>
      </c>
      <c r="W372" s="8">
        <f>1/(1+EXP(-V372))</f>
        <v/>
      </c>
      <c r="X372" s="9">
        <f>-IF(C372=1,LN(W372),LN(1-W372))</f>
        <v/>
      </c>
      <c r="Y372" s="8">
        <f>1</f>
        <v/>
      </c>
      <c r="Z372" s="9">
        <f>Y372*X372</f>
        <v/>
      </c>
      <c r="AA372" s="10">
        <f>IF(W372&gt;$AE$32,1,0)</f>
        <v/>
      </c>
      <c r="AB372">
        <f>IF(AA372=C372,1,0)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$AE$12+D373*$AE$13+E373*$AE$14+F373*$AE$15+G373*$AE$16+H373*$AE$17+I373*$AE$18+J373*$AE$19+K373*$AE$20+L373*$AE$21+M373*$AE$22+N373*$AE$23+O373*$AE$24+P373*$AE$25+Q373*$AE$26+R373*$AE$27+S373*$AE$28+T373*$AE$29+U373*$AE$30</f>
        <v/>
      </c>
      <c r="W373" s="8">
        <f>1/(1+EXP(-V373))</f>
        <v/>
      </c>
      <c r="X373" s="9">
        <f>-IF(C373=1,LN(W373),LN(1-W373))</f>
        <v/>
      </c>
      <c r="Y373" s="8">
        <f>1</f>
        <v/>
      </c>
      <c r="Z373" s="9">
        <f>Y373*X373</f>
        <v/>
      </c>
      <c r="AA373" s="10">
        <f>IF(W373&gt;$AE$32,1,0)</f>
        <v/>
      </c>
      <c r="AB373">
        <f>IF(AA373=C373,1,0)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$AE$12+D374*$AE$13+E374*$AE$14+F374*$AE$15+G374*$AE$16+H374*$AE$17+I374*$AE$18+J374*$AE$19+K374*$AE$20+L374*$AE$21+M374*$AE$22+N374*$AE$23+O374*$AE$24+P374*$AE$25+Q374*$AE$26+R374*$AE$27+S374*$AE$28+T374*$AE$29+U374*$AE$30</f>
        <v/>
      </c>
      <c r="W374" s="8">
        <f>1/(1+EXP(-V374))</f>
        <v/>
      </c>
      <c r="X374" s="9">
        <f>-IF(C374=1,LN(W374),LN(1-W374))</f>
        <v/>
      </c>
      <c r="Y374" s="8">
        <f>1</f>
        <v/>
      </c>
      <c r="Z374" s="9">
        <f>Y374*X374</f>
        <v/>
      </c>
      <c r="AA374" s="10">
        <f>IF(W374&gt;$AE$32,1,0)</f>
        <v/>
      </c>
      <c r="AB374">
        <f>IF(AA374=C374,1,0)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$AE$12+D375*$AE$13+E375*$AE$14+F375*$AE$15+G375*$AE$16+H375*$AE$17+I375*$AE$18+J375*$AE$19+K375*$AE$20+L375*$AE$21+M375*$AE$22+N375*$AE$23+O375*$AE$24+P375*$AE$25+Q375*$AE$26+R375*$AE$27+S375*$AE$28+T375*$AE$29+U375*$AE$30</f>
        <v/>
      </c>
      <c r="W375" s="8">
        <f>1/(1+EXP(-V375))</f>
        <v/>
      </c>
      <c r="X375" s="9">
        <f>-IF(C375=1,LN(W375),LN(1-W375))</f>
        <v/>
      </c>
      <c r="Y375" s="8">
        <f>1</f>
        <v/>
      </c>
      <c r="Z375" s="9">
        <f>Y375*X375</f>
        <v/>
      </c>
      <c r="AA375" s="10">
        <f>IF(W375&gt;$AE$32,1,0)</f>
        <v/>
      </c>
      <c r="AB375">
        <f>IF(AA375=C375,1,0)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$AE$12+D376*$AE$13+E376*$AE$14+F376*$AE$15+G376*$AE$16+H376*$AE$17+I376*$AE$18+J376*$AE$19+K376*$AE$20+L376*$AE$21+M376*$AE$22+N376*$AE$23+O376*$AE$24+P376*$AE$25+Q376*$AE$26+R376*$AE$27+S376*$AE$28+T376*$AE$29+U376*$AE$30</f>
        <v/>
      </c>
      <c r="W376" s="8">
        <f>1/(1+EXP(-V376))</f>
        <v/>
      </c>
      <c r="X376" s="9">
        <f>-IF(C376=1,LN(W376),LN(1-W376))</f>
        <v/>
      </c>
      <c r="Y376" s="8">
        <f>1</f>
        <v/>
      </c>
      <c r="Z376" s="9">
        <f>Y376*X376</f>
        <v/>
      </c>
      <c r="AA376" s="10">
        <f>IF(W376&gt;$AE$32,1,0)</f>
        <v/>
      </c>
      <c r="AB376">
        <f>IF(AA376=C376,1,0)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$AE$12+D377*$AE$13+E377*$AE$14+F377*$AE$15+G377*$AE$16+H377*$AE$17+I377*$AE$18+J377*$AE$19+K377*$AE$20+L377*$AE$21+M377*$AE$22+N377*$AE$23+O377*$AE$24+P377*$AE$25+Q377*$AE$26+R377*$AE$27+S377*$AE$28+T377*$AE$29+U377*$AE$30</f>
        <v/>
      </c>
      <c r="W377" s="8">
        <f>1/(1+EXP(-V377))</f>
        <v/>
      </c>
      <c r="X377" s="9">
        <f>-IF(C377=1,LN(W377),LN(1-W377))</f>
        <v/>
      </c>
      <c r="Y377" s="8">
        <f>1</f>
        <v/>
      </c>
      <c r="Z377" s="9">
        <f>Y377*X377</f>
        <v/>
      </c>
      <c r="AA377" s="10">
        <f>IF(W377&gt;$AE$32,1,0)</f>
        <v/>
      </c>
      <c r="AB377">
        <f>IF(AA377=C377,1,0)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$AE$12+D378*$AE$13+E378*$AE$14+F378*$AE$15+G378*$AE$16+H378*$AE$17+I378*$AE$18+J378*$AE$19+K378*$AE$20+L378*$AE$21+M378*$AE$22+N378*$AE$23+O378*$AE$24+P378*$AE$25+Q378*$AE$26+R378*$AE$27+S378*$AE$28+T378*$AE$29+U378*$AE$30</f>
        <v/>
      </c>
      <c r="W378" s="8">
        <f>1/(1+EXP(-V378))</f>
        <v/>
      </c>
      <c r="X378" s="9">
        <f>-IF(C378=1,LN(W378),LN(1-W378))</f>
        <v/>
      </c>
      <c r="Y378" s="8">
        <f>1</f>
        <v/>
      </c>
      <c r="Z378" s="9">
        <f>Y378*X378</f>
        <v/>
      </c>
      <c r="AA378" s="10">
        <f>IF(W378&gt;$AE$32,1,0)</f>
        <v/>
      </c>
      <c r="AB378">
        <f>IF(AA378=C378,1,0)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$AE$12+D379*$AE$13+E379*$AE$14+F379*$AE$15+G379*$AE$16+H379*$AE$17+I379*$AE$18+J379*$AE$19+K379*$AE$20+L379*$AE$21+M379*$AE$22+N379*$AE$23+O379*$AE$24+P379*$AE$25+Q379*$AE$26+R379*$AE$27+S379*$AE$28+T379*$AE$29+U379*$AE$30</f>
        <v/>
      </c>
      <c r="W379" s="8">
        <f>1/(1+EXP(-V379))</f>
        <v/>
      </c>
      <c r="X379" s="9">
        <f>-IF(C379=1,LN(W379),LN(1-W379))</f>
        <v/>
      </c>
      <c r="Y379" s="8">
        <f>1</f>
        <v/>
      </c>
      <c r="Z379" s="9">
        <f>Y379*X379</f>
        <v/>
      </c>
      <c r="AA379" s="10">
        <f>IF(W379&gt;$AE$32,1,0)</f>
        <v/>
      </c>
      <c r="AB379">
        <f>IF(AA379=C379,1,0)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$AE$12+D380*$AE$13+E380*$AE$14+F380*$AE$15+G380*$AE$16+H380*$AE$17+I380*$AE$18+J380*$AE$19+K380*$AE$20+L380*$AE$21+M380*$AE$22+N380*$AE$23+O380*$AE$24+P380*$AE$25+Q380*$AE$26+R380*$AE$27+S380*$AE$28+T380*$AE$29+U380*$AE$30</f>
        <v/>
      </c>
      <c r="W380" s="8">
        <f>1/(1+EXP(-V380))</f>
        <v/>
      </c>
      <c r="X380" s="9">
        <f>-IF(C380=1,LN(W380),LN(1-W380))</f>
        <v/>
      </c>
      <c r="Y380" s="8">
        <f>1</f>
        <v/>
      </c>
      <c r="Z380" s="9">
        <f>Y380*X380</f>
        <v/>
      </c>
      <c r="AA380" s="10">
        <f>IF(W380&gt;$AE$32,1,0)</f>
        <v/>
      </c>
      <c r="AB380">
        <f>IF(AA380=C380,1,0)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$AE$12+D381*$AE$13+E381*$AE$14+F381*$AE$15+G381*$AE$16+H381*$AE$17+I381*$AE$18+J381*$AE$19+K381*$AE$20+L381*$AE$21+M381*$AE$22+N381*$AE$23+O381*$AE$24+P381*$AE$25+Q381*$AE$26+R381*$AE$27+S381*$AE$28+T381*$AE$29+U381*$AE$30</f>
        <v/>
      </c>
      <c r="W381" s="8">
        <f>1/(1+EXP(-V381))</f>
        <v/>
      </c>
      <c r="X381" s="9">
        <f>-IF(C381=1,LN(W381),LN(1-W381))</f>
        <v/>
      </c>
      <c r="Y381" s="8">
        <f>1</f>
        <v/>
      </c>
      <c r="Z381" s="9">
        <f>Y381*X381</f>
        <v/>
      </c>
      <c r="AA381" s="10">
        <f>IF(W381&gt;$AE$32,1,0)</f>
        <v/>
      </c>
      <c r="AB381">
        <f>IF(AA381=C381,1,0)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$AE$12+D382*$AE$13+E382*$AE$14+F382*$AE$15+G382*$AE$16+H382*$AE$17+I382*$AE$18+J382*$AE$19+K382*$AE$20+L382*$AE$21+M382*$AE$22+N382*$AE$23+O382*$AE$24+P382*$AE$25+Q382*$AE$26+R382*$AE$27+S382*$AE$28+T382*$AE$29+U382*$AE$30</f>
        <v/>
      </c>
      <c r="W382" s="8">
        <f>1/(1+EXP(-V382))</f>
        <v/>
      </c>
      <c r="X382" s="9">
        <f>-IF(C382=1,LN(W382),LN(1-W382))</f>
        <v/>
      </c>
      <c r="Y382" s="8">
        <f>1</f>
        <v/>
      </c>
      <c r="Z382" s="9">
        <f>Y382*X382</f>
        <v/>
      </c>
      <c r="AA382" s="10">
        <f>IF(W382&gt;$AE$32,1,0)</f>
        <v/>
      </c>
      <c r="AB382">
        <f>IF(AA382=C382,1,0)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$AE$12+D383*$AE$13+E383*$AE$14+F383*$AE$15+G383*$AE$16+H383*$AE$17+I383*$AE$18+J383*$AE$19+K383*$AE$20+L383*$AE$21+M383*$AE$22+N383*$AE$23+O383*$AE$24+P383*$AE$25+Q383*$AE$26+R383*$AE$27+S383*$AE$28+T383*$AE$29+U383*$AE$30</f>
        <v/>
      </c>
      <c r="W383" s="8">
        <f>1/(1+EXP(-V383))</f>
        <v/>
      </c>
      <c r="X383" s="9">
        <f>-IF(C383=1,LN(W383),LN(1-W383))</f>
        <v/>
      </c>
      <c r="Y383" s="8">
        <f>1</f>
        <v/>
      </c>
      <c r="Z383" s="9">
        <f>Y383*X383</f>
        <v/>
      </c>
      <c r="AA383" s="10">
        <f>IF(W383&gt;$AE$32,1,0)</f>
        <v/>
      </c>
      <c r="AB383">
        <f>IF(AA383=C383,1,0)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$AE$12+D384*$AE$13+E384*$AE$14+F384*$AE$15+G384*$AE$16+H384*$AE$17+I384*$AE$18+J384*$AE$19+K384*$AE$20+L384*$AE$21+M384*$AE$22+N384*$AE$23+O384*$AE$24+P384*$AE$25+Q384*$AE$26+R384*$AE$27+S384*$AE$28+T384*$AE$29+U384*$AE$30</f>
        <v/>
      </c>
      <c r="W384" s="8">
        <f>1/(1+EXP(-V384))</f>
        <v/>
      </c>
      <c r="X384" s="9">
        <f>-IF(C384=1,LN(W384),LN(1-W384))</f>
        <v/>
      </c>
      <c r="Y384" s="8">
        <f>1</f>
        <v/>
      </c>
      <c r="Z384" s="9">
        <f>Y384*X384</f>
        <v/>
      </c>
      <c r="AA384" s="10">
        <f>IF(W384&gt;$AE$32,1,0)</f>
        <v/>
      </c>
      <c r="AB384">
        <f>IF(AA384=C384,1,0)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$AE$12+D385*$AE$13+E385*$AE$14+F385*$AE$15+G385*$AE$16+H385*$AE$17+I385*$AE$18+J385*$AE$19+K385*$AE$20+L385*$AE$21+M385*$AE$22+N385*$AE$23+O385*$AE$24+P385*$AE$25+Q385*$AE$26+R385*$AE$27+S385*$AE$28+T385*$AE$29+U385*$AE$30</f>
        <v/>
      </c>
      <c r="W385" s="8">
        <f>1/(1+EXP(-V385))</f>
        <v/>
      </c>
      <c r="X385" s="9">
        <f>-IF(C385=1,LN(W385),LN(1-W385))</f>
        <v/>
      </c>
      <c r="Y385" s="8">
        <f>1</f>
        <v/>
      </c>
      <c r="Z385" s="9">
        <f>Y385*X385</f>
        <v/>
      </c>
      <c r="AA385" s="10">
        <f>IF(W385&gt;$AE$32,1,0)</f>
        <v/>
      </c>
      <c r="AB385">
        <f>IF(AA385=C385,1,0)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$AE$12+D386*$AE$13+E386*$AE$14+F386*$AE$15+G386*$AE$16+H386*$AE$17+I386*$AE$18+J386*$AE$19+K386*$AE$20+L386*$AE$21+M386*$AE$22+N386*$AE$23+O386*$AE$24+P386*$AE$25+Q386*$AE$26+R386*$AE$27+S386*$AE$28+T386*$AE$29+U386*$AE$30</f>
        <v/>
      </c>
      <c r="W386" s="8">
        <f>1/(1+EXP(-V386))</f>
        <v/>
      </c>
      <c r="X386" s="9">
        <f>-IF(C386=1,LN(W386),LN(1-W386))</f>
        <v/>
      </c>
      <c r="Y386" s="8">
        <f>1</f>
        <v/>
      </c>
      <c r="Z386" s="9">
        <f>Y386*X386</f>
        <v/>
      </c>
      <c r="AA386" s="10">
        <f>IF(W386&gt;$AE$32,1,0)</f>
        <v/>
      </c>
      <c r="AB386">
        <f>IF(AA386=C386,1,0)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$AE$12+D387*$AE$13+E387*$AE$14+F387*$AE$15+G387*$AE$16+H387*$AE$17+I387*$AE$18+J387*$AE$19+K387*$AE$20+L387*$AE$21+M387*$AE$22+N387*$AE$23+O387*$AE$24+P387*$AE$25+Q387*$AE$26+R387*$AE$27+S387*$AE$28+T387*$AE$29+U387*$AE$30</f>
        <v/>
      </c>
      <c r="W387" s="8">
        <f>1/(1+EXP(-V387))</f>
        <v/>
      </c>
      <c r="X387" s="9">
        <f>-IF(C387=1,LN(W387),LN(1-W387))</f>
        <v/>
      </c>
      <c r="Y387" s="8">
        <f>1</f>
        <v/>
      </c>
      <c r="Z387" s="9">
        <f>Y387*X387</f>
        <v/>
      </c>
      <c r="AA387" s="10">
        <f>IF(W387&gt;$AE$32,1,0)</f>
        <v/>
      </c>
      <c r="AB387">
        <f>IF(AA387=C387,1,0)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$AE$12+D388*$AE$13+E388*$AE$14+F388*$AE$15+G388*$AE$16+H388*$AE$17+I388*$AE$18+J388*$AE$19+K388*$AE$20+L388*$AE$21+M388*$AE$22+N388*$AE$23+O388*$AE$24+P388*$AE$25+Q388*$AE$26+R388*$AE$27+S388*$AE$28+T388*$AE$29+U388*$AE$30</f>
        <v/>
      </c>
      <c r="W388" s="8">
        <f>1/(1+EXP(-V388))</f>
        <v/>
      </c>
      <c r="X388" s="9">
        <f>-IF(C388=1,LN(W388),LN(1-W388))</f>
        <v/>
      </c>
      <c r="Y388" s="8">
        <f>1</f>
        <v/>
      </c>
      <c r="Z388" s="9">
        <f>Y388*X388</f>
        <v/>
      </c>
      <c r="AA388" s="10">
        <f>IF(W388&gt;$AE$32,1,0)</f>
        <v/>
      </c>
      <c r="AB388">
        <f>IF(AA388=C388,1,0)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$AE$12+D389*$AE$13+E389*$AE$14+F389*$AE$15+G389*$AE$16+H389*$AE$17+I389*$AE$18+J389*$AE$19+K389*$AE$20+L389*$AE$21+M389*$AE$22+N389*$AE$23+O389*$AE$24+P389*$AE$25+Q389*$AE$26+R389*$AE$27+S389*$AE$28+T389*$AE$29+U389*$AE$30</f>
        <v/>
      </c>
      <c r="W389" s="8">
        <f>1/(1+EXP(-V389))</f>
        <v/>
      </c>
      <c r="X389" s="9">
        <f>-IF(C389=1,LN(W389),LN(1-W389))</f>
        <v/>
      </c>
      <c r="Y389" s="8">
        <f>1</f>
        <v/>
      </c>
      <c r="Z389" s="9">
        <f>Y389*X389</f>
        <v/>
      </c>
      <c r="AA389" s="10">
        <f>IF(W389&gt;$AE$32,1,0)</f>
        <v/>
      </c>
      <c r="AB389">
        <f>IF(AA389=C389,1,0)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$AE$12+D390*$AE$13+E390*$AE$14+F390*$AE$15+G390*$AE$16+H390*$AE$17+I390*$AE$18+J390*$AE$19+K390*$AE$20+L390*$AE$21+M390*$AE$22+N390*$AE$23+O390*$AE$24+P390*$AE$25+Q390*$AE$26+R390*$AE$27+S390*$AE$28+T390*$AE$29+U390*$AE$30</f>
        <v/>
      </c>
      <c r="W390" s="8">
        <f>1/(1+EXP(-V390))</f>
        <v/>
      </c>
      <c r="X390" s="9">
        <f>-IF(C390=1,LN(W390),LN(1-W390))</f>
        <v/>
      </c>
      <c r="Y390" s="8">
        <f>1</f>
        <v/>
      </c>
      <c r="Z390" s="9">
        <f>Y390*X390</f>
        <v/>
      </c>
      <c r="AA390" s="10">
        <f>IF(W390&gt;$AE$32,1,0)</f>
        <v/>
      </c>
      <c r="AB390">
        <f>IF(AA390=C390,1,0)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$AE$12+D391*$AE$13+E391*$AE$14+F391*$AE$15+G391*$AE$16+H391*$AE$17+I391*$AE$18+J391*$AE$19+K391*$AE$20+L391*$AE$21+M391*$AE$22+N391*$AE$23+O391*$AE$24+P391*$AE$25+Q391*$AE$26+R391*$AE$27+S391*$AE$28+T391*$AE$29+U391*$AE$30</f>
        <v/>
      </c>
      <c r="W391" s="8">
        <f>1/(1+EXP(-V391))</f>
        <v/>
      </c>
      <c r="X391" s="9">
        <f>-IF(C391=1,LN(W391),LN(1-W391))</f>
        <v/>
      </c>
      <c r="Y391" s="8">
        <f>1</f>
        <v/>
      </c>
      <c r="Z391" s="9">
        <f>Y391*X391</f>
        <v/>
      </c>
      <c r="AA391" s="10">
        <f>IF(W391&gt;$AE$32,1,0)</f>
        <v/>
      </c>
      <c r="AB391">
        <f>IF(AA391=C391,1,0)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$AE$12+D392*$AE$13+E392*$AE$14+F392*$AE$15+G392*$AE$16+H392*$AE$17+I392*$AE$18+J392*$AE$19+K392*$AE$20+L392*$AE$21+M392*$AE$22+N392*$AE$23+O392*$AE$24+P392*$AE$25+Q392*$AE$26+R392*$AE$27+S392*$AE$28+T392*$AE$29+U392*$AE$30</f>
        <v/>
      </c>
      <c r="W392" s="8">
        <f>1/(1+EXP(-V392))</f>
        <v/>
      </c>
      <c r="X392" s="9">
        <f>-IF(C392=1,LN(W392),LN(1-W392))</f>
        <v/>
      </c>
      <c r="Y392" s="8">
        <f>1</f>
        <v/>
      </c>
      <c r="Z392" s="9">
        <f>Y392*X392</f>
        <v/>
      </c>
      <c r="AA392" s="10">
        <f>IF(W392&gt;$AE$32,1,0)</f>
        <v/>
      </c>
      <c r="AB392">
        <f>IF(AA392=C392,1,0)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$AE$12+D393*$AE$13+E393*$AE$14+F393*$AE$15+G393*$AE$16+H393*$AE$17+I393*$AE$18+J393*$AE$19+K393*$AE$20+L393*$AE$21+M393*$AE$22+N393*$AE$23+O393*$AE$24+P393*$AE$25+Q393*$AE$26+R393*$AE$27+S393*$AE$28+T393*$AE$29+U393*$AE$30</f>
        <v/>
      </c>
      <c r="W393" s="8">
        <f>1/(1+EXP(-V393))</f>
        <v/>
      </c>
      <c r="X393" s="9">
        <f>-IF(C393=1,LN(W393),LN(1-W393))</f>
        <v/>
      </c>
      <c r="Y393" s="8">
        <f>1</f>
        <v/>
      </c>
      <c r="Z393" s="9">
        <f>Y393*X393</f>
        <v/>
      </c>
      <c r="AA393" s="10">
        <f>IF(W393&gt;$AE$32,1,0)</f>
        <v/>
      </c>
      <c r="AB393">
        <f>IF(AA393=C393,1,0)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$AE$12+D394*$AE$13+E394*$AE$14+F394*$AE$15+G394*$AE$16+H394*$AE$17+I394*$AE$18+J394*$AE$19+K394*$AE$20+L394*$AE$21+M394*$AE$22+N394*$AE$23+O394*$AE$24+P394*$AE$25+Q394*$AE$26+R394*$AE$27+S394*$AE$28+T394*$AE$29+U394*$AE$30</f>
        <v/>
      </c>
      <c r="W394" s="8">
        <f>1/(1+EXP(-V394))</f>
        <v/>
      </c>
      <c r="X394" s="9">
        <f>-IF(C394=1,LN(W394),LN(1-W394))</f>
        <v/>
      </c>
      <c r="Y394" s="8">
        <f>1</f>
        <v/>
      </c>
      <c r="Z394" s="9">
        <f>Y394*X394</f>
        <v/>
      </c>
      <c r="AA394" s="10">
        <f>IF(W394&gt;$AE$32,1,0)</f>
        <v/>
      </c>
      <c r="AB394">
        <f>IF(AA394=C394,1,0)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$AE$12+D395*$AE$13+E395*$AE$14+F395*$AE$15+G395*$AE$16+H395*$AE$17+I395*$AE$18+J395*$AE$19+K395*$AE$20+L395*$AE$21+M395*$AE$22+N395*$AE$23+O395*$AE$24+P395*$AE$25+Q395*$AE$26+R395*$AE$27+S395*$AE$28+T395*$AE$29+U395*$AE$30</f>
        <v/>
      </c>
      <c r="W395" s="8">
        <f>1/(1+EXP(-V395))</f>
        <v/>
      </c>
      <c r="X395" s="9">
        <f>-IF(C395=1,LN(W395),LN(1-W395))</f>
        <v/>
      </c>
      <c r="Y395" s="8">
        <f>1</f>
        <v/>
      </c>
      <c r="Z395" s="9">
        <f>Y395*X395</f>
        <v/>
      </c>
      <c r="AA395" s="10">
        <f>IF(W395&gt;$AE$32,1,0)</f>
        <v/>
      </c>
      <c r="AB395">
        <f>IF(AA395=C395,1,0)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$AE$12+D396*$AE$13+E396*$AE$14+F396*$AE$15+G396*$AE$16+H396*$AE$17+I396*$AE$18+J396*$AE$19+K396*$AE$20+L396*$AE$21+M396*$AE$22+N396*$AE$23+O396*$AE$24+P396*$AE$25+Q396*$AE$26+R396*$AE$27+S396*$AE$28+T396*$AE$29+U396*$AE$30</f>
        <v/>
      </c>
      <c r="W396" s="8">
        <f>1/(1+EXP(-V396))</f>
        <v/>
      </c>
      <c r="X396" s="9">
        <f>-IF(C396=1,LN(W396),LN(1-W396))</f>
        <v/>
      </c>
      <c r="Y396" s="8">
        <f>1</f>
        <v/>
      </c>
      <c r="Z396" s="9">
        <f>Y396*X396</f>
        <v/>
      </c>
      <c r="AA396" s="10">
        <f>IF(W396&gt;$AE$32,1,0)</f>
        <v/>
      </c>
      <c r="AB396">
        <f>IF(AA396=C396,1,0)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$AE$12+D397*$AE$13+E397*$AE$14+F397*$AE$15+G397*$AE$16+H397*$AE$17+I397*$AE$18+J397*$AE$19+K397*$AE$20+L397*$AE$21+M397*$AE$22+N397*$AE$23+O397*$AE$24+P397*$AE$25+Q397*$AE$26+R397*$AE$27+S397*$AE$28+T397*$AE$29+U397*$AE$30</f>
        <v/>
      </c>
      <c r="W397" s="8">
        <f>1/(1+EXP(-V397))</f>
        <v/>
      </c>
      <c r="X397" s="9">
        <f>-IF(C397=1,LN(W397),LN(1-W397))</f>
        <v/>
      </c>
      <c r="Y397" s="8">
        <f>1</f>
        <v/>
      </c>
      <c r="Z397" s="9">
        <f>Y397*X397</f>
        <v/>
      </c>
      <c r="AA397" s="10">
        <f>IF(W397&gt;$AE$32,1,0)</f>
        <v/>
      </c>
      <c r="AB397">
        <f>IF(AA397=C397,1,0)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$AE$12+D398*$AE$13+E398*$AE$14+F398*$AE$15+G398*$AE$16+H398*$AE$17+I398*$AE$18+J398*$AE$19+K398*$AE$20+L398*$AE$21+M398*$AE$22+N398*$AE$23+O398*$AE$24+P398*$AE$25+Q398*$AE$26+R398*$AE$27+S398*$AE$28+T398*$AE$29+U398*$AE$30</f>
        <v/>
      </c>
      <c r="W398" s="8">
        <f>1/(1+EXP(-V398))</f>
        <v/>
      </c>
      <c r="X398" s="9">
        <f>-IF(C398=1,LN(W398),LN(1-W398))</f>
        <v/>
      </c>
      <c r="Y398" s="8">
        <f>1</f>
        <v/>
      </c>
      <c r="Z398" s="9">
        <f>Y398*X398</f>
        <v/>
      </c>
      <c r="AA398" s="10">
        <f>IF(W398&gt;$AE$32,1,0)</f>
        <v/>
      </c>
      <c r="AB398">
        <f>IF(AA398=C398,1,0)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$AE$12+D399*$AE$13+E399*$AE$14+F399*$AE$15+G399*$AE$16+H399*$AE$17+I399*$AE$18+J399*$AE$19+K399*$AE$20+L399*$AE$21+M399*$AE$22+N399*$AE$23+O399*$AE$24+P399*$AE$25+Q399*$AE$26+R399*$AE$27+S399*$AE$28+T399*$AE$29+U399*$AE$30</f>
        <v/>
      </c>
      <c r="W399" s="8">
        <f>1/(1+EXP(-V399))</f>
        <v/>
      </c>
      <c r="X399" s="9">
        <f>-IF(C399=1,LN(W399),LN(1-W399))</f>
        <v/>
      </c>
      <c r="Y399" s="8">
        <f>1</f>
        <v/>
      </c>
      <c r="Z399" s="9">
        <f>Y399*X399</f>
        <v/>
      </c>
      <c r="AA399" s="10">
        <f>IF(W399&gt;$AE$32,1,0)</f>
        <v/>
      </c>
      <c r="AB399">
        <f>IF(AA399=C399,1,0)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$AE$12+D400*$AE$13+E400*$AE$14+F400*$AE$15+G400*$AE$16+H400*$AE$17+I400*$AE$18+J400*$AE$19+K400*$AE$20+L400*$AE$21+M400*$AE$22+N400*$AE$23+O400*$AE$24+P400*$AE$25+Q400*$AE$26+R400*$AE$27+S400*$AE$28+T400*$AE$29+U400*$AE$30</f>
        <v/>
      </c>
      <c r="W400" s="8">
        <f>1/(1+EXP(-V400))</f>
        <v/>
      </c>
      <c r="X400" s="9">
        <f>-IF(C400=1,LN(W400),LN(1-W400))</f>
        <v/>
      </c>
      <c r="Y400" s="8">
        <f>1</f>
        <v/>
      </c>
      <c r="Z400" s="9">
        <f>Y400*X400</f>
        <v/>
      </c>
      <c r="AA400" s="10">
        <f>IF(W400&gt;$AE$32,1,0)</f>
        <v/>
      </c>
      <c r="AB400">
        <f>IF(AA400=C400,1,0)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$AE$12+D401*$AE$13+E401*$AE$14+F401*$AE$15+G401*$AE$16+H401*$AE$17+I401*$AE$18+J401*$AE$19+K401*$AE$20+L401*$AE$21+M401*$AE$22+N401*$AE$23+O401*$AE$24+P401*$AE$25+Q401*$AE$26+R401*$AE$27+S401*$AE$28+T401*$AE$29+U401*$AE$30</f>
        <v/>
      </c>
      <c r="W401" s="8">
        <f>1/(1+EXP(-V401))</f>
        <v/>
      </c>
      <c r="X401" s="9">
        <f>-IF(C401=1,LN(W401),LN(1-W401))</f>
        <v/>
      </c>
      <c r="Y401" s="8">
        <f>1</f>
        <v/>
      </c>
      <c r="Z401" s="9">
        <f>Y401*X401</f>
        <v/>
      </c>
      <c r="AA401" s="10">
        <f>IF(W401&gt;$AE$32,1,0)</f>
        <v/>
      </c>
      <c r="AB401">
        <f>IF(AA401=C401,1,0)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$AE$12+D402*$AE$13+E402*$AE$14+F402*$AE$15+G402*$AE$16+H402*$AE$17+I402*$AE$18+J402*$AE$19+K402*$AE$20+L402*$AE$21+M402*$AE$22+N402*$AE$23+O402*$AE$24+P402*$AE$25+Q402*$AE$26+R402*$AE$27+S402*$AE$28+T402*$AE$29+U402*$AE$30</f>
        <v/>
      </c>
      <c r="W402" s="8">
        <f>1/(1+EXP(-V402))</f>
        <v/>
      </c>
      <c r="X402" s="9">
        <f>-IF(C402=1,LN(W402),LN(1-W402))</f>
        <v/>
      </c>
      <c r="Y402" s="8">
        <f>1</f>
        <v/>
      </c>
      <c r="Z402" s="9">
        <f>Y402*X402</f>
        <v/>
      </c>
      <c r="AA402" s="10">
        <f>IF(W402&gt;$AE$32,1,0)</f>
        <v/>
      </c>
      <c r="AB402">
        <f>IF(AA402=C402,1,0)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$AE$12+D403*$AE$13+E403*$AE$14+F403*$AE$15+G403*$AE$16+H403*$AE$17+I403*$AE$18+J403*$AE$19+K403*$AE$20+L403*$AE$21+M403*$AE$22+N403*$AE$23+O403*$AE$24+P403*$AE$25+Q403*$AE$26+R403*$AE$27+S403*$AE$28+T403*$AE$29+U403*$AE$30</f>
        <v/>
      </c>
      <c r="W403" s="8">
        <f>1/(1+EXP(-V403))</f>
        <v/>
      </c>
      <c r="X403" s="9">
        <f>-IF(C403=1,LN(W403),LN(1-W403))</f>
        <v/>
      </c>
      <c r="Y403" s="8">
        <f>1</f>
        <v/>
      </c>
      <c r="Z403" s="9">
        <f>Y403*X403</f>
        <v/>
      </c>
      <c r="AA403" s="10">
        <f>IF(W403&gt;$AE$32,1,0)</f>
        <v/>
      </c>
      <c r="AB403">
        <f>IF(AA403=C403,1,0)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$AE$12+D404*$AE$13+E404*$AE$14+F404*$AE$15+G404*$AE$16+H404*$AE$17+I404*$AE$18+J404*$AE$19+K404*$AE$20+L404*$AE$21+M404*$AE$22+N404*$AE$23+O404*$AE$24+P404*$AE$25+Q404*$AE$26+R404*$AE$27+S404*$AE$28+T404*$AE$29+U404*$AE$30</f>
        <v/>
      </c>
      <c r="W404" s="8">
        <f>1/(1+EXP(-V404))</f>
        <v/>
      </c>
      <c r="X404" s="9">
        <f>-IF(C404=1,LN(W404),LN(1-W404))</f>
        <v/>
      </c>
      <c r="Y404" s="8">
        <f>1</f>
        <v/>
      </c>
      <c r="Z404" s="9">
        <f>Y404*X404</f>
        <v/>
      </c>
      <c r="AA404" s="10">
        <f>IF(W404&gt;$AE$32,1,0)</f>
        <v/>
      </c>
      <c r="AB404">
        <f>IF(AA404=C404,1,0)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$AE$12+D405*$AE$13+E405*$AE$14+F405*$AE$15+G405*$AE$16+H405*$AE$17+I405*$AE$18+J405*$AE$19+K405*$AE$20+L405*$AE$21+M405*$AE$22+N405*$AE$23+O405*$AE$24+P405*$AE$25+Q405*$AE$26+R405*$AE$27+S405*$AE$28+T405*$AE$29+U405*$AE$30</f>
        <v/>
      </c>
      <c r="W405" s="8">
        <f>1/(1+EXP(-V405))</f>
        <v/>
      </c>
      <c r="X405" s="9">
        <f>-IF(C405=1,LN(W405),LN(1-W405))</f>
        <v/>
      </c>
      <c r="Y405" s="8">
        <f>1</f>
        <v/>
      </c>
      <c r="Z405" s="9">
        <f>Y405*X405</f>
        <v/>
      </c>
      <c r="AA405" s="10">
        <f>IF(W405&gt;$AE$32,1,0)</f>
        <v/>
      </c>
      <c r="AB405">
        <f>IF(AA405=C405,1,0)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$AE$12+D406*$AE$13+E406*$AE$14+F406*$AE$15+G406*$AE$16+H406*$AE$17+I406*$AE$18+J406*$AE$19+K406*$AE$20+L406*$AE$21+M406*$AE$22+N406*$AE$23+O406*$AE$24+P406*$AE$25+Q406*$AE$26+R406*$AE$27+S406*$AE$28+T406*$AE$29+U406*$AE$30</f>
        <v/>
      </c>
      <c r="W406" s="8">
        <f>1/(1+EXP(-V406))</f>
        <v/>
      </c>
      <c r="X406" s="9">
        <f>-IF(C406=1,LN(W406),LN(1-W406))</f>
        <v/>
      </c>
      <c r="Y406" s="8">
        <f>1</f>
        <v/>
      </c>
      <c r="Z406" s="9">
        <f>Y406*X406</f>
        <v/>
      </c>
      <c r="AA406" s="10">
        <f>IF(W406&gt;$AE$32,1,0)</f>
        <v/>
      </c>
      <c r="AB406">
        <f>IF(AA406=C406,1,0)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$AE$12+D407*$AE$13+E407*$AE$14+F407*$AE$15+G407*$AE$16+H407*$AE$17+I407*$AE$18+J407*$AE$19+K407*$AE$20+L407*$AE$21+M407*$AE$22+N407*$AE$23+O407*$AE$24+P407*$AE$25+Q407*$AE$26+R407*$AE$27+S407*$AE$28+T407*$AE$29+U407*$AE$30</f>
        <v/>
      </c>
      <c r="W407" s="8">
        <f>1/(1+EXP(-V407))</f>
        <v/>
      </c>
      <c r="X407" s="9">
        <f>-IF(C407=1,LN(W407),LN(1-W407))</f>
        <v/>
      </c>
      <c r="Y407" s="8">
        <f>1</f>
        <v/>
      </c>
      <c r="Z407" s="9">
        <f>Y407*X407</f>
        <v/>
      </c>
      <c r="AA407" s="10">
        <f>IF(W407&gt;$AE$32,1,0)</f>
        <v/>
      </c>
      <c r="AB407">
        <f>IF(AA407=C407,1,0)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$AE$12+D408*$AE$13+E408*$AE$14+F408*$AE$15+G408*$AE$16+H408*$AE$17+I408*$AE$18+J408*$AE$19+K408*$AE$20+L408*$AE$21+M408*$AE$22+N408*$AE$23+O408*$AE$24+P408*$AE$25+Q408*$AE$26+R408*$AE$27+S408*$AE$28+T408*$AE$29+U408*$AE$30</f>
        <v/>
      </c>
      <c r="W408" s="8">
        <f>1/(1+EXP(-V408))</f>
        <v/>
      </c>
      <c r="X408" s="9">
        <f>-IF(C408=1,LN(W408),LN(1-W408))</f>
        <v/>
      </c>
      <c r="Y408" s="8">
        <f>1</f>
        <v/>
      </c>
      <c r="Z408" s="9">
        <f>Y408*X408</f>
        <v/>
      </c>
      <c r="AA408" s="10">
        <f>IF(W408&gt;$AE$32,1,0)</f>
        <v/>
      </c>
      <c r="AB408">
        <f>IF(AA408=C408,1,0)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$AE$12+D409*$AE$13+E409*$AE$14+F409*$AE$15+G409*$AE$16+H409*$AE$17+I409*$AE$18+J409*$AE$19+K409*$AE$20+L409*$AE$21+M409*$AE$22+N409*$AE$23+O409*$AE$24+P409*$AE$25+Q409*$AE$26+R409*$AE$27+S409*$AE$28+T409*$AE$29+U409*$AE$30</f>
        <v/>
      </c>
      <c r="W409" s="8">
        <f>1/(1+EXP(-V409))</f>
        <v/>
      </c>
      <c r="X409" s="9">
        <f>-IF(C409=1,LN(W409),LN(1-W409))</f>
        <v/>
      </c>
      <c r="Y409" s="8">
        <f>1</f>
        <v/>
      </c>
      <c r="Z409" s="9">
        <f>Y409*X409</f>
        <v/>
      </c>
      <c r="AA409" s="10">
        <f>IF(W409&gt;$AE$32,1,0)</f>
        <v/>
      </c>
      <c r="AB409">
        <f>IF(AA409=C409,1,0)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$AE$12+D410*$AE$13+E410*$AE$14+F410*$AE$15+G410*$AE$16+H410*$AE$17+I410*$AE$18+J410*$AE$19+K410*$AE$20+L410*$AE$21+M410*$AE$22+N410*$AE$23+O410*$AE$24+P410*$AE$25+Q410*$AE$26+R410*$AE$27+S410*$AE$28+T410*$AE$29+U410*$AE$30</f>
        <v/>
      </c>
      <c r="W410" s="8">
        <f>1/(1+EXP(-V410))</f>
        <v/>
      </c>
      <c r="X410" s="9">
        <f>-IF(C410=1,LN(W410),LN(1-W410))</f>
        <v/>
      </c>
      <c r="Y410" s="8">
        <f>1</f>
        <v/>
      </c>
      <c r="Z410" s="9">
        <f>Y410*X410</f>
        <v/>
      </c>
      <c r="AA410" s="10">
        <f>IF(W410&gt;$AE$32,1,0)</f>
        <v/>
      </c>
      <c r="AB410">
        <f>IF(AA410=C410,1,0)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$AE$12+D411*$AE$13+E411*$AE$14+F411*$AE$15+G411*$AE$16+H411*$AE$17+I411*$AE$18+J411*$AE$19+K411*$AE$20+L411*$AE$21+M411*$AE$22+N411*$AE$23+O411*$AE$24+P411*$AE$25+Q411*$AE$26+R411*$AE$27+S411*$AE$28+T411*$AE$29+U411*$AE$30</f>
        <v/>
      </c>
      <c r="W411" s="8">
        <f>1/(1+EXP(-V411))</f>
        <v/>
      </c>
      <c r="X411" s="9">
        <f>-IF(C411=1,LN(W411),LN(1-W411))</f>
        <v/>
      </c>
      <c r="Y411" s="8">
        <f>1</f>
        <v/>
      </c>
      <c r="Z411" s="9">
        <f>Y411*X411</f>
        <v/>
      </c>
      <c r="AA411" s="10">
        <f>IF(W411&gt;$AE$32,1,0)</f>
        <v/>
      </c>
      <c r="AB411">
        <f>IF(AA411=C411,1,0)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$AE$12+D412*$AE$13+E412*$AE$14+F412*$AE$15+G412*$AE$16+H412*$AE$17+I412*$AE$18+J412*$AE$19+K412*$AE$20+L412*$AE$21+M412*$AE$22+N412*$AE$23+O412*$AE$24+P412*$AE$25+Q412*$AE$26+R412*$AE$27+S412*$AE$28+T412*$AE$29+U412*$AE$30</f>
        <v/>
      </c>
      <c r="W412" s="8">
        <f>1/(1+EXP(-V412))</f>
        <v/>
      </c>
      <c r="X412" s="9">
        <f>-IF(C412=1,LN(W412),LN(1-W412))</f>
        <v/>
      </c>
      <c r="Y412" s="8">
        <f>1</f>
        <v/>
      </c>
      <c r="Z412" s="9">
        <f>Y412*X412</f>
        <v/>
      </c>
      <c r="AA412" s="10">
        <f>IF(W412&gt;$AE$32,1,0)</f>
        <v/>
      </c>
      <c r="AB412">
        <f>IF(AA412=C412,1,0)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$AE$12+D413*$AE$13+E413*$AE$14+F413*$AE$15+G413*$AE$16+H413*$AE$17+I413*$AE$18+J413*$AE$19+K413*$AE$20+L413*$AE$21+M413*$AE$22+N413*$AE$23+O413*$AE$24+P413*$AE$25+Q413*$AE$26+R413*$AE$27+S413*$AE$28+T413*$AE$29+U413*$AE$30</f>
        <v/>
      </c>
      <c r="W413" s="8">
        <f>1/(1+EXP(-V413))</f>
        <v/>
      </c>
      <c r="X413" s="9">
        <f>-IF(C413=1,LN(W413),LN(1-W413))</f>
        <v/>
      </c>
      <c r="Y413" s="8">
        <f>1</f>
        <v/>
      </c>
      <c r="Z413" s="9">
        <f>Y413*X413</f>
        <v/>
      </c>
      <c r="AA413" s="10">
        <f>IF(W413&gt;$AE$32,1,0)</f>
        <v/>
      </c>
      <c r="AB413">
        <f>IF(AA413=C413,1,0)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$AE$12+D414*$AE$13+E414*$AE$14+F414*$AE$15+G414*$AE$16+H414*$AE$17+I414*$AE$18+J414*$AE$19+K414*$AE$20+L414*$AE$21+M414*$AE$22+N414*$AE$23+O414*$AE$24+P414*$AE$25+Q414*$AE$26+R414*$AE$27+S414*$AE$28+T414*$AE$29+U414*$AE$30</f>
        <v/>
      </c>
      <c r="W414" s="8">
        <f>1/(1+EXP(-V414))</f>
        <v/>
      </c>
      <c r="X414" s="9">
        <f>-IF(C414=1,LN(W414),LN(1-W414))</f>
        <v/>
      </c>
      <c r="Y414" s="8">
        <f>1</f>
        <v/>
      </c>
      <c r="Z414" s="9">
        <f>Y414*X414</f>
        <v/>
      </c>
      <c r="AA414" s="10">
        <f>IF(W414&gt;$AE$32,1,0)</f>
        <v/>
      </c>
      <c r="AB414">
        <f>IF(AA414=C414,1,0)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$AE$12+D415*$AE$13+E415*$AE$14+F415*$AE$15+G415*$AE$16+H415*$AE$17+I415*$AE$18+J415*$AE$19+K415*$AE$20+L415*$AE$21+M415*$AE$22+N415*$AE$23+O415*$AE$24+P415*$AE$25+Q415*$AE$26+R415*$AE$27+S415*$AE$28+T415*$AE$29+U415*$AE$30</f>
        <v/>
      </c>
      <c r="W415" s="8">
        <f>1/(1+EXP(-V415))</f>
        <v/>
      </c>
      <c r="X415" s="9">
        <f>-IF(C415=1,LN(W415),LN(1-W415))</f>
        <v/>
      </c>
      <c r="Y415" s="8">
        <f>1</f>
        <v/>
      </c>
      <c r="Z415" s="9">
        <f>Y415*X415</f>
        <v/>
      </c>
      <c r="AA415" s="10">
        <f>IF(W415&gt;$AE$32,1,0)</f>
        <v/>
      </c>
      <c r="AB415">
        <f>IF(AA415=C415,1,0)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$AE$12+D416*$AE$13+E416*$AE$14+F416*$AE$15+G416*$AE$16+H416*$AE$17+I416*$AE$18+J416*$AE$19+K416*$AE$20+L416*$AE$21+M416*$AE$22+N416*$AE$23+O416*$AE$24+P416*$AE$25+Q416*$AE$26+R416*$AE$27+S416*$AE$28+T416*$AE$29+U416*$AE$30</f>
        <v/>
      </c>
      <c r="W416" s="8">
        <f>1/(1+EXP(-V416))</f>
        <v/>
      </c>
      <c r="X416" s="9">
        <f>-IF(C416=1,LN(W416),LN(1-W416))</f>
        <v/>
      </c>
      <c r="Y416" s="8">
        <f>1</f>
        <v/>
      </c>
      <c r="Z416" s="9">
        <f>Y416*X416</f>
        <v/>
      </c>
      <c r="AA416" s="10">
        <f>IF(W416&gt;$AE$32,1,0)</f>
        <v/>
      </c>
      <c r="AB416">
        <f>IF(AA416=C416,1,0)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$AE$12+D417*$AE$13+E417*$AE$14+F417*$AE$15+G417*$AE$16+H417*$AE$17+I417*$AE$18+J417*$AE$19+K417*$AE$20+L417*$AE$21+M417*$AE$22+N417*$AE$23+O417*$AE$24+P417*$AE$25+Q417*$AE$26+R417*$AE$27+S417*$AE$28+T417*$AE$29+U417*$AE$30</f>
        <v/>
      </c>
      <c r="W417" s="8">
        <f>1/(1+EXP(-V417))</f>
        <v/>
      </c>
      <c r="X417" s="9">
        <f>-IF(C417=1,LN(W417),LN(1-W417))</f>
        <v/>
      </c>
      <c r="Y417" s="8">
        <f>1</f>
        <v/>
      </c>
      <c r="Z417" s="9">
        <f>Y417*X417</f>
        <v/>
      </c>
      <c r="AA417" s="10">
        <f>IF(W417&gt;$AE$32,1,0)</f>
        <v/>
      </c>
      <c r="AB417">
        <f>IF(AA417=C417,1,0)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$AE$12+D418*$AE$13+E418*$AE$14+F418*$AE$15+G418*$AE$16+H418*$AE$17+I418*$AE$18+J418*$AE$19+K418*$AE$20+L418*$AE$21+M418*$AE$22+N418*$AE$23+O418*$AE$24+P418*$AE$25+Q418*$AE$26+R418*$AE$27+S418*$AE$28+T418*$AE$29+U418*$AE$30</f>
        <v/>
      </c>
      <c r="W418" s="8">
        <f>1/(1+EXP(-V418))</f>
        <v/>
      </c>
      <c r="X418" s="9">
        <f>-IF(C418=1,LN(W418),LN(1-W418))</f>
        <v/>
      </c>
      <c r="Y418" s="8">
        <f>1</f>
        <v/>
      </c>
      <c r="Z418" s="9">
        <f>Y418*X418</f>
        <v/>
      </c>
      <c r="AA418" s="10">
        <f>IF(W418&gt;$AE$32,1,0)</f>
        <v/>
      </c>
      <c r="AB418">
        <f>IF(AA418=C418,1,0)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$AE$12+D419*$AE$13+E419*$AE$14+F419*$AE$15+G419*$AE$16+H419*$AE$17+I419*$AE$18+J419*$AE$19+K419*$AE$20+L419*$AE$21+M419*$AE$22+N419*$AE$23+O419*$AE$24+P419*$AE$25+Q419*$AE$26+R419*$AE$27+S419*$AE$28+T419*$AE$29+U419*$AE$30</f>
        <v/>
      </c>
      <c r="W419" s="8">
        <f>1/(1+EXP(-V419))</f>
        <v/>
      </c>
      <c r="X419" s="9">
        <f>-IF(C419=1,LN(W419),LN(1-W419))</f>
        <v/>
      </c>
      <c r="Y419" s="8">
        <f>1</f>
        <v/>
      </c>
      <c r="Z419" s="9">
        <f>Y419*X419</f>
        <v/>
      </c>
      <c r="AA419" s="10">
        <f>IF(W419&gt;$AE$32,1,0)</f>
        <v/>
      </c>
      <c r="AB419">
        <f>IF(AA419=C419,1,0)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$AE$12+D420*$AE$13+E420*$AE$14+F420*$AE$15+G420*$AE$16+H420*$AE$17+I420*$AE$18+J420*$AE$19+K420*$AE$20+L420*$AE$21+M420*$AE$22+N420*$AE$23+O420*$AE$24+P420*$AE$25+Q420*$AE$26+R420*$AE$27+S420*$AE$28+T420*$AE$29+U420*$AE$30</f>
        <v/>
      </c>
      <c r="W420" s="8">
        <f>1/(1+EXP(-V420))</f>
        <v/>
      </c>
      <c r="X420" s="9">
        <f>-IF(C420=1,LN(W420),LN(1-W420))</f>
        <v/>
      </c>
      <c r="Y420" s="8">
        <f>1</f>
        <v/>
      </c>
      <c r="Z420" s="9">
        <f>Y420*X420</f>
        <v/>
      </c>
      <c r="AA420" s="10">
        <f>IF(W420&gt;$AE$32,1,0)</f>
        <v/>
      </c>
      <c r="AB420">
        <f>IF(AA420=C420,1,0)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$AE$12+D421*$AE$13+E421*$AE$14+F421*$AE$15+G421*$AE$16+H421*$AE$17+I421*$AE$18+J421*$AE$19+K421*$AE$20+L421*$AE$21+M421*$AE$22+N421*$AE$23+O421*$AE$24+P421*$AE$25+Q421*$AE$26+R421*$AE$27+S421*$AE$28+T421*$AE$29+U421*$AE$30</f>
        <v/>
      </c>
      <c r="W421" s="8">
        <f>1/(1+EXP(-V421))</f>
        <v/>
      </c>
      <c r="X421" s="9">
        <f>-IF(C421=1,LN(W421),LN(1-W421))</f>
        <v/>
      </c>
      <c r="Y421" s="8">
        <f>1</f>
        <v/>
      </c>
      <c r="Z421" s="9">
        <f>Y421*X421</f>
        <v/>
      </c>
      <c r="AA421" s="10">
        <f>IF(W421&gt;$AE$32,1,0)</f>
        <v/>
      </c>
      <c r="AB421">
        <f>IF(AA421=C421,1,0)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$AE$12+D422*$AE$13+E422*$AE$14+F422*$AE$15+G422*$AE$16+H422*$AE$17+I422*$AE$18+J422*$AE$19+K422*$AE$20+L422*$AE$21+M422*$AE$22+N422*$AE$23+O422*$AE$24+P422*$AE$25+Q422*$AE$26+R422*$AE$27+S422*$AE$28+T422*$AE$29+U422*$AE$30</f>
        <v/>
      </c>
      <c r="W422" s="8">
        <f>1/(1+EXP(-V422))</f>
        <v/>
      </c>
      <c r="X422" s="9">
        <f>-IF(C422=1,LN(W422),LN(1-W422))</f>
        <v/>
      </c>
      <c r="Y422" s="8">
        <f>1</f>
        <v/>
      </c>
      <c r="Z422" s="9">
        <f>Y422*X422</f>
        <v/>
      </c>
      <c r="AA422" s="10">
        <f>IF(W422&gt;$AE$32,1,0)</f>
        <v/>
      </c>
      <c r="AB422">
        <f>IF(AA422=C422,1,0)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$AE$12+D423*$AE$13+E423*$AE$14+F423*$AE$15+G423*$AE$16+H423*$AE$17+I423*$AE$18+J423*$AE$19+K423*$AE$20+L423*$AE$21+M423*$AE$22+N423*$AE$23+O423*$AE$24+P423*$AE$25+Q423*$AE$26+R423*$AE$27+S423*$AE$28+T423*$AE$29+U423*$AE$30</f>
        <v/>
      </c>
      <c r="W423" s="8">
        <f>1/(1+EXP(-V423))</f>
        <v/>
      </c>
      <c r="X423" s="9">
        <f>-IF(C423=1,LN(W423),LN(1-W423))</f>
        <v/>
      </c>
      <c r="Y423" s="8">
        <f>1</f>
        <v/>
      </c>
      <c r="Z423" s="9">
        <f>Y423*X423</f>
        <v/>
      </c>
      <c r="AA423" s="10">
        <f>IF(W423&gt;$AE$32,1,0)</f>
        <v/>
      </c>
      <c r="AB423">
        <f>IF(AA423=C423,1,0)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$AE$12+D424*$AE$13+E424*$AE$14+F424*$AE$15+G424*$AE$16+H424*$AE$17+I424*$AE$18+J424*$AE$19+K424*$AE$20+L424*$AE$21+M424*$AE$22+N424*$AE$23+O424*$AE$24+P424*$AE$25+Q424*$AE$26+R424*$AE$27+S424*$AE$28+T424*$AE$29+U424*$AE$30</f>
        <v/>
      </c>
      <c r="W424" s="8">
        <f>1/(1+EXP(-V424))</f>
        <v/>
      </c>
      <c r="X424" s="9">
        <f>-IF(C424=1,LN(W424),LN(1-W424))</f>
        <v/>
      </c>
      <c r="Y424" s="8">
        <f>1</f>
        <v/>
      </c>
      <c r="Z424" s="9">
        <f>Y424*X424</f>
        <v/>
      </c>
      <c r="AA424" s="10">
        <f>IF(W424&gt;$AE$32,1,0)</f>
        <v/>
      </c>
      <c r="AB424">
        <f>IF(AA424=C424,1,0)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$AE$12+D425*$AE$13+E425*$AE$14+F425*$AE$15+G425*$AE$16+H425*$AE$17+I425*$AE$18+J425*$AE$19+K425*$AE$20+L425*$AE$21+M425*$AE$22+N425*$AE$23+O425*$AE$24+P425*$AE$25+Q425*$AE$26+R425*$AE$27+S425*$AE$28+T425*$AE$29+U425*$AE$30</f>
        <v/>
      </c>
      <c r="W425" s="8">
        <f>1/(1+EXP(-V425))</f>
        <v/>
      </c>
      <c r="X425" s="9">
        <f>-IF(C425=1,LN(W425),LN(1-W425))</f>
        <v/>
      </c>
      <c r="Y425" s="8">
        <f>1</f>
        <v/>
      </c>
      <c r="Z425" s="9">
        <f>Y425*X425</f>
        <v/>
      </c>
      <c r="AA425" s="10">
        <f>IF(W425&gt;$AE$32,1,0)</f>
        <v/>
      </c>
      <c r="AB425">
        <f>IF(AA425=C425,1,0)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$AE$12+D426*$AE$13+E426*$AE$14+F426*$AE$15+G426*$AE$16+H426*$AE$17+I426*$AE$18+J426*$AE$19+K426*$AE$20+L426*$AE$21+M426*$AE$22+N426*$AE$23+O426*$AE$24+P426*$AE$25+Q426*$AE$26+R426*$AE$27+S426*$AE$28+T426*$AE$29+U426*$AE$30</f>
        <v/>
      </c>
      <c r="W426" s="8">
        <f>1/(1+EXP(-V426))</f>
        <v/>
      </c>
      <c r="X426" s="9">
        <f>-IF(C426=1,LN(W426),LN(1-W426))</f>
        <v/>
      </c>
      <c r="Y426" s="8">
        <f>1</f>
        <v/>
      </c>
      <c r="Z426" s="9">
        <f>Y426*X426</f>
        <v/>
      </c>
      <c r="AA426" s="10">
        <f>IF(W426&gt;$AE$32,1,0)</f>
        <v/>
      </c>
      <c r="AB426">
        <f>IF(AA426=C426,1,0)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$AE$12+D427*$AE$13+E427*$AE$14+F427*$AE$15+G427*$AE$16+H427*$AE$17+I427*$AE$18+J427*$AE$19+K427*$AE$20+L427*$AE$21+M427*$AE$22+N427*$AE$23+O427*$AE$24+P427*$AE$25+Q427*$AE$26+R427*$AE$27+S427*$AE$28+T427*$AE$29+U427*$AE$30</f>
        <v/>
      </c>
      <c r="W427" s="8">
        <f>1/(1+EXP(-V427))</f>
        <v/>
      </c>
      <c r="X427" s="9">
        <f>-IF(C427=1,LN(W427),LN(1-W427))</f>
        <v/>
      </c>
      <c r="Y427" s="8">
        <f>1</f>
        <v/>
      </c>
      <c r="Z427" s="9">
        <f>Y427*X427</f>
        <v/>
      </c>
      <c r="AA427" s="10">
        <f>IF(W427&gt;$AE$32,1,0)</f>
        <v/>
      </c>
      <c r="AB427">
        <f>IF(AA427=C427,1,0)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$AE$12+D428*$AE$13+E428*$AE$14+F428*$AE$15+G428*$AE$16+H428*$AE$17+I428*$AE$18+J428*$AE$19+K428*$AE$20+L428*$AE$21+M428*$AE$22+N428*$AE$23+O428*$AE$24+P428*$AE$25+Q428*$AE$26+R428*$AE$27+S428*$AE$28+T428*$AE$29+U428*$AE$30</f>
        <v/>
      </c>
      <c r="W428" s="8">
        <f>1/(1+EXP(-V428))</f>
        <v/>
      </c>
      <c r="X428" s="9">
        <f>-IF(C428=1,LN(W428),LN(1-W428))</f>
        <v/>
      </c>
      <c r="Y428" s="8">
        <f>1</f>
        <v/>
      </c>
      <c r="Z428" s="9">
        <f>Y428*X428</f>
        <v/>
      </c>
      <c r="AA428" s="10">
        <f>IF(W428&gt;$AE$32,1,0)</f>
        <v/>
      </c>
      <c r="AB428">
        <f>IF(AA428=C428,1,0)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$AE$12+D429*$AE$13+E429*$AE$14+F429*$AE$15+G429*$AE$16+H429*$AE$17+I429*$AE$18+J429*$AE$19+K429*$AE$20+L429*$AE$21+M429*$AE$22+N429*$AE$23+O429*$AE$24+P429*$AE$25+Q429*$AE$26+R429*$AE$27+S429*$AE$28+T429*$AE$29+U429*$AE$30</f>
        <v/>
      </c>
      <c r="W429" s="8">
        <f>1/(1+EXP(-V429))</f>
        <v/>
      </c>
      <c r="X429" s="9">
        <f>-IF(C429=1,LN(W429),LN(1-W429))</f>
        <v/>
      </c>
      <c r="Y429" s="8">
        <f>1</f>
        <v/>
      </c>
      <c r="Z429" s="9">
        <f>Y429*X429</f>
        <v/>
      </c>
      <c r="AA429" s="10">
        <f>IF(W429&gt;$AE$32,1,0)</f>
        <v/>
      </c>
      <c r="AB429">
        <f>IF(AA429=C429,1,0)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$AE$12+D430*$AE$13+E430*$AE$14+F430*$AE$15+G430*$AE$16+H430*$AE$17+I430*$AE$18+J430*$AE$19+K430*$AE$20+L430*$AE$21+M430*$AE$22+N430*$AE$23+O430*$AE$24+P430*$AE$25+Q430*$AE$26+R430*$AE$27+S430*$AE$28+T430*$AE$29+U430*$AE$30</f>
        <v/>
      </c>
      <c r="W430" s="8">
        <f>1/(1+EXP(-V430))</f>
        <v/>
      </c>
      <c r="X430" s="9">
        <f>-IF(C430=1,LN(W430),LN(1-W430))</f>
        <v/>
      </c>
      <c r="Y430" s="8">
        <f>1</f>
        <v/>
      </c>
      <c r="Z430" s="9">
        <f>Y430*X430</f>
        <v/>
      </c>
      <c r="AA430" s="10">
        <f>IF(W430&gt;$AE$32,1,0)</f>
        <v/>
      </c>
      <c r="AB430">
        <f>IF(AA430=C430,1,0)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$AE$12+D431*$AE$13+E431*$AE$14+F431*$AE$15+G431*$AE$16+H431*$AE$17+I431*$AE$18+J431*$AE$19+K431*$AE$20+L431*$AE$21+M431*$AE$22+N431*$AE$23+O431*$AE$24+P431*$AE$25+Q431*$AE$26+R431*$AE$27+S431*$AE$28+T431*$AE$29+U431*$AE$30</f>
        <v/>
      </c>
      <c r="W431" s="8">
        <f>1/(1+EXP(-V431))</f>
        <v/>
      </c>
      <c r="X431" s="9">
        <f>-IF(C431=1,LN(W431),LN(1-W431))</f>
        <v/>
      </c>
      <c r="Y431" s="8">
        <f>1</f>
        <v/>
      </c>
      <c r="Z431" s="9">
        <f>Y431*X431</f>
        <v/>
      </c>
      <c r="AA431" s="10">
        <f>IF(W431&gt;$AE$32,1,0)</f>
        <v/>
      </c>
      <c r="AB431">
        <f>IF(AA431=C431,1,0)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$AE$12+D432*$AE$13+E432*$AE$14+F432*$AE$15+G432*$AE$16+H432*$AE$17+I432*$AE$18+J432*$AE$19+K432*$AE$20+L432*$AE$21+M432*$AE$22+N432*$AE$23+O432*$AE$24+P432*$AE$25+Q432*$AE$26+R432*$AE$27+S432*$AE$28+T432*$AE$29+U432*$AE$30</f>
        <v/>
      </c>
      <c r="W432" s="8">
        <f>1/(1+EXP(-V432))</f>
        <v/>
      </c>
      <c r="X432" s="9">
        <f>-IF(C432=1,LN(W432),LN(1-W432))</f>
        <v/>
      </c>
      <c r="Y432" s="8">
        <f>1</f>
        <v/>
      </c>
      <c r="Z432" s="9">
        <f>Y432*X432</f>
        <v/>
      </c>
      <c r="AA432" s="10">
        <f>IF(W432&gt;$AE$32,1,0)</f>
        <v/>
      </c>
      <c r="AB432">
        <f>IF(AA432=C432,1,0)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$AE$12+D433*$AE$13+E433*$AE$14+F433*$AE$15+G433*$AE$16+H433*$AE$17+I433*$AE$18+J433*$AE$19+K433*$AE$20+L433*$AE$21+M433*$AE$22+N433*$AE$23+O433*$AE$24+P433*$AE$25+Q433*$AE$26+R433*$AE$27+S433*$AE$28+T433*$AE$29+U433*$AE$30</f>
        <v/>
      </c>
      <c r="W433" s="8">
        <f>1/(1+EXP(-V433))</f>
        <v/>
      </c>
      <c r="X433" s="9">
        <f>-IF(C433=1,LN(W433),LN(1-W433))</f>
        <v/>
      </c>
      <c r="Y433" s="8">
        <f>1</f>
        <v/>
      </c>
      <c r="Z433" s="9">
        <f>Y433*X433</f>
        <v/>
      </c>
      <c r="AA433" s="10">
        <f>IF(W433&gt;$AE$32,1,0)</f>
        <v/>
      </c>
      <c r="AB433">
        <f>IF(AA433=C433,1,0)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$AE$12+D434*$AE$13+E434*$AE$14+F434*$AE$15+G434*$AE$16+H434*$AE$17+I434*$AE$18+J434*$AE$19+K434*$AE$20+L434*$AE$21+M434*$AE$22+N434*$AE$23+O434*$AE$24+P434*$AE$25+Q434*$AE$26+R434*$AE$27+S434*$AE$28+T434*$AE$29+U434*$AE$30</f>
        <v/>
      </c>
      <c r="W434" s="8">
        <f>1/(1+EXP(-V434))</f>
        <v/>
      </c>
      <c r="X434" s="9">
        <f>-IF(C434=1,LN(W434),LN(1-W434))</f>
        <v/>
      </c>
      <c r="Y434" s="8">
        <f>1</f>
        <v/>
      </c>
      <c r="Z434" s="9">
        <f>Y434*X434</f>
        <v/>
      </c>
      <c r="AA434" s="10">
        <f>IF(W434&gt;$AE$32,1,0)</f>
        <v/>
      </c>
      <c r="AB434">
        <f>IF(AA434=C434,1,0)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$AE$12+D435*$AE$13+E435*$AE$14+F435*$AE$15+G435*$AE$16+H435*$AE$17+I435*$AE$18+J435*$AE$19+K435*$AE$20+L435*$AE$21+M435*$AE$22+N435*$AE$23+O435*$AE$24+P435*$AE$25+Q435*$AE$26+R435*$AE$27+S435*$AE$28+T435*$AE$29+U435*$AE$30</f>
        <v/>
      </c>
      <c r="W435" s="8">
        <f>1/(1+EXP(-V435))</f>
        <v/>
      </c>
      <c r="X435" s="9">
        <f>-IF(C435=1,LN(W435),LN(1-W435))</f>
        <v/>
      </c>
      <c r="Y435" s="8">
        <f>1</f>
        <v/>
      </c>
      <c r="Z435" s="9">
        <f>Y435*X435</f>
        <v/>
      </c>
      <c r="AA435" s="10">
        <f>IF(W435&gt;$AE$32,1,0)</f>
        <v/>
      </c>
      <c r="AB435">
        <f>IF(AA435=C435,1,0)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$AE$12+D436*$AE$13+E436*$AE$14+F436*$AE$15+G436*$AE$16+H436*$AE$17+I436*$AE$18+J436*$AE$19+K436*$AE$20+L436*$AE$21+M436*$AE$22+N436*$AE$23+O436*$AE$24+P436*$AE$25+Q436*$AE$26+R436*$AE$27+S436*$AE$28+T436*$AE$29+U436*$AE$30</f>
        <v/>
      </c>
      <c r="W436" s="8">
        <f>1/(1+EXP(-V436))</f>
        <v/>
      </c>
      <c r="X436" s="9">
        <f>-IF(C436=1,LN(W436),LN(1-W436))</f>
        <v/>
      </c>
      <c r="Y436" s="8">
        <f>1</f>
        <v/>
      </c>
      <c r="Z436" s="9">
        <f>Y436*X436</f>
        <v/>
      </c>
      <c r="AA436" s="10">
        <f>IF(W436&gt;$AE$32,1,0)</f>
        <v/>
      </c>
      <c r="AB436">
        <f>IF(AA436=C436,1,0)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$AE$12+D437*$AE$13+E437*$AE$14+F437*$AE$15+G437*$AE$16+H437*$AE$17+I437*$AE$18+J437*$AE$19+K437*$AE$20+L437*$AE$21+M437*$AE$22+N437*$AE$23+O437*$AE$24+P437*$AE$25+Q437*$AE$26+R437*$AE$27+S437*$AE$28+T437*$AE$29+U437*$AE$30</f>
        <v/>
      </c>
      <c r="W437" s="8">
        <f>1/(1+EXP(-V437))</f>
        <v/>
      </c>
      <c r="X437" s="9">
        <f>-IF(C437=1,LN(W437),LN(1-W437))</f>
        <v/>
      </c>
      <c r="Y437" s="8">
        <f>1</f>
        <v/>
      </c>
      <c r="Z437" s="9">
        <f>Y437*X437</f>
        <v/>
      </c>
      <c r="AA437" s="10">
        <f>IF(W437&gt;$AE$32,1,0)</f>
        <v/>
      </c>
      <c r="AB437">
        <f>IF(AA437=C437,1,0)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$AE$12+D438*$AE$13+E438*$AE$14+F438*$AE$15+G438*$AE$16+H438*$AE$17+I438*$AE$18+J438*$AE$19+K438*$AE$20+L438*$AE$21+M438*$AE$22+N438*$AE$23+O438*$AE$24+P438*$AE$25+Q438*$AE$26+R438*$AE$27+S438*$AE$28+T438*$AE$29+U438*$AE$30</f>
        <v/>
      </c>
      <c r="W438" s="8">
        <f>1/(1+EXP(-V438))</f>
        <v/>
      </c>
      <c r="X438" s="9">
        <f>-IF(C438=1,LN(W438),LN(1-W438))</f>
        <v/>
      </c>
      <c r="Y438" s="8">
        <f>1</f>
        <v/>
      </c>
      <c r="Z438" s="9">
        <f>Y438*X438</f>
        <v/>
      </c>
      <c r="AA438" s="10">
        <f>IF(W438&gt;$AE$32,1,0)</f>
        <v/>
      </c>
      <c r="AB438">
        <f>IF(AA438=C438,1,0)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$AE$12+D439*$AE$13+E439*$AE$14+F439*$AE$15+G439*$AE$16+H439*$AE$17+I439*$AE$18+J439*$AE$19+K439*$AE$20+L439*$AE$21+M439*$AE$22+N439*$AE$23+O439*$AE$24+P439*$AE$25+Q439*$AE$26+R439*$AE$27+S439*$AE$28+T439*$AE$29+U439*$AE$30</f>
        <v/>
      </c>
      <c r="W439" s="8">
        <f>1/(1+EXP(-V439))</f>
        <v/>
      </c>
      <c r="X439" s="9">
        <f>-IF(C439=1,LN(W439),LN(1-W439))</f>
        <v/>
      </c>
      <c r="Y439" s="8">
        <f>1</f>
        <v/>
      </c>
      <c r="Z439" s="9">
        <f>Y439*X439</f>
        <v/>
      </c>
      <c r="AA439" s="10">
        <f>IF(W439&gt;$AE$32,1,0)</f>
        <v/>
      </c>
      <c r="AB439">
        <f>IF(AA439=C439,1,0)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$AE$12+D440*$AE$13+E440*$AE$14+F440*$AE$15+G440*$AE$16+H440*$AE$17+I440*$AE$18+J440*$AE$19+K440*$AE$20+L440*$AE$21+M440*$AE$22+N440*$AE$23+O440*$AE$24+P440*$AE$25+Q440*$AE$26+R440*$AE$27+S440*$AE$28+T440*$AE$29+U440*$AE$30</f>
        <v/>
      </c>
      <c r="W440" s="8">
        <f>1/(1+EXP(-V440))</f>
        <v/>
      </c>
      <c r="X440" s="9">
        <f>-IF(C440=1,LN(W440),LN(1-W440))</f>
        <v/>
      </c>
      <c r="Y440" s="8">
        <f>1</f>
        <v/>
      </c>
      <c r="Z440" s="9">
        <f>Y440*X440</f>
        <v/>
      </c>
      <c r="AA440" s="10">
        <f>IF(W440&gt;$AE$32,1,0)</f>
        <v/>
      </c>
      <c r="AB440">
        <f>IF(AA440=C440,1,0)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$AE$12+D441*$AE$13+E441*$AE$14+F441*$AE$15+G441*$AE$16+H441*$AE$17+I441*$AE$18+J441*$AE$19+K441*$AE$20+L441*$AE$21+M441*$AE$22+N441*$AE$23+O441*$AE$24+P441*$AE$25+Q441*$AE$26+R441*$AE$27+S441*$AE$28+T441*$AE$29+U441*$AE$30</f>
        <v/>
      </c>
      <c r="W441" s="8">
        <f>1/(1+EXP(-V441))</f>
        <v/>
      </c>
      <c r="X441" s="9">
        <f>-IF(C441=1,LN(W441),LN(1-W441))</f>
        <v/>
      </c>
      <c r="Y441" s="8">
        <f>1</f>
        <v/>
      </c>
      <c r="Z441" s="9">
        <f>Y441*X441</f>
        <v/>
      </c>
      <c r="AA441" s="10">
        <f>IF(W441&gt;$AE$32,1,0)</f>
        <v/>
      </c>
      <c r="AB441">
        <f>IF(AA441=C441,1,0)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$AE$12+D442*$AE$13+E442*$AE$14+F442*$AE$15+G442*$AE$16+H442*$AE$17+I442*$AE$18+J442*$AE$19+K442*$AE$20+L442*$AE$21+M442*$AE$22+N442*$AE$23+O442*$AE$24+P442*$AE$25+Q442*$AE$26+R442*$AE$27+S442*$AE$28+T442*$AE$29+U442*$AE$30</f>
        <v/>
      </c>
      <c r="W442" s="8">
        <f>1/(1+EXP(-V442))</f>
        <v/>
      </c>
      <c r="X442" s="9">
        <f>-IF(C442=1,LN(W442),LN(1-W442))</f>
        <v/>
      </c>
      <c r="Y442" s="8">
        <f>1</f>
        <v/>
      </c>
      <c r="Z442" s="9">
        <f>Y442*X442</f>
        <v/>
      </c>
      <c r="AA442" s="10">
        <f>IF(W442&gt;$AE$32,1,0)</f>
        <v/>
      </c>
      <c r="AB442">
        <f>IF(AA442=C442,1,0)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$AE$12+D443*$AE$13+E443*$AE$14+F443*$AE$15+G443*$AE$16+H443*$AE$17+I443*$AE$18+J443*$AE$19+K443*$AE$20+L443*$AE$21+M443*$AE$22+N443*$AE$23+O443*$AE$24+P443*$AE$25+Q443*$AE$26+R443*$AE$27+S443*$AE$28+T443*$AE$29+U443*$AE$30</f>
        <v/>
      </c>
      <c r="W443" s="8">
        <f>1/(1+EXP(-V443))</f>
        <v/>
      </c>
      <c r="X443" s="9">
        <f>-IF(C443=1,LN(W443),LN(1-W443))</f>
        <v/>
      </c>
      <c r="Y443" s="8">
        <f>1</f>
        <v/>
      </c>
      <c r="Z443" s="9">
        <f>Y443*X443</f>
        <v/>
      </c>
      <c r="AA443" s="10">
        <f>IF(W443&gt;$AE$32,1,0)</f>
        <v/>
      </c>
      <c r="AB443">
        <f>IF(AA443=C443,1,0)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$AE$12+D444*$AE$13+E444*$AE$14+F444*$AE$15+G444*$AE$16+H444*$AE$17+I444*$AE$18+J444*$AE$19+K444*$AE$20+L444*$AE$21+M444*$AE$22+N444*$AE$23+O444*$AE$24+P444*$AE$25+Q444*$AE$26+R444*$AE$27+S444*$AE$28+T444*$AE$29+U444*$AE$30</f>
        <v/>
      </c>
      <c r="W444" s="8">
        <f>1/(1+EXP(-V444))</f>
        <v/>
      </c>
      <c r="X444" s="9">
        <f>-IF(C444=1,LN(W444),LN(1-W444))</f>
        <v/>
      </c>
      <c r="Y444" s="8">
        <f>1</f>
        <v/>
      </c>
      <c r="Z444" s="9">
        <f>Y444*X444</f>
        <v/>
      </c>
      <c r="AA444" s="10">
        <f>IF(W444&gt;$AE$32,1,0)</f>
        <v/>
      </c>
      <c r="AB444">
        <f>IF(AA444=C444,1,0)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$AE$12+D445*$AE$13+E445*$AE$14+F445*$AE$15+G445*$AE$16+H445*$AE$17+I445*$AE$18+J445*$AE$19+K445*$AE$20+L445*$AE$21+M445*$AE$22+N445*$AE$23+O445*$AE$24+P445*$AE$25+Q445*$AE$26+R445*$AE$27+S445*$AE$28+T445*$AE$29+U445*$AE$30</f>
        <v/>
      </c>
      <c r="W445" s="8">
        <f>1/(1+EXP(-V445))</f>
        <v/>
      </c>
      <c r="X445" s="9">
        <f>-IF(C445=1,LN(W445),LN(1-W445))</f>
        <v/>
      </c>
      <c r="Y445" s="8">
        <f>1</f>
        <v/>
      </c>
      <c r="Z445" s="9">
        <f>Y445*X445</f>
        <v/>
      </c>
      <c r="AA445" s="10">
        <f>IF(W445&gt;$AE$32,1,0)</f>
        <v/>
      </c>
      <c r="AB445">
        <f>IF(AA445=C445,1,0)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$AE$12+D446*$AE$13+E446*$AE$14+F446*$AE$15+G446*$AE$16+H446*$AE$17+I446*$AE$18+J446*$AE$19+K446*$AE$20+L446*$AE$21+M446*$AE$22+N446*$AE$23+O446*$AE$24+P446*$AE$25+Q446*$AE$26+R446*$AE$27+S446*$AE$28+T446*$AE$29+U446*$AE$30</f>
        <v/>
      </c>
      <c r="W446" s="8">
        <f>1/(1+EXP(-V446))</f>
        <v/>
      </c>
      <c r="X446" s="9">
        <f>-IF(C446=1,LN(W446),LN(1-W446))</f>
        <v/>
      </c>
      <c r="Y446" s="8">
        <f>1</f>
        <v/>
      </c>
      <c r="Z446" s="9">
        <f>Y446*X446</f>
        <v/>
      </c>
      <c r="AA446" s="10">
        <f>IF(W446&gt;$AE$32,1,0)</f>
        <v/>
      </c>
      <c r="AB446">
        <f>IF(AA446=C446,1,0)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$AE$12+D447*$AE$13+E447*$AE$14+F447*$AE$15+G447*$AE$16+H447*$AE$17+I447*$AE$18+J447*$AE$19+K447*$AE$20+L447*$AE$21+M447*$AE$22+N447*$AE$23+O447*$AE$24+P447*$AE$25+Q447*$AE$26+R447*$AE$27+S447*$AE$28+T447*$AE$29+U447*$AE$30</f>
        <v/>
      </c>
      <c r="W447" s="8">
        <f>1/(1+EXP(-V447))</f>
        <v/>
      </c>
      <c r="X447" s="9">
        <f>-IF(C447=1,LN(W447),LN(1-W447))</f>
        <v/>
      </c>
      <c r="Y447" s="8">
        <f>1</f>
        <v/>
      </c>
      <c r="Z447" s="9">
        <f>Y447*X447</f>
        <v/>
      </c>
      <c r="AA447" s="10">
        <f>IF(W447&gt;$AE$32,1,0)</f>
        <v/>
      </c>
      <c r="AB447">
        <f>IF(AA447=C447,1,0)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$AE$12+D448*$AE$13+E448*$AE$14+F448*$AE$15+G448*$AE$16+H448*$AE$17+I448*$AE$18+J448*$AE$19+K448*$AE$20+L448*$AE$21+M448*$AE$22+N448*$AE$23+O448*$AE$24+P448*$AE$25+Q448*$AE$26+R448*$AE$27+S448*$AE$28+T448*$AE$29+U448*$AE$30</f>
        <v/>
      </c>
      <c r="W448" s="8">
        <f>1/(1+EXP(-V448))</f>
        <v/>
      </c>
      <c r="X448" s="9">
        <f>-IF(C448=1,LN(W448),LN(1-W448))</f>
        <v/>
      </c>
      <c r="Y448" s="8">
        <f>1</f>
        <v/>
      </c>
      <c r="Z448" s="9">
        <f>Y448*X448</f>
        <v/>
      </c>
      <c r="AA448" s="10">
        <f>IF(W448&gt;$AE$32,1,0)</f>
        <v/>
      </c>
      <c r="AB448">
        <f>IF(AA448=C448,1,0)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$AE$12+D449*$AE$13+E449*$AE$14+F449*$AE$15+G449*$AE$16+H449*$AE$17+I449*$AE$18+J449*$AE$19+K449*$AE$20+L449*$AE$21+M449*$AE$22+N449*$AE$23+O449*$AE$24+P449*$AE$25+Q449*$AE$26+R449*$AE$27+S449*$AE$28+T449*$AE$29+U449*$AE$30</f>
        <v/>
      </c>
      <c r="W449" s="8">
        <f>1/(1+EXP(-V449))</f>
        <v/>
      </c>
      <c r="X449" s="9">
        <f>-IF(C449=1,LN(W449),LN(1-W449))</f>
        <v/>
      </c>
      <c r="Y449" s="8">
        <f>1</f>
        <v/>
      </c>
      <c r="Z449" s="9">
        <f>Y449*X449</f>
        <v/>
      </c>
      <c r="AA449" s="10">
        <f>IF(W449&gt;$AE$32,1,0)</f>
        <v/>
      </c>
      <c r="AB449">
        <f>IF(AA449=C449,1,0)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$AE$12+D450*$AE$13+E450*$AE$14+F450*$AE$15+G450*$AE$16+H450*$AE$17+I450*$AE$18+J450*$AE$19+K450*$AE$20+L450*$AE$21+M450*$AE$22+N450*$AE$23+O450*$AE$24+P450*$AE$25+Q450*$AE$26+R450*$AE$27+S450*$AE$28+T450*$AE$29+U450*$AE$30</f>
        <v/>
      </c>
      <c r="W450" s="8">
        <f>1/(1+EXP(-V450))</f>
        <v/>
      </c>
      <c r="X450" s="9">
        <f>-IF(C450=1,LN(W450),LN(1-W450))</f>
        <v/>
      </c>
      <c r="Y450" s="8">
        <f>1</f>
        <v/>
      </c>
      <c r="Z450" s="9">
        <f>Y450*X450</f>
        <v/>
      </c>
      <c r="AA450" s="10">
        <f>IF(W450&gt;$AE$32,1,0)</f>
        <v/>
      </c>
      <c r="AB450">
        <f>IF(AA450=C450,1,0)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$AE$12+D451*$AE$13+E451*$AE$14+F451*$AE$15+G451*$AE$16+H451*$AE$17+I451*$AE$18+J451*$AE$19+K451*$AE$20+L451*$AE$21+M451*$AE$22+N451*$AE$23+O451*$AE$24+P451*$AE$25+Q451*$AE$26+R451*$AE$27+S451*$AE$28+T451*$AE$29+U451*$AE$30</f>
        <v/>
      </c>
      <c r="W451" s="8">
        <f>1/(1+EXP(-V451))</f>
        <v/>
      </c>
      <c r="X451" s="9">
        <f>-IF(C451=1,LN(W451),LN(1-W451))</f>
        <v/>
      </c>
      <c r="Y451" s="8">
        <f>1</f>
        <v/>
      </c>
      <c r="Z451" s="9">
        <f>Y451*X451</f>
        <v/>
      </c>
      <c r="AA451" s="10">
        <f>IF(W451&gt;$AE$32,1,0)</f>
        <v/>
      </c>
      <c r="AB451">
        <f>IF(AA451=C451,1,0)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$AE$12+D452*$AE$13+E452*$AE$14+F452*$AE$15+G452*$AE$16+H452*$AE$17+I452*$AE$18+J452*$AE$19+K452*$AE$20+L452*$AE$21+M452*$AE$22+N452*$AE$23+O452*$AE$24+P452*$AE$25+Q452*$AE$26+R452*$AE$27+S452*$AE$28+T452*$AE$29+U452*$AE$30</f>
        <v/>
      </c>
      <c r="W452" s="8">
        <f>1/(1+EXP(-V452))</f>
        <v/>
      </c>
      <c r="X452" s="9">
        <f>-IF(C452=1,LN(W452),LN(1-W452))</f>
        <v/>
      </c>
      <c r="Y452" s="8">
        <f>1</f>
        <v/>
      </c>
      <c r="Z452" s="9">
        <f>Y452*X452</f>
        <v/>
      </c>
      <c r="AA452" s="10">
        <f>IF(W452&gt;$AE$32,1,0)</f>
        <v/>
      </c>
      <c r="AB452">
        <f>IF(AA452=C452,1,0)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$AE$12+D453*$AE$13+E453*$AE$14+F453*$AE$15+G453*$AE$16+H453*$AE$17+I453*$AE$18+J453*$AE$19+K453*$AE$20+L453*$AE$21+M453*$AE$22+N453*$AE$23+O453*$AE$24+P453*$AE$25+Q453*$AE$26+R453*$AE$27+S453*$AE$28+T453*$AE$29+U453*$AE$30</f>
        <v/>
      </c>
      <c r="W453" s="8">
        <f>1/(1+EXP(-V453))</f>
        <v/>
      </c>
      <c r="X453" s="9">
        <f>-IF(C453=1,LN(W453),LN(1-W453))</f>
        <v/>
      </c>
      <c r="Y453" s="8">
        <f>1</f>
        <v/>
      </c>
      <c r="Z453" s="9">
        <f>Y453*X453</f>
        <v/>
      </c>
      <c r="AA453" s="10">
        <f>IF(W453&gt;$AE$32,1,0)</f>
        <v/>
      </c>
      <c r="AB453">
        <f>IF(AA453=C453,1,0)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$AE$12+D454*$AE$13+E454*$AE$14+F454*$AE$15+G454*$AE$16+H454*$AE$17+I454*$AE$18+J454*$AE$19+K454*$AE$20+L454*$AE$21+M454*$AE$22+N454*$AE$23+O454*$AE$24+P454*$AE$25+Q454*$AE$26+R454*$AE$27+S454*$AE$28+T454*$AE$29+U454*$AE$30</f>
        <v/>
      </c>
      <c r="W454" s="8">
        <f>1/(1+EXP(-V454))</f>
        <v/>
      </c>
      <c r="X454" s="9">
        <f>-IF(C454=1,LN(W454),LN(1-W454))</f>
        <v/>
      </c>
      <c r="Y454" s="8">
        <f>1</f>
        <v/>
      </c>
      <c r="Z454" s="9">
        <f>Y454*X454</f>
        <v/>
      </c>
      <c r="AA454" s="10">
        <f>IF(W454&gt;$AE$32,1,0)</f>
        <v/>
      </c>
      <c r="AB454">
        <f>IF(AA454=C454,1,0)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$AE$12+D455*$AE$13+E455*$AE$14+F455*$AE$15+G455*$AE$16+H455*$AE$17+I455*$AE$18+J455*$AE$19+K455*$AE$20+L455*$AE$21+M455*$AE$22+N455*$AE$23+O455*$AE$24+P455*$AE$25+Q455*$AE$26+R455*$AE$27+S455*$AE$28+T455*$AE$29+U455*$AE$30</f>
        <v/>
      </c>
      <c r="W455" s="8">
        <f>1/(1+EXP(-V455))</f>
        <v/>
      </c>
      <c r="X455" s="9">
        <f>-IF(C455=1,LN(W455),LN(1-W455))</f>
        <v/>
      </c>
      <c r="Y455" s="8">
        <f>1</f>
        <v/>
      </c>
      <c r="Z455" s="9">
        <f>Y455*X455</f>
        <v/>
      </c>
      <c r="AA455" s="10">
        <f>IF(W455&gt;$AE$32,1,0)</f>
        <v/>
      </c>
      <c r="AB455">
        <f>IF(AA455=C455,1,0)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$AE$12+D456*$AE$13+E456*$AE$14+F456*$AE$15+G456*$AE$16+H456*$AE$17+I456*$AE$18+J456*$AE$19+K456*$AE$20+L456*$AE$21+M456*$AE$22+N456*$AE$23+O456*$AE$24+P456*$AE$25+Q456*$AE$26+R456*$AE$27+S456*$AE$28+T456*$AE$29+U456*$AE$30</f>
        <v/>
      </c>
      <c r="W456" s="8">
        <f>1/(1+EXP(-V456))</f>
        <v/>
      </c>
      <c r="X456" s="9">
        <f>-IF(C456=1,LN(W456),LN(1-W456))</f>
        <v/>
      </c>
      <c r="Y456" s="8">
        <f>1</f>
        <v/>
      </c>
      <c r="Z456" s="9">
        <f>Y456*X456</f>
        <v/>
      </c>
      <c r="AA456" s="10">
        <f>IF(W456&gt;$AE$32,1,0)</f>
        <v/>
      </c>
      <c r="AB456">
        <f>IF(AA456=C456,1,0)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$AE$12+D457*$AE$13+E457*$AE$14+F457*$AE$15+G457*$AE$16+H457*$AE$17+I457*$AE$18+J457*$AE$19+K457*$AE$20+L457*$AE$21+M457*$AE$22+N457*$AE$23+O457*$AE$24+P457*$AE$25+Q457*$AE$26+R457*$AE$27+S457*$AE$28+T457*$AE$29+U457*$AE$30</f>
        <v/>
      </c>
      <c r="W457" s="8">
        <f>1/(1+EXP(-V457))</f>
        <v/>
      </c>
      <c r="X457" s="9">
        <f>-IF(C457=1,LN(W457),LN(1-W457))</f>
        <v/>
      </c>
      <c r="Y457" s="8">
        <f>1</f>
        <v/>
      </c>
      <c r="Z457" s="9">
        <f>Y457*X457</f>
        <v/>
      </c>
      <c r="AA457" s="10">
        <f>IF(W457&gt;$AE$32,1,0)</f>
        <v/>
      </c>
      <c r="AB457">
        <f>IF(AA457=C457,1,0)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$AE$12+D458*$AE$13+E458*$AE$14+F458*$AE$15+G458*$AE$16+H458*$AE$17+I458*$AE$18+J458*$AE$19+K458*$AE$20+L458*$AE$21+M458*$AE$22+N458*$AE$23+O458*$AE$24+P458*$AE$25+Q458*$AE$26+R458*$AE$27+S458*$AE$28+T458*$AE$29+U458*$AE$30</f>
        <v/>
      </c>
      <c r="W458" s="8">
        <f>1/(1+EXP(-V458))</f>
        <v/>
      </c>
      <c r="X458" s="9">
        <f>-IF(C458=1,LN(W458),LN(1-W458))</f>
        <v/>
      </c>
      <c r="Y458" s="8">
        <f>1</f>
        <v/>
      </c>
      <c r="Z458" s="9">
        <f>Y458*X458</f>
        <v/>
      </c>
      <c r="AA458" s="10">
        <f>IF(W458&gt;$AE$32,1,0)</f>
        <v/>
      </c>
      <c r="AB458">
        <f>IF(AA458=C458,1,0)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$AE$12+D459*$AE$13+E459*$AE$14+F459*$AE$15+G459*$AE$16+H459*$AE$17+I459*$AE$18+J459*$AE$19+K459*$AE$20+L459*$AE$21+M459*$AE$22+N459*$AE$23+O459*$AE$24+P459*$AE$25+Q459*$AE$26+R459*$AE$27+S459*$AE$28+T459*$AE$29+U459*$AE$30</f>
        <v/>
      </c>
      <c r="W459" s="8">
        <f>1/(1+EXP(-V459))</f>
        <v/>
      </c>
      <c r="X459" s="9">
        <f>-IF(C459=1,LN(W459),LN(1-W459))</f>
        <v/>
      </c>
      <c r="Y459" s="8">
        <f>1</f>
        <v/>
      </c>
      <c r="Z459" s="9">
        <f>Y459*X459</f>
        <v/>
      </c>
      <c r="AA459" s="10">
        <f>IF(W459&gt;$AE$32,1,0)</f>
        <v/>
      </c>
      <c r="AB459">
        <f>IF(AA459=C459,1,0)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$AE$12+D460*$AE$13+E460*$AE$14+F460*$AE$15+G460*$AE$16+H460*$AE$17+I460*$AE$18+J460*$AE$19+K460*$AE$20+L460*$AE$21+M460*$AE$22+N460*$AE$23+O460*$AE$24+P460*$AE$25+Q460*$AE$26+R460*$AE$27+S460*$AE$28+T460*$AE$29+U460*$AE$30</f>
        <v/>
      </c>
      <c r="W460" s="8">
        <f>1/(1+EXP(-V460))</f>
        <v/>
      </c>
      <c r="X460" s="9">
        <f>-IF(C460=1,LN(W460),LN(1-W460))</f>
        <v/>
      </c>
      <c r="Y460" s="8">
        <f>1</f>
        <v/>
      </c>
      <c r="Z460" s="9">
        <f>Y460*X460</f>
        <v/>
      </c>
      <c r="AA460" s="10">
        <f>IF(W460&gt;$AE$32,1,0)</f>
        <v/>
      </c>
      <c r="AB460">
        <f>IF(AA460=C460,1,0)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$AE$12+D461*$AE$13+E461*$AE$14+F461*$AE$15+G461*$AE$16+H461*$AE$17+I461*$AE$18+J461*$AE$19+K461*$AE$20+L461*$AE$21+M461*$AE$22+N461*$AE$23+O461*$AE$24+P461*$AE$25+Q461*$AE$26+R461*$AE$27+S461*$AE$28+T461*$AE$29+U461*$AE$30</f>
        <v/>
      </c>
      <c r="W461" s="8">
        <f>1/(1+EXP(-V461))</f>
        <v/>
      </c>
      <c r="X461" s="9">
        <f>-IF(C461=1,LN(W461),LN(1-W461))</f>
        <v/>
      </c>
      <c r="Y461" s="8">
        <f>1</f>
        <v/>
      </c>
      <c r="Z461" s="9">
        <f>Y461*X461</f>
        <v/>
      </c>
      <c r="AA461" s="10">
        <f>IF(W461&gt;$AE$32,1,0)</f>
        <v/>
      </c>
      <c r="AB461">
        <f>IF(AA461=C461,1,0)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$AE$12+D462*$AE$13+E462*$AE$14+F462*$AE$15+G462*$AE$16+H462*$AE$17+I462*$AE$18+J462*$AE$19+K462*$AE$20+L462*$AE$21+M462*$AE$22+N462*$AE$23+O462*$AE$24+P462*$AE$25+Q462*$AE$26+R462*$AE$27+S462*$AE$28+T462*$AE$29+U462*$AE$30</f>
        <v/>
      </c>
      <c r="W462" s="8">
        <f>1/(1+EXP(-V462))</f>
        <v/>
      </c>
      <c r="X462" s="9">
        <f>-IF(C462=1,LN(W462),LN(1-W462))</f>
        <v/>
      </c>
      <c r="Y462" s="8">
        <f>1</f>
        <v/>
      </c>
      <c r="Z462" s="9">
        <f>Y462*X462</f>
        <v/>
      </c>
      <c r="AA462" s="10">
        <f>IF(W462&gt;$AE$32,1,0)</f>
        <v/>
      </c>
      <c r="AB462">
        <f>IF(AA462=C462,1,0)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$AE$12+D463*$AE$13+E463*$AE$14+F463*$AE$15+G463*$AE$16+H463*$AE$17+I463*$AE$18+J463*$AE$19+K463*$AE$20+L463*$AE$21+M463*$AE$22+N463*$AE$23+O463*$AE$24+P463*$AE$25+Q463*$AE$26+R463*$AE$27+S463*$AE$28+T463*$AE$29+U463*$AE$30</f>
        <v/>
      </c>
      <c r="W463" s="8">
        <f>1/(1+EXP(-V463))</f>
        <v/>
      </c>
      <c r="X463" s="9">
        <f>-IF(C463=1,LN(W463),LN(1-W463))</f>
        <v/>
      </c>
      <c r="Y463" s="8">
        <f>1</f>
        <v/>
      </c>
      <c r="Z463" s="9">
        <f>Y463*X463</f>
        <v/>
      </c>
      <c r="AA463" s="10">
        <f>IF(W463&gt;$AE$32,1,0)</f>
        <v/>
      </c>
      <c r="AB463">
        <f>IF(AA463=C463,1,0)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$AE$12+D464*$AE$13+E464*$AE$14+F464*$AE$15+G464*$AE$16+H464*$AE$17+I464*$AE$18+J464*$AE$19+K464*$AE$20+L464*$AE$21+M464*$AE$22+N464*$AE$23+O464*$AE$24+P464*$AE$25+Q464*$AE$26+R464*$AE$27+S464*$AE$28+T464*$AE$29+U464*$AE$30</f>
        <v/>
      </c>
      <c r="W464" s="8">
        <f>1/(1+EXP(-V464))</f>
        <v/>
      </c>
      <c r="X464" s="9">
        <f>-IF(C464=1,LN(W464),LN(1-W464))</f>
        <v/>
      </c>
      <c r="Y464" s="8">
        <f>1</f>
        <v/>
      </c>
      <c r="Z464" s="9">
        <f>Y464*X464</f>
        <v/>
      </c>
      <c r="AA464" s="10">
        <f>IF(W464&gt;$AE$32,1,0)</f>
        <v/>
      </c>
      <c r="AB464">
        <f>IF(AA464=C464,1,0)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$AE$12+D465*$AE$13+E465*$AE$14+F465*$AE$15+G465*$AE$16+H465*$AE$17+I465*$AE$18+J465*$AE$19+K465*$AE$20+L465*$AE$21+M465*$AE$22+N465*$AE$23+O465*$AE$24+P465*$AE$25+Q465*$AE$26+R465*$AE$27+S465*$AE$28+T465*$AE$29+U465*$AE$30</f>
        <v/>
      </c>
      <c r="W465" s="8">
        <f>1/(1+EXP(-V465))</f>
        <v/>
      </c>
      <c r="X465" s="9">
        <f>-IF(C465=1,LN(W465),LN(1-W465))</f>
        <v/>
      </c>
      <c r="Y465" s="8">
        <f>1</f>
        <v/>
      </c>
      <c r="Z465" s="9">
        <f>Y465*X465</f>
        <v/>
      </c>
      <c r="AA465" s="10">
        <f>IF(W465&gt;$AE$32,1,0)</f>
        <v/>
      </c>
      <c r="AB465">
        <f>IF(AA465=C465,1,0)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$AE$12+D466*$AE$13+E466*$AE$14+F466*$AE$15+G466*$AE$16+H466*$AE$17+I466*$AE$18+J466*$AE$19+K466*$AE$20+L466*$AE$21+M466*$AE$22+N466*$AE$23+O466*$AE$24+P466*$AE$25+Q466*$AE$26+R466*$AE$27+S466*$AE$28+T466*$AE$29+U466*$AE$30</f>
        <v/>
      </c>
      <c r="W466" s="8">
        <f>1/(1+EXP(-V466))</f>
        <v/>
      </c>
      <c r="X466" s="9">
        <f>-IF(C466=1,LN(W466),LN(1-W466))</f>
        <v/>
      </c>
      <c r="Y466" s="8">
        <f>1</f>
        <v/>
      </c>
      <c r="Z466" s="9">
        <f>Y466*X466</f>
        <v/>
      </c>
      <c r="AA466" s="10">
        <f>IF(W466&gt;$AE$32,1,0)</f>
        <v/>
      </c>
      <c r="AB466">
        <f>IF(AA466=C466,1,0)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$AE$12+D467*$AE$13+E467*$AE$14+F467*$AE$15+G467*$AE$16+H467*$AE$17+I467*$AE$18+J467*$AE$19+K467*$AE$20+L467*$AE$21+M467*$AE$22+N467*$AE$23+O467*$AE$24+P467*$AE$25+Q467*$AE$26+R467*$AE$27+S467*$AE$28+T467*$AE$29+U467*$AE$30</f>
        <v/>
      </c>
      <c r="W467" s="8">
        <f>1/(1+EXP(-V467))</f>
        <v/>
      </c>
      <c r="X467" s="9">
        <f>-IF(C467=1,LN(W467),LN(1-W467))</f>
        <v/>
      </c>
      <c r="Y467" s="8">
        <f>1</f>
        <v/>
      </c>
      <c r="Z467" s="9">
        <f>Y467*X467</f>
        <v/>
      </c>
      <c r="AA467" s="10">
        <f>IF(W467&gt;$AE$32,1,0)</f>
        <v/>
      </c>
      <c r="AB467">
        <f>IF(AA467=C467,1,0)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$AE$12+D468*$AE$13+E468*$AE$14+F468*$AE$15+G468*$AE$16+H468*$AE$17+I468*$AE$18+J468*$AE$19+K468*$AE$20+L468*$AE$21+M468*$AE$22+N468*$AE$23+O468*$AE$24+P468*$AE$25+Q468*$AE$26+R468*$AE$27+S468*$AE$28+T468*$AE$29+U468*$AE$30</f>
        <v/>
      </c>
      <c r="W468" s="8">
        <f>1/(1+EXP(-V468))</f>
        <v/>
      </c>
      <c r="X468" s="9">
        <f>-IF(C468=1,LN(W468),LN(1-W468))</f>
        <v/>
      </c>
      <c r="Y468" s="8">
        <f>1</f>
        <v/>
      </c>
      <c r="Z468" s="9">
        <f>Y468*X468</f>
        <v/>
      </c>
      <c r="AA468" s="10">
        <f>IF(W468&gt;$AE$32,1,0)</f>
        <v/>
      </c>
      <c r="AB468">
        <f>IF(AA468=C468,1,0)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$AE$12+D469*$AE$13+E469*$AE$14+F469*$AE$15+G469*$AE$16+H469*$AE$17+I469*$AE$18+J469*$AE$19+K469*$AE$20+L469*$AE$21+M469*$AE$22+N469*$AE$23+O469*$AE$24+P469*$AE$25+Q469*$AE$26+R469*$AE$27+S469*$AE$28+T469*$AE$29+U469*$AE$30</f>
        <v/>
      </c>
      <c r="W469" s="8">
        <f>1/(1+EXP(-V469))</f>
        <v/>
      </c>
      <c r="X469" s="9">
        <f>-IF(C469=1,LN(W469),LN(1-W469))</f>
        <v/>
      </c>
      <c r="Y469" s="8">
        <f>1</f>
        <v/>
      </c>
      <c r="Z469" s="9">
        <f>Y469*X469</f>
        <v/>
      </c>
      <c r="AA469" s="10">
        <f>IF(W469&gt;$AE$32,1,0)</f>
        <v/>
      </c>
      <c r="AB469">
        <f>IF(AA469=C469,1,0)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$AE$12+D470*$AE$13+E470*$AE$14+F470*$AE$15+G470*$AE$16+H470*$AE$17+I470*$AE$18+J470*$AE$19+K470*$AE$20+L470*$AE$21+M470*$AE$22+N470*$AE$23+O470*$AE$24+P470*$AE$25+Q470*$AE$26+R470*$AE$27+S470*$AE$28+T470*$AE$29+U470*$AE$30</f>
        <v/>
      </c>
      <c r="W470" s="8">
        <f>1/(1+EXP(-V470))</f>
        <v/>
      </c>
      <c r="X470" s="9">
        <f>-IF(C470=1,LN(W470),LN(1-W470))</f>
        <v/>
      </c>
      <c r="Y470" s="8">
        <f>1</f>
        <v/>
      </c>
      <c r="Z470" s="9">
        <f>Y470*X470</f>
        <v/>
      </c>
      <c r="AA470" s="10">
        <f>IF(W470&gt;$AE$32,1,0)</f>
        <v/>
      </c>
      <c r="AB470">
        <f>IF(AA470=C470,1,0)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$AE$12+D471*$AE$13+E471*$AE$14+F471*$AE$15+G471*$AE$16+H471*$AE$17+I471*$AE$18+J471*$AE$19+K471*$AE$20+L471*$AE$21+M471*$AE$22+N471*$AE$23+O471*$AE$24+P471*$AE$25+Q471*$AE$26+R471*$AE$27+S471*$AE$28+T471*$AE$29+U471*$AE$30</f>
        <v/>
      </c>
      <c r="W471" s="8">
        <f>1/(1+EXP(-V471))</f>
        <v/>
      </c>
      <c r="X471" s="9">
        <f>-IF(C471=1,LN(W471),LN(1-W471))</f>
        <v/>
      </c>
      <c r="Y471" s="8">
        <f>1</f>
        <v/>
      </c>
      <c r="Z471" s="9">
        <f>Y471*X471</f>
        <v/>
      </c>
      <c r="AA471" s="10">
        <f>IF(W471&gt;$AE$32,1,0)</f>
        <v/>
      </c>
      <c r="AB471">
        <f>IF(AA471=C471,1,0)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$AE$12+D472*$AE$13+E472*$AE$14+F472*$AE$15+G472*$AE$16+H472*$AE$17+I472*$AE$18+J472*$AE$19+K472*$AE$20+L472*$AE$21+M472*$AE$22+N472*$AE$23+O472*$AE$24+P472*$AE$25+Q472*$AE$26+R472*$AE$27+S472*$AE$28+T472*$AE$29+U472*$AE$30</f>
        <v/>
      </c>
      <c r="W472" s="8">
        <f>1/(1+EXP(-V472))</f>
        <v/>
      </c>
      <c r="X472" s="9">
        <f>-IF(C472=1,LN(W472),LN(1-W472))</f>
        <v/>
      </c>
      <c r="Y472" s="8">
        <f>1</f>
        <v/>
      </c>
      <c r="Z472" s="9">
        <f>Y472*X472</f>
        <v/>
      </c>
      <c r="AA472" s="10">
        <f>IF(W472&gt;$AE$32,1,0)</f>
        <v/>
      </c>
      <c r="AB472">
        <f>IF(AA472=C472,1,0)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$AE$12+D473*$AE$13+E473*$AE$14+F473*$AE$15+G473*$AE$16+H473*$AE$17+I473*$AE$18+J473*$AE$19+K473*$AE$20+L473*$AE$21+M473*$AE$22+N473*$AE$23+O473*$AE$24+P473*$AE$25+Q473*$AE$26+R473*$AE$27+S473*$AE$28+T473*$AE$29+U473*$AE$30</f>
        <v/>
      </c>
      <c r="W473" s="8">
        <f>1/(1+EXP(-V473))</f>
        <v/>
      </c>
      <c r="X473" s="9">
        <f>-IF(C473=1,LN(W473),LN(1-W473))</f>
        <v/>
      </c>
      <c r="Y473" s="8">
        <f>1</f>
        <v/>
      </c>
      <c r="Z473" s="9">
        <f>Y473*X473</f>
        <v/>
      </c>
      <c r="AA473" s="10">
        <f>IF(W473&gt;$AE$32,1,0)</f>
        <v/>
      </c>
      <c r="AB473">
        <f>IF(AA473=C473,1,0)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$AE$12+D474*$AE$13+E474*$AE$14+F474*$AE$15+G474*$AE$16+H474*$AE$17+I474*$AE$18+J474*$AE$19+K474*$AE$20+L474*$AE$21+M474*$AE$22+N474*$AE$23+O474*$AE$24+P474*$AE$25+Q474*$AE$26+R474*$AE$27+S474*$AE$28+T474*$AE$29+U474*$AE$30</f>
        <v/>
      </c>
      <c r="W474" s="8">
        <f>1/(1+EXP(-V474))</f>
        <v/>
      </c>
      <c r="X474" s="9">
        <f>-IF(C474=1,LN(W474),LN(1-W474))</f>
        <v/>
      </c>
      <c r="Y474" s="8">
        <f>1</f>
        <v/>
      </c>
      <c r="Z474" s="9">
        <f>Y474*X474</f>
        <v/>
      </c>
      <c r="AA474" s="10">
        <f>IF(W474&gt;$AE$32,1,0)</f>
        <v/>
      </c>
      <c r="AB474">
        <f>IF(AA474=C474,1,0)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$AE$12+D475*$AE$13+E475*$AE$14+F475*$AE$15+G475*$AE$16+H475*$AE$17+I475*$AE$18+J475*$AE$19+K475*$AE$20+L475*$AE$21+M475*$AE$22+N475*$AE$23+O475*$AE$24+P475*$AE$25+Q475*$AE$26+R475*$AE$27+S475*$AE$28+T475*$AE$29+U475*$AE$30</f>
        <v/>
      </c>
      <c r="W475" s="8">
        <f>1/(1+EXP(-V475))</f>
        <v/>
      </c>
      <c r="X475" s="9">
        <f>-IF(C475=1,LN(W475),LN(1-W475))</f>
        <v/>
      </c>
      <c r="Y475" s="8">
        <f>1</f>
        <v/>
      </c>
      <c r="Z475" s="9">
        <f>Y475*X475</f>
        <v/>
      </c>
      <c r="AA475" s="10">
        <f>IF(W475&gt;$AE$32,1,0)</f>
        <v/>
      </c>
      <c r="AB475">
        <f>IF(AA475=C475,1,0)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$AE$12+D476*$AE$13+E476*$AE$14+F476*$AE$15+G476*$AE$16+H476*$AE$17+I476*$AE$18+J476*$AE$19+K476*$AE$20+L476*$AE$21+M476*$AE$22+N476*$AE$23+O476*$AE$24+P476*$AE$25+Q476*$AE$26+R476*$AE$27+S476*$AE$28+T476*$AE$29+U476*$AE$30</f>
        <v/>
      </c>
      <c r="W476" s="8">
        <f>1/(1+EXP(-V476))</f>
        <v/>
      </c>
      <c r="X476" s="9">
        <f>-IF(C476=1,LN(W476),LN(1-W476))</f>
        <v/>
      </c>
      <c r="Y476" s="8">
        <f>1</f>
        <v/>
      </c>
      <c r="Z476" s="9">
        <f>Y476*X476</f>
        <v/>
      </c>
      <c r="AA476" s="10">
        <f>IF(W476&gt;$AE$32,1,0)</f>
        <v/>
      </c>
      <c r="AB476">
        <f>IF(AA476=C476,1,0)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$AE$12+D477*$AE$13+E477*$AE$14+F477*$AE$15+G477*$AE$16+H477*$AE$17+I477*$AE$18+J477*$AE$19+K477*$AE$20+L477*$AE$21+M477*$AE$22+N477*$AE$23+O477*$AE$24+P477*$AE$25+Q477*$AE$26+R477*$AE$27+S477*$AE$28+T477*$AE$29+U477*$AE$30</f>
        <v/>
      </c>
      <c r="W477" s="8">
        <f>1/(1+EXP(-V477))</f>
        <v/>
      </c>
      <c r="X477" s="9">
        <f>-IF(C477=1,LN(W477),LN(1-W477))</f>
        <v/>
      </c>
      <c r="Y477" s="8">
        <f>1</f>
        <v/>
      </c>
      <c r="Z477" s="9">
        <f>Y477*X477</f>
        <v/>
      </c>
      <c r="AA477" s="10">
        <f>IF(W477&gt;$AE$32,1,0)</f>
        <v/>
      </c>
      <c r="AB477">
        <f>IF(AA477=C477,1,0)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$AE$12+D478*$AE$13+E478*$AE$14+F478*$AE$15+G478*$AE$16+H478*$AE$17+I478*$AE$18+J478*$AE$19+K478*$AE$20+L478*$AE$21+M478*$AE$22+N478*$AE$23+O478*$AE$24+P478*$AE$25+Q478*$AE$26+R478*$AE$27+S478*$AE$28+T478*$AE$29+U478*$AE$30</f>
        <v/>
      </c>
      <c r="W478" s="8">
        <f>1/(1+EXP(-V478))</f>
        <v/>
      </c>
      <c r="X478" s="9">
        <f>-IF(C478=1,LN(W478),LN(1-W478))</f>
        <v/>
      </c>
      <c r="Y478" s="8">
        <f>1</f>
        <v/>
      </c>
      <c r="Z478" s="9">
        <f>Y478*X478</f>
        <v/>
      </c>
      <c r="AA478" s="10">
        <f>IF(W478&gt;$AE$32,1,0)</f>
        <v/>
      </c>
      <c r="AB478">
        <f>IF(AA478=C478,1,0)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$AE$12+D479*$AE$13+E479*$AE$14+F479*$AE$15+G479*$AE$16+H479*$AE$17+I479*$AE$18+J479*$AE$19+K479*$AE$20+L479*$AE$21+M479*$AE$22+N479*$AE$23+O479*$AE$24+P479*$AE$25+Q479*$AE$26+R479*$AE$27+S479*$AE$28+T479*$AE$29+U479*$AE$30</f>
        <v/>
      </c>
      <c r="W479" s="8">
        <f>1/(1+EXP(-V479))</f>
        <v/>
      </c>
      <c r="X479" s="9">
        <f>-IF(C479=1,LN(W479),LN(1-W479))</f>
        <v/>
      </c>
      <c r="Y479" s="8">
        <f>1</f>
        <v/>
      </c>
      <c r="Z479" s="9">
        <f>Y479*X479</f>
        <v/>
      </c>
      <c r="AA479" s="10">
        <f>IF(W479&gt;$AE$32,1,0)</f>
        <v/>
      </c>
      <c r="AB479">
        <f>IF(AA479=C479,1,0)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$AE$12+D480*$AE$13+E480*$AE$14+F480*$AE$15+G480*$AE$16+H480*$AE$17+I480*$AE$18+J480*$AE$19+K480*$AE$20+L480*$AE$21+M480*$AE$22+N480*$AE$23+O480*$AE$24+P480*$AE$25+Q480*$AE$26+R480*$AE$27+S480*$AE$28+T480*$AE$29+U480*$AE$30</f>
        <v/>
      </c>
      <c r="W480" s="8">
        <f>1/(1+EXP(-V480))</f>
        <v/>
      </c>
      <c r="X480" s="9">
        <f>-IF(C480=1,LN(W480),LN(1-W480))</f>
        <v/>
      </c>
      <c r="Y480" s="8">
        <f>1</f>
        <v/>
      </c>
      <c r="Z480" s="9">
        <f>Y480*X480</f>
        <v/>
      </c>
      <c r="AA480" s="10">
        <f>IF(W480&gt;$AE$32,1,0)</f>
        <v/>
      </c>
      <c r="AB480">
        <f>IF(AA480=C480,1,0)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$AE$12+D481*$AE$13+E481*$AE$14+F481*$AE$15+G481*$AE$16+H481*$AE$17+I481*$AE$18+J481*$AE$19+K481*$AE$20+L481*$AE$21+M481*$AE$22+N481*$AE$23+O481*$AE$24+P481*$AE$25+Q481*$AE$26+R481*$AE$27+S481*$AE$28+T481*$AE$29+U481*$AE$30</f>
        <v/>
      </c>
      <c r="W481" s="8">
        <f>1/(1+EXP(-V481))</f>
        <v/>
      </c>
      <c r="X481" s="9">
        <f>-IF(C481=1,LN(W481),LN(1-W481))</f>
        <v/>
      </c>
      <c r="Y481" s="8">
        <f>1</f>
        <v/>
      </c>
      <c r="Z481" s="9">
        <f>Y481*X481</f>
        <v/>
      </c>
      <c r="AA481" s="10">
        <f>IF(W481&gt;$AE$32,1,0)</f>
        <v/>
      </c>
      <c r="AB481">
        <f>IF(AA481=C481,1,0)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$AE$12+D482*$AE$13+E482*$AE$14+F482*$AE$15+G482*$AE$16+H482*$AE$17+I482*$AE$18+J482*$AE$19+K482*$AE$20+L482*$AE$21+M482*$AE$22+N482*$AE$23+O482*$AE$24+P482*$AE$25+Q482*$AE$26+R482*$AE$27+S482*$AE$28+T482*$AE$29+U482*$AE$30</f>
        <v/>
      </c>
      <c r="W482" s="8">
        <f>1/(1+EXP(-V482))</f>
        <v/>
      </c>
      <c r="X482" s="9">
        <f>-IF(C482=1,LN(W482),LN(1-W482))</f>
        <v/>
      </c>
      <c r="Y482" s="8">
        <f>1</f>
        <v/>
      </c>
      <c r="Z482" s="9">
        <f>Y482*X482</f>
        <v/>
      </c>
      <c r="AA482" s="10">
        <f>IF(W482&gt;$AE$32,1,0)</f>
        <v/>
      </c>
      <c r="AB482">
        <f>IF(AA482=C482,1,0)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$AE$12+D483*$AE$13+E483*$AE$14+F483*$AE$15+G483*$AE$16+H483*$AE$17+I483*$AE$18+J483*$AE$19+K483*$AE$20+L483*$AE$21+M483*$AE$22+N483*$AE$23+O483*$AE$24+P483*$AE$25+Q483*$AE$26+R483*$AE$27+S483*$AE$28+T483*$AE$29+U483*$AE$30</f>
        <v/>
      </c>
      <c r="W483" s="8">
        <f>1/(1+EXP(-V483))</f>
        <v/>
      </c>
      <c r="X483" s="9">
        <f>-IF(C483=1,LN(W483),LN(1-W483))</f>
        <v/>
      </c>
      <c r="Y483" s="8">
        <f>1</f>
        <v/>
      </c>
      <c r="Z483" s="9">
        <f>Y483*X483</f>
        <v/>
      </c>
      <c r="AA483" s="10">
        <f>IF(W483&gt;$AE$32,1,0)</f>
        <v/>
      </c>
      <c r="AB483">
        <f>IF(AA483=C483,1,0)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$AE$12+D484*$AE$13+E484*$AE$14+F484*$AE$15+G484*$AE$16+H484*$AE$17+I484*$AE$18+J484*$AE$19+K484*$AE$20+L484*$AE$21+M484*$AE$22+N484*$AE$23+O484*$AE$24+P484*$AE$25+Q484*$AE$26+R484*$AE$27+S484*$AE$28+T484*$AE$29+U484*$AE$30</f>
        <v/>
      </c>
      <c r="W484" s="8">
        <f>1/(1+EXP(-V484))</f>
        <v/>
      </c>
      <c r="X484" s="9">
        <f>-IF(C484=1,LN(W484),LN(1-W484))</f>
        <v/>
      </c>
      <c r="Y484" s="8">
        <f>1</f>
        <v/>
      </c>
      <c r="Z484" s="9">
        <f>Y484*X484</f>
        <v/>
      </c>
      <c r="AA484" s="10">
        <f>IF(W484&gt;$AE$32,1,0)</f>
        <v/>
      </c>
      <c r="AB484">
        <f>IF(AA484=C484,1,0)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$AE$12+D485*$AE$13+E485*$AE$14+F485*$AE$15+G485*$AE$16+H485*$AE$17+I485*$AE$18+J485*$AE$19+K485*$AE$20+L485*$AE$21+M485*$AE$22+N485*$AE$23+O485*$AE$24+P485*$AE$25+Q485*$AE$26+R485*$AE$27+S485*$AE$28+T485*$AE$29+U485*$AE$30</f>
        <v/>
      </c>
      <c r="W485" s="8">
        <f>1/(1+EXP(-V485))</f>
        <v/>
      </c>
      <c r="X485" s="9">
        <f>-IF(C485=1,LN(W485),LN(1-W485))</f>
        <v/>
      </c>
      <c r="Y485" s="8">
        <f>1</f>
        <v/>
      </c>
      <c r="Z485" s="9">
        <f>Y485*X485</f>
        <v/>
      </c>
      <c r="AA485" s="10">
        <f>IF(W485&gt;$AE$32,1,0)</f>
        <v/>
      </c>
      <c r="AB485">
        <f>IF(AA485=C485,1,0)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$AE$12+D486*$AE$13+E486*$AE$14+F486*$AE$15+G486*$AE$16+H486*$AE$17+I486*$AE$18+J486*$AE$19+K486*$AE$20+L486*$AE$21+M486*$AE$22+N486*$AE$23+O486*$AE$24+P486*$AE$25+Q486*$AE$26+R486*$AE$27+S486*$AE$28+T486*$AE$29+U486*$AE$30</f>
        <v/>
      </c>
      <c r="W486" s="8">
        <f>1/(1+EXP(-V486))</f>
        <v/>
      </c>
      <c r="X486" s="9">
        <f>-IF(C486=1,LN(W486),LN(1-W486))</f>
        <v/>
      </c>
      <c r="Y486" s="8">
        <f>1</f>
        <v/>
      </c>
      <c r="Z486" s="9">
        <f>Y486*X486</f>
        <v/>
      </c>
      <c r="AA486" s="10">
        <f>IF(W486&gt;$AE$32,1,0)</f>
        <v/>
      </c>
      <c r="AB486">
        <f>IF(AA486=C486,1,0)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$AE$12+D487*$AE$13+E487*$AE$14+F487*$AE$15+G487*$AE$16+H487*$AE$17+I487*$AE$18+J487*$AE$19+K487*$AE$20+L487*$AE$21+M487*$AE$22+N487*$AE$23+O487*$AE$24+P487*$AE$25+Q487*$AE$26+R487*$AE$27+S487*$AE$28+T487*$AE$29+U487*$AE$30</f>
        <v/>
      </c>
      <c r="W487" s="8">
        <f>1/(1+EXP(-V487))</f>
        <v/>
      </c>
      <c r="X487" s="9">
        <f>-IF(C487=1,LN(W487),LN(1-W487))</f>
        <v/>
      </c>
      <c r="Y487" s="8">
        <f>1</f>
        <v/>
      </c>
      <c r="Z487" s="9">
        <f>Y487*X487</f>
        <v/>
      </c>
      <c r="AA487" s="10">
        <f>IF(W487&gt;$AE$32,1,0)</f>
        <v/>
      </c>
      <c r="AB487">
        <f>IF(AA487=C487,1,0)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$AE$12+D488*$AE$13+E488*$AE$14+F488*$AE$15+G488*$AE$16+H488*$AE$17+I488*$AE$18+J488*$AE$19+K488*$AE$20+L488*$AE$21+M488*$AE$22+N488*$AE$23+O488*$AE$24+P488*$AE$25+Q488*$AE$26+R488*$AE$27+S488*$AE$28+T488*$AE$29+U488*$AE$30</f>
        <v/>
      </c>
      <c r="W488" s="8">
        <f>1/(1+EXP(-V488))</f>
        <v/>
      </c>
      <c r="X488" s="9">
        <f>-IF(C488=1,LN(W488),LN(1-W488))</f>
        <v/>
      </c>
      <c r="Y488" s="8">
        <f>1</f>
        <v/>
      </c>
      <c r="Z488" s="9">
        <f>Y488*X488</f>
        <v/>
      </c>
      <c r="AA488" s="10">
        <f>IF(W488&gt;$AE$32,1,0)</f>
        <v/>
      </c>
      <c r="AB488">
        <f>IF(AA488=C488,1,0)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$AE$12+D489*$AE$13+E489*$AE$14+F489*$AE$15+G489*$AE$16+H489*$AE$17+I489*$AE$18+J489*$AE$19+K489*$AE$20+L489*$AE$21+M489*$AE$22+N489*$AE$23+O489*$AE$24+P489*$AE$25+Q489*$AE$26+R489*$AE$27+S489*$AE$28+T489*$AE$29+U489*$AE$30</f>
        <v/>
      </c>
      <c r="W489" s="8">
        <f>1/(1+EXP(-V489))</f>
        <v/>
      </c>
      <c r="X489" s="9">
        <f>-IF(C489=1,LN(W489),LN(1-W489))</f>
        <v/>
      </c>
      <c r="Y489" s="8">
        <f>1</f>
        <v/>
      </c>
      <c r="Z489" s="9">
        <f>Y489*X489</f>
        <v/>
      </c>
      <c r="AA489" s="10">
        <f>IF(W489&gt;$AE$32,1,0)</f>
        <v/>
      </c>
      <c r="AB489">
        <f>IF(AA489=C489,1,0)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$AE$12+D490*$AE$13+E490*$AE$14+F490*$AE$15+G490*$AE$16+H490*$AE$17+I490*$AE$18+J490*$AE$19+K490*$AE$20+L490*$AE$21+M490*$AE$22+N490*$AE$23+O490*$AE$24+P490*$AE$25+Q490*$AE$26+R490*$AE$27+S490*$AE$28+T490*$AE$29+U490*$AE$30</f>
        <v/>
      </c>
      <c r="W490" s="8">
        <f>1/(1+EXP(-V490))</f>
        <v/>
      </c>
      <c r="X490" s="9">
        <f>-IF(C490=1,LN(W490),LN(1-W490))</f>
        <v/>
      </c>
      <c r="Y490" s="8">
        <f>1</f>
        <v/>
      </c>
      <c r="Z490" s="9">
        <f>Y490*X490</f>
        <v/>
      </c>
      <c r="AA490" s="10">
        <f>IF(W490&gt;$AE$32,1,0)</f>
        <v/>
      </c>
      <c r="AB490">
        <f>IF(AA490=C490,1,0)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$AE$12+D491*$AE$13+E491*$AE$14+F491*$AE$15+G491*$AE$16+H491*$AE$17+I491*$AE$18+J491*$AE$19+K491*$AE$20+L491*$AE$21+M491*$AE$22+N491*$AE$23+O491*$AE$24+P491*$AE$25+Q491*$AE$26+R491*$AE$27+S491*$AE$28+T491*$AE$29+U491*$AE$30</f>
        <v/>
      </c>
      <c r="W491" s="8">
        <f>1/(1+EXP(-V491))</f>
        <v/>
      </c>
      <c r="X491" s="9">
        <f>-IF(C491=1,LN(W491),LN(1-W491))</f>
        <v/>
      </c>
      <c r="Y491" s="8">
        <f>1</f>
        <v/>
      </c>
      <c r="Z491" s="9">
        <f>Y491*X491</f>
        <v/>
      </c>
      <c r="AA491" s="10">
        <f>IF(W491&gt;$AE$32,1,0)</f>
        <v/>
      </c>
      <c r="AB491">
        <f>IF(AA491=C491,1,0)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$AE$12+D492*$AE$13+E492*$AE$14+F492*$AE$15+G492*$AE$16+H492*$AE$17+I492*$AE$18+J492*$AE$19+K492*$AE$20+L492*$AE$21+M492*$AE$22+N492*$AE$23+O492*$AE$24+P492*$AE$25+Q492*$AE$26+R492*$AE$27+S492*$AE$28+T492*$AE$29+U492*$AE$30</f>
        <v/>
      </c>
      <c r="W492" s="8">
        <f>1/(1+EXP(-V492))</f>
        <v/>
      </c>
      <c r="X492" s="9">
        <f>-IF(C492=1,LN(W492),LN(1-W492))</f>
        <v/>
      </c>
      <c r="Y492" s="8">
        <f>1</f>
        <v/>
      </c>
      <c r="Z492" s="9">
        <f>Y492*X492</f>
        <v/>
      </c>
      <c r="AA492" s="10">
        <f>IF(W492&gt;$AE$32,1,0)</f>
        <v/>
      </c>
      <c r="AB492">
        <f>IF(AA492=C492,1,0)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$AE$12+D493*$AE$13+E493*$AE$14+F493*$AE$15+G493*$AE$16+H493*$AE$17+I493*$AE$18+J493*$AE$19+K493*$AE$20+L493*$AE$21+M493*$AE$22+N493*$AE$23+O493*$AE$24+P493*$AE$25+Q493*$AE$26+R493*$AE$27+S493*$AE$28+T493*$AE$29+U493*$AE$30</f>
        <v/>
      </c>
      <c r="W493" s="8">
        <f>1/(1+EXP(-V493))</f>
        <v/>
      </c>
      <c r="X493" s="9">
        <f>-IF(C493=1,LN(W493),LN(1-W493))</f>
        <v/>
      </c>
      <c r="Y493" s="8">
        <f>1</f>
        <v/>
      </c>
      <c r="Z493" s="9">
        <f>Y493*X493</f>
        <v/>
      </c>
      <c r="AA493" s="10">
        <f>IF(W493&gt;$AE$32,1,0)</f>
        <v/>
      </c>
      <c r="AB493">
        <f>IF(AA493=C493,1,0)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$AE$12+D494*$AE$13+E494*$AE$14+F494*$AE$15+G494*$AE$16+H494*$AE$17+I494*$AE$18+J494*$AE$19+K494*$AE$20+L494*$AE$21+M494*$AE$22+N494*$AE$23+O494*$AE$24+P494*$AE$25+Q494*$AE$26+R494*$AE$27+S494*$AE$28+T494*$AE$29+U494*$AE$30</f>
        <v/>
      </c>
      <c r="W494" s="8">
        <f>1/(1+EXP(-V494))</f>
        <v/>
      </c>
      <c r="X494" s="9">
        <f>-IF(C494=1,LN(W494),LN(1-W494))</f>
        <v/>
      </c>
      <c r="Y494" s="8">
        <f>1</f>
        <v/>
      </c>
      <c r="Z494" s="9">
        <f>Y494*X494</f>
        <v/>
      </c>
      <c r="AA494" s="10">
        <f>IF(W494&gt;$AE$32,1,0)</f>
        <v/>
      </c>
      <c r="AB494">
        <f>IF(AA494=C494,1,0)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$AE$12+D495*$AE$13+E495*$AE$14+F495*$AE$15+G495*$AE$16+H495*$AE$17+I495*$AE$18+J495*$AE$19+K495*$AE$20+L495*$AE$21+M495*$AE$22+N495*$AE$23+O495*$AE$24+P495*$AE$25+Q495*$AE$26+R495*$AE$27+S495*$AE$28+T495*$AE$29+U495*$AE$30</f>
        <v/>
      </c>
      <c r="W495" s="8">
        <f>1/(1+EXP(-V495))</f>
        <v/>
      </c>
      <c r="X495" s="9">
        <f>-IF(C495=1,LN(W495),LN(1-W495))</f>
        <v/>
      </c>
      <c r="Y495" s="8">
        <f>1</f>
        <v/>
      </c>
      <c r="Z495" s="9">
        <f>Y495*X495</f>
        <v/>
      </c>
      <c r="AA495" s="10">
        <f>IF(W495&gt;$AE$32,1,0)</f>
        <v/>
      </c>
      <c r="AB495">
        <f>IF(AA495=C495,1,0)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$AE$12+D496*$AE$13+E496*$AE$14+F496*$AE$15+G496*$AE$16+H496*$AE$17+I496*$AE$18+J496*$AE$19+K496*$AE$20+L496*$AE$21+M496*$AE$22+N496*$AE$23+O496*$AE$24+P496*$AE$25+Q496*$AE$26+R496*$AE$27+S496*$AE$28+T496*$AE$29+U496*$AE$30</f>
        <v/>
      </c>
      <c r="W496" s="8">
        <f>1/(1+EXP(-V496))</f>
        <v/>
      </c>
      <c r="X496" s="9">
        <f>-IF(C496=1,LN(W496),LN(1-W496))</f>
        <v/>
      </c>
      <c r="Y496" s="8">
        <f>1</f>
        <v/>
      </c>
      <c r="Z496" s="9">
        <f>Y496*X496</f>
        <v/>
      </c>
      <c r="AA496" s="10">
        <f>IF(W496&gt;$AE$32,1,0)</f>
        <v/>
      </c>
      <c r="AB496">
        <f>IF(AA496=C496,1,0)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$AE$12+D497*$AE$13+E497*$AE$14+F497*$AE$15+G497*$AE$16+H497*$AE$17+I497*$AE$18+J497*$AE$19+K497*$AE$20+L497*$AE$21+M497*$AE$22+N497*$AE$23+O497*$AE$24+P497*$AE$25+Q497*$AE$26+R497*$AE$27+S497*$AE$28+T497*$AE$29+U497*$AE$30</f>
        <v/>
      </c>
      <c r="W497" s="8">
        <f>1/(1+EXP(-V497))</f>
        <v/>
      </c>
      <c r="X497" s="9">
        <f>-IF(C497=1,LN(W497),LN(1-W497))</f>
        <v/>
      </c>
      <c r="Y497" s="8">
        <f>1</f>
        <v/>
      </c>
      <c r="Z497" s="9">
        <f>Y497*X497</f>
        <v/>
      </c>
      <c r="AA497" s="10">
        <f>IF(W497&gt;$AE$32,1,0)</f>
        <v/>
      </c>
      <c r="AB497">
        <f>IF(AA497=C497,1,0)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$AE$12+D498*$AE$13+E498*$AE$14+F498*$AE$15+G498*$AE$16+H498*$AE$17+I498*$AE$18+J498*$AE$19+K498*$AE$20+L498*$AE$21+M498*$AE$22+N498*$AE$23+O498*$AE$24+P498*$AE$25+Q498*$AE$26+R498*$AE$27+S498*$AE$28+T498*$AE$29+U498*$AE$30</f>
        <v/>
      </c>
      <c r="W498" s="8">
        <f>1/(1+EXP(-V498))</f>
        <v/>
      </c>
      <c r="X498" s="9">
        <f>-IF(C498=1,LN(W498),LN(1-W498))</f>
        <v/>
      </c>
      <c r="Y498" s="8">
        <f>1</f>
        <v/>
      </c>
      <c r="Z498" s="9">
        <f>Y498*X498</f>
        <v/>
      </c>
      <c r="AA498" s="10">
        <f>IF(W498&gt;$AE$32,1,0)</f>
        <v/>
      </c>
      <c r="AB498">
        <f>IF(AA498=C498,1,0)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$AE$12+D499*$AE$13+E499*$AE$14+F499*$AE$15+G499*$AE$16+H499*$AE$17+I499*$AE$18+J499*$AE$19+K499*$AE$20+L499*$AE$21+M499*$AE$22+N499*$AE$23+O499*$AE$24+P499*$AE$25+Q499*$AE$26+R499*$AE$27+S499*$AE$28+T499*$AE$29+U499*$AE$30</f>
        <v/>
      </c>
      <c r="W499" s="8">
        <f>1/(1+EXP(-V499))</f>
        <v/>
      </c>
      <c r="X499" s="9">
        <f>-IF(C499=1,LN(W499),LN(1-W499))</f>
        <v/>
      </c>
      <c r="Y499" s="8">
        <f>1</f>
        <v/>
      </c>
      <c r="Z499" s="9">
        <f>Y499*X499</f>
        <v/>
      </c>
      <c r="AA499" s="10">
        <f>IF(W499&gt;$AE$32,1,0)</f>
        <v/>
      </c>
      <c r="AB499">
        <f>IF(AA499=C499,1,0)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$AE$12+D500*$AE$13+E500*$AE$14+F500*$AE$15+G500*$AE$16+H500*$AE$17+I500*$AE$18+J500*$AE$19+K500*$AE$20+L500*$AE$21+M500*$AE$22+N500*$AE$23+O500*$AE$24+P500*$AE$25+Q500*$AE$26+R500*$AE$27+S500*$AE$28+T500*$AE$29+U500*$AE$30</f>
        <v/>
      </c>
      <c r="W500" s="8">
        <f>1/(1+EXP(-V500))</f>
        <v/>
      </c>
      <c r="X500" s="9">
        <f>-IF(C500=1,LN(W500),LN(1-W500))</f>
        <v/>
      </c>
      <c r="Y500" s="8">
        <f>1</f>
        <v/>
      </c>
      <c r="Z500" s="9">
        <f>Y500*X500</f>
        <v/>
      </c>
      <c r="AA500" s="10">
        <f>IF(W500&gt;$AE$32,1,0)</f>
        <v/>
      </c>
      <c r="AB500">
        <f>IF(AA500=C500,1,0)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$AE$12+D501*$AE$13+E501*$AE$14+F501*$AE$15+G501*$AE$16+H501*$AE$17+I501*$AE$18+J501*$AE$19+K501*$AE$20+L501*$AE$21+M501*$AE$22+N501*$AE$23+O501*$AE$24+P501*$AE$25+Q501*$AE$26+R501*$AE$27+S501*$AE$28+T501*$AE$29+U501*$AE$30</f>
        <v/>
      </c>
      <c r="W501" s="8">
        <f>1/(1+EXP(-V501))</f>
        <v/>
      </c>
      <c r="X501" s="9">
        <f>-IF(C501=1,LN(W501),LN(1-W501))</f>
        <v/>
      </c>
      <c r="Y501" s="8">
        <f>1</f>
        <v/>
      </c>
      <c r="Z501" s="9">
        <f>Y501*X501</f>
        <v/>
      </c>
      <c r="AA501" s="10">
        <f>IF(W501&gt;$AE$32,1,0)</f>
        <v/>
      </c>
      <c r="AB501">
        <f>IF(AA501=C501,1,0)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$AE$12+D502*$AE$13+E502*$AE$14+F502*$AE$15+G502*$AE$16+H502*$AE$17+I502*$AE$18+J502*$AE$19+K502*$AE$20+L502*$AE$21+M502*$AE$22+N502*$AE$23+O502*$AE$24+P502*$AE$25+Q502*$AE$26+R502*$AE$27+S502*$AE$28+T502*$AE$29+U502*$AE$30</f>
        <v/>
      </c>
      <c r="W502" s="8">
        <f>1/(1+EXP(-V502))</f>
        <v/>
      </c>
      <c r="X502" s="9">
        <f>-IF(C502=1,LN(W502),LN(1-W502))</f>
        <v/>
      </c>
      <c r="Y502" s="8">
        <f>1</f>
        <v/>
      </c>
      <c r="Z502" s="9">
        <f>Y502*X502</f>
        <v/>
      </c>
      <c r="AA502" s="10">
        <f>IF(W502&gt;$AE$32,1,0)</f>
        <v/>
      </c>
      <c r="AB502">
        <f>IF(AA502=C502,1,0)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$AE$12+D503*$AE$13+E503*$AE$14+F503*$AE$15+G503*$AE$16+H503*$AE$17+I503*$AE$18+J503*$AE$19+K503*$AE$20+L503*$AE$21+M503*$AE$22+N503*$AE$23+O503*$AE$24+P503*$AE$25+Q503*$AE$26+R503*$AE$27+S503*$AE$28+T503*$AE$29+U503*$AE$30</f>
        <v/>
      </c>
      <c r="W503" s="8">
        <f>1/(1+EXP(-V503))</f>
        <v/>
      </c>
      <c r="X503" s="9">
        <f>-IF(C503=1,LN(W503),LN(1-W503))</f>
        <v/>
      </c>
      <c r="Y503" s="8">
        <f>1</f>
        <v/>
      </c>
      <c r="Z503" s="9">
        <f>Y503*X503</f>
        <v/>
      </c>
      <c r="AA503" s="10">
        <f>IF(W503&gt;$AE$32,1,0)</f>
        <v/>
      </c>
      <c r="AB503">
        <f>IF(AA503=C503,1,0)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$AE$12+D504*$AE$13+E504*$AE$14+F504*$AE$15+G504*$AE$16+H504*$AE$17+I504*$AE$18+J504*$AE$19+K504*$AE$20+L504*$AE$21+M504*$AE$22+N504*$AE$23+O504*$AE$24+P504*$AE$25+Q504*$AE$26+R504*$AE$27+S504*$AE$28+T504*$AE$29+U504*$AE$30</f>
        <v/>
      </c>
      <c r="W504" s="8">
        <f>1/(1+EXP(-V504))</f>
        <v/>
      </c>
      <c r="X504" s="9">
        <f>-IF(C504=1,LN(W504),LN(1-W504))</f>
        <v/>
      </c>
      <c r="Y504" s="8">
        <f>1</f>
        <v/>
      </c>
      <c r="Z504" s="9">
        <f>Y504*X504</f>
        <v/>
      </c>
      <c r="AA504" s="10">
        <f>IF(W504&gt;$AE$32,1,0)</f>
        <v/>
      </c>
      <c r="AB504">
        <f>IF(AA504=C504,1,0)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$AE$12+D505*$AE$13+E505*$AE$14+F505*$AE$15+G505*$AE$16+H505*$AE$17+I505*$AE$18+J505*$AE$19+K505*$AE$20+L505*$AE$21+M505*$AE$22+N505*$AE$23+O505*$AE$24+P505*$AE$25+Q505*$AE$26+R505*$AE$27+S505*$AE$28+T505*$AE$29+U505*$AE$30</f>
        <v/>
      </c>
      <c r="W505" s="8">
        <f>1/(1+EXP(-V505))</f>
        <v/>
      </c>
      <c r="X505" s="9">
        <f>-IF(C505=1,LN(W505),LN(1-W505))</f>
        <v/>
      </c>
      <c r="Y505" s="8">
        <f>1</f>
        <v/>
      </c>
      <c r="Z505" s="9">
        <f>Y505*X505</f>
        <v/>
      </c>
      <c r="AA505" s="10">
        <f>IF(W505&gt;$AE$32,1,0)</f>
        <v/>
      </c>
      <c r="AB505">
        <f>IF(AA505=C505,1,0)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$AE$12+D506*$AE$13+E506*$AE$14+F506*$AE$15+G506*$AE$16+H506*$AE$17+I506*$AE$18+J506*$AE$19+K506*$AE$20+L506*$AE$21+M506*$AE$22+N506*$AE$23+O506*$AE$24+P506*$AE$25+Q506*$AE$26+R506*$AE$27+S506*$AE$28+T506*$AE$29+U506*$AE$30</f>
        <v/>
      </c>
      <c r="W506" s="8">
        <f>1/(1+EXP(-V506))</f>
        <v/>
      </c>
      <c r="X506" s="9">
        <f>-IF(C506=1,LN(W506),LN(1-W506))</f>
        <v/>
      </c>
      <c r="Y506" s="8">
        <f>1</f>
        <v/>
      </c>
      <c r="Z506" s="9">
        <f>Y506*X506</f>
        <v/>
      </c>
      <c r="AA506" s="10">
        <f>IF(W506&gt;$AE$32,1,0)</f>
        <v/>
      </c>
      <c r="AB506">
        <f>IF(AA506=C506,1,0)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$AE$12+D507*$AE$13+E507*$AE$14+F507*$AE$15+G507*$AE$16+H507*$AE$17+I507*$AE$18+J507*$AE$19+K507*$AE$20+L507*$AE$21+M507*$AE$22+N507*$AE$23+O507*$AE$24+P507*$AE$25+Q507*$AE$26+R507*$AE$27+S507*$AE$28+T507*$AE$29+U507*$AE$30</f>
        <v/>
      </c>
      <c r="W507" s="8">
        <f>1/(1+EXP(-V507))</f>
        <v/>
      </c>
      <c r="X507" s="9">
        <f>-IF(C507=1,LN(W507),LN(1-W507))</f>
        <v/>
      </c>
      <c r="Y507" s="8">
        <f>1</f>
        <v/>
      </c>
      <c r="Z507" s="9">
        <f>Y507*X507</f>
        <v/>
      </c>
      <c r="AA507" s="10">
        <f>IF(W507&gt;$AE$32,1,0)</f>
        <v/>
      </c>
      <c r="AB507">
        <f>IF(AA507=C507,1,0)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$AE$12+D508*$AE$13+E508*$AE$14+F508*$AE$15+G508*$AE$16+H508*$AE$17+I508*$AE$18+J508*$AE$19+K508*$AE$20+L508*$AE$21+M508*$AE$22+N508*$AE$23+O508*$AE$24+P508*$AE$25+Q508*$AE$26+R508*$AE$27+S508*$AE$28+T508*$AE$29+U508*$AE$30</f>
        <v/>
      </c>
      <c r="W508" s="8">
        <f>1/(1+EXP(-V508))</f>
        <v/>
      </c>
      <c r="X508" s="9">
        <f>-IF(C508=1,LN(W508),LN(1-W508))</f>
        <v/>
      </c>
      <c r="Y508" s="8">
        <f>1</f>
        <v/>
      </c>
      <c r="Z508" s="9">
        <f>Y508*X508</f>
        <v/>
      </c>
      <c r="AA508" s="10">
        <f>IF(W508&gt;$AE$32,1,0)</f>
        <v/>
      </c>
      <c r="AB508">
        <f>IF(AA508=C508,1,0)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$AE$12+D509*$AE$13+E509*$AE$14+F509*$AE$15+G509*$AE$16+H509*$AE$17+I509*$AE$18+J509*$AE$19+K509*$AE$20+L509*$AE$21+M509*$AE$22+N509*$AE$23+O509*$AE$24+P509*$AE$25+Q509*$AE$26+R509*$AE$27+S509*$AE$28+T509*$AE$29+U509*$AE$30</f>
        <v/>
      </c>
      <c r="W509" s="8">
        <f>1/(1+EXP(-V509))</f>
        <v/>
      </c>
      <c r="X509" s="9">
        <f>-IF(C509=1,LN(W509),LN(1-W509))</f>
        <v/>
      </c>
      <c r="Y509" s="8">
        <f>1</f>
        <v/>
      </c>
      <c r="Z509" s="9">
        <f>Y509*X509</f>
        <v/>
      </c>
      <c r="AA509" s="10">
        <f>IF(W509&gt;$AE$32,1,0)</f>
        <v/>
      </c>
      <c r="AB509">
        <f>IF(AA509=C509,1,0)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$AE$12+D510*$AE$13+E510*$AE$14+F510*$AE$15+G510*$AE$16+H510*$AE$17+I510*$AE$18+J510*$AE$19+K510*$AE$20+L510*$AE$21+M510*$AE$22+N510*$AE$23+O510*$AE$24+P510*$AE$25+Q510*$AE$26+R510*$AE$27+S510*$AE$28+T510*$AE$29+U510*$AE$30</f>
        <v/>
      </c>
      <c r="W510" s="8">
        <f>1/(1+EXP(-V510))</f>
        <v/>
      </c>
      <c r="X510" s="9">
        <f>-IF(C510=1,LN(W510),LN(1-W510))</f>
        <v/>
      </c>
      <c r="Y510" s="8">
        <f>1</f>
        <v/>
      </c>
      <c r="Z510" s="9">
        <f>Y510*X510</f>
        <v/>
      </c>
      <c r="AA510" s="10">
        <f>IF(W510&gt;$AE$32,1,0)</f>
        <v/>
      </c>
      <c r="AB510">
        <f>IF(AA510=C510,1,0)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$AE$12+D511*$AE$13+E511*$AE$14+F511*$AE$15+G511*$AE$16+H511*$AE$17+I511*$AE$18+J511*$AE$19+K511*$AE$20+L511*$AE$21+M511*$AE$22+N511*$AE$23+O511*$AE$24+P511*$AE$25+Q511*$AE$26+R511*$AE$27+S511*$AE$28+T511*$AE$29+U511*$AE$30</f>
        <v/>
      </c>
      <c r="W511" s="8">
        <f>1/(1+EXP(-V511))</f>
        <v/>
      </c>
      <c r="X511" s="9">
        <f>-IF(C511=1,LN(W511),LN(1-W511))</f>
        <v/>
      </c>
      <c r="Y511" s="8">
        <f>1</f>
        <v/>
      </c>
      <c r="Z511" s="9">
        <f>Y511*X511</f>
        <v/>
      </c>
      <c r="AA511" s="10">
        <f>IF(W511&gt;$AE$32,1,0)</f>
        <v/>
      </c>
      <c r="AB511">
        <f>IF(AA511=C511,1,0)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$AE$12+D512*$AE$13+E512*$AE$14+F512*$AE$15+G512*$AE$16+H512*$AE$17+I512*$AE$18+J512*$AE$19+K512*$AE$20+L512*$AE$21+M512*$AE$22+N512*$AE$23+O512*$AE$24+P512*$AE$25+Q512*$AE$26+R512*$AE$27+S512*$AE$28+T512*$AE$29+U512*$AE$30</f>
        <v/>
      </c>
      <c r="W512" s="8">
        <f>1/(1+EXP(-V512))</f>
        <v/>
      </c>
      <c r="X512" s="9">
        <f>-IF(C512=1,LN(W512),LN(1-W512))</f>
        <v/>
      </c>
      <c r="Y512" s="8">
        <f>1</f>
        <v/>
      </c>
      <c r="Z512" s="9">
        <f>Y512*X512</f>
        <v/>
      </c>
      <c r="AA512" s="10">
        <f>IF(W512&gt;$AE$32,1,0)</f>
        <v/>
      </c>
      <c r="AB512">
        <f>IF(AA512=C512,1,0)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$AE$12+D513*$AE$13+E513*$AE$14+F513*$AE$15+G513*$AE$16+H513*$AE$17+I513*$AE$18+J513*$AE$19+K513*$AE$20+L513*$AE$21+M513*$AE$22+N513*$AE$23+O513*$AE$24+P513*$AE$25+Q513*$AE$26+R513*$AE$27+S513*$AE$28+T513*$AE$29+U513*$AE$30</f>
        <v/>
      </c>
      <c r="W513" s="8">
        <f>1/(1+EXP(-V513))</f>
        <v/>
      </c>
      <c r="X513" s="9">
        <f>-IF(C513=1,LN(W513),LN(1-W513))</f>
        <v/>
      </c>
      <c r="Y513" s="8">
        <f>1</f>
        <v/>
      </c>
      <c r="Z513" s="9">
        <f>Y513*X513</f>
        <v/>
      </c>
      <c r="AA513" s="10">
        <f>IF(W513&gt;$AE$32,1,0)</f>
        <v/>
      </c>
      <c r="AB513">
        <f>IF(AA513=C513,1,0)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$AE$12+D514*$AE$13+E514*$AE$14+F514*$AE$15+G514*$AE$16+H514*$AE$17+I514*$AE$18+J514*$AE$19+K514*$AE$20+L514*$AE$21+M514*$AE$22+N514*$AE$23+O514*$AE$24+P514*$AE$25+Q514*$AE$26+R514*$AE$27+S514*$AE$28+T514*$AE$29+U514*$AE$30</f>
        <v/>
      </c>
      <c r="W514" s="8">
        <f>1/(1+EXP(-V514))</f>
        <v/>
      </c>
      <c r="X514" s="9">
        <f>-IF(C514=1,LN(W514),LN(1-W514))</f>
        <v/>
      </c>
      <c r="Y514" s="8">
        <f>1</f>
        <v/>
      </c>
      <c r="Z514" s="9">
        <f>Y514*X514</f>
        <v/>
      </c>
      <c r="AA514" s="10">
        <f>IF(W514&gt;$AE$32,1,0)</f>
        <v/>
      </c>
      <c r="AB514">
        <f>IF(AA514=C514,1,0)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$AE$12+D515*$AE$13+E515*$AE$14+F515*$AE$15+G515*$AE$16+H515*$AE$17+I515*$AE$18+J515*$AE$19+K515*$AE$20+L515*$AE$21+M515*$AE$22+N515*$AE$23+O515*$AE$24+P515*$AE$25+Q515*$AE$26+R515*$AE$27+S515*$AE$28+T515*$AE$29+U515*$AE$30</f>
        <v/>
      </c>
      <c r="W515" s="8">
        <f>1/(1+EXP(-V515))</f>
        <v/>
      </c>
      <c r="X515" s="9">
        <f>-IF(C515=1,LN(W515),LN(1-W515))</f>
        <v/>
      </c>
      <c r="Y515" s="8">
        <f>1</f>
        <v/>
      </c>
      <c r="Z515" s="9">
        <f>Y515*X515</f>
        <v/>
      </c>
      <c r="AA515" s="10">
        <f>IF(W515&gt;$AE$32,1,0)</f>
        <v/>
      </c>
      <c r="AB515">
        <f>IF(AA515=C515,1,0)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$AE$12+D516*$AE$13+E516*$AE$14+F516*$AE$15+G516*$AE$16+H516*$AE$17+I516*$AE$18+J516*$AE$19+K516*$AE$20+L516*$AE$21+M516*$AE$22+N516*$AE$23+O516*$AE$24+P516*$AE$25+Q516*$AE$26+R516*$AE$27+S516*$AE$28+T516*$AE$29+U516*$AE$30</f>
        <v/>
      </c>
      <c r="W516" s="8">
        <f>1/(1+EXP(-V516))</f>
        <v/>
      </c>
      <c r="X516" s="9">
        <f>-IF(C516=1,LN(W516),LN(1-W516))</f>
        <v/>
      </c>
      <c r="Y516" s="8">
        <f>1</f>
        <v/>
      </c>
      <c r="Z516" s="9">
        <f>Y516*X516</f>
        <v/>
      </c>
      <c r="AA516" s="10">
        <f>IF(W516&gt;$AE$32,1,0)</f>
        <v/>
      </c>
      <c r="AB516">
        <f>IF(AA516=C516,1,0)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$AE$12+D517*$AE$13+E517*$AE$14+F517*$AE$15+G517*$AE$16+H517*$AE$17+I517*$AE$18+J517*$AE$19+K517*$AE$20+L517*$AE$21+M517*$AE$22+N517*$AE$23+O517*$AE$24+P517*$AE$25+Q517*$AE$26+R517*$AE$27+S517*$AE$28+T517*$AE$29+U517*$AE$30</f>
        <v/>
      </c>
      <c r="W517" s="8">
        <f>1/(1+EXP(-V517))</f>
        <v/>
      </c>
      <c r="X517" s="9">
        <f>-IF(C517=1,LN(W517),LN(1-W517))</f>
        <v/>
      </c>
      <c r="Y517" s="8">
        <f>1</f>
        <v/>
      </c>
      <c r="Z517" s="9">
        <f>Y517*X517</f>
        <v/>
      </c>
      <c r="AA517" s="10">
        <f>IF(W517&gt;$AE$32,1,0)</f>
        <v/>
      </c>
      <c r="AB517">
        <f>IF(AA517=C517,1,0)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$AE$12+D518*$AE$13+E518*$AE$14+F518*$AE$15+G518*$AE$16+H518*$AE$17+I518*$AE$18+J518*$AE$19+K518*$AE$20+L518*$AE$21+M518*$AE$22+N518*$AE$23+O518*$AE$24+P518*$AE$25+Q518*$AE$26+R518*$AE$27+S518*$AE$28+T518*$AE$29+U518*$AE$30</f>
        <v/>
      </c>
      <c r="W518" s="8">
        <f>1/(1+EXP(-V518))</f>
        <v/>
      </c>
      <c r="X518" s="9">
        <f>-IF(C518=1,LN(W518),LN(1-W518))</f>
        <v/>
      </c>
      <c r="Y518" s="8">
        <f>1</f>
        <v/>
      </c>
      <c r="Z518" s="9">
        <f>Y518*X518</f>
        <v/>
      </c>
      <c r="AA518" s="10">
        <f>IF(W518&gt;$AE$32,1,0)</f>
        <v/>
      </c>
      <c r="AB518">
        <f>IF(AA518=C518,1,0)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$AE$12+D519*$AE$13+E519*$AE$14+F519*$AE$15+G519*$AE$16+H519*$AE$17+I519*$AE$18+J519*$AE$19+K519*$AE$20+L519*$AE$21+M519*$AE$22+N519*$AE$23+O519*$AE$24+P519*$AE$25+Q519*$AE$26+R519*$AE$27+S519*$AE$28+T519*$AE$29+U519*$AE$30</f>
        <v/>
      </c>
      <c r="W519" s="8">
        <f>1/(1+EXP(-V519))</f>
        <v/>
      </c>
      <c r="X519" s="9">
        <f>-IF(C519=1,LN(W519),LN(1-W519))</f>
        <v/>
      </c>
      <c r="Y519" s="8">
        <f>1</f>
        <v/>
      </c>
      <c r="Z519" s="9">
        <f>Y519*X519</f>
        <v/>
      </c>
      <c r="AA519" s="10">
        <f>IF(W519&gt;$AE$32,1,0)</f>
        <v/>
      </c>
      <c r="AB519">
        <f>IF(AA519=C519,1,0)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$AE$12+D520*$AE$13+E520*$AE$14+F520*$AE$15+G520*$AE$16+H520*$AE$17+I520*$AE$18+J520*$AE$19+K520*$AE$20+L520*$AE$21+M520*$AE$22+N520*$AE$23+O520*$AE$24+P520*$AE$25+Q520*$AE$26+R520*$AE$27+S520*$AE$28+T520*$AE$29+U520*$AE$30</f>
        <v/>
      </c>
      <c r="W520" s="8">
        <f>1/(1+EXP(-V520))</f>
        <v/>
      </c>
      <c r="X520" s="9">
        <f>-IF(C520=1,LN(W520),LN(1-W520))</f>
        <v/>
      </c>
      <c r="Y520" s="8">
        <f>1</f>
        <v/>
      </c>
      <c r="Z520" s="9">
        <f>Y520*X520</f>
        <v/>
      </c>
      <c r="AA520" s="10">
        <f>IF(W520&gt;$AE$32,1,0)</f>
        <v/>
      </c>
      <c r="AB520">
        <f>IF(AA520=C520,1,0)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$AE$12+D521*$AE$13+E521*$AE$14+F521*$AE$15+G521*$AE$16+H521*$AE$17+I521*$AE$18+J521*$AE$19+K521*$AE$20+L521*$AE$21+M521*$AE$22+N521*$AE$23+O521*$AE$24+P521*$AE$25+Q521*$AE$26+R521*$AE$27+S521*$AE$28+T521*$AE$29+U521*$AE$30</f>
        <v/>
      </c>
      <c r="W521" s="8">
        <f>1/(1+EXP(-V521))</f>
        <v/>
      </c>
      <c r="X521" s="9">
        <f>-IF(C521=1,LN(W521),LN(1-W521))</f>
        <v/>
      </c>
      <c r="Y521" s="8">
        <f>1</f>
        <v/>
      </c>
      <c r="Z521" s="9">
        <f>Y521*X521</f>
        <v/>
      </c>
      <c r="AA521" s="10">
        <f>IF(W521&gt;$AE$32,1,0)</f>
        <v/>
      </c>
      <c r="AB521">
        <f>IF(AA521=C521,1,0)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$AE$12+D522*$AE$13+E522*$AE$14+F522*$AE$15+G522*$AE$16+H522*$AE$17+I522*$AE$18+J522*$AE$19+K522*$AE$20+L522*$AE$21+M522*$AE$22+N522*$AE$23+O522*$AE$24+P522*$AE$25+Q522*$AE$26+R522*$AE$27+S522*$AE$28+T522*$AE$29+U522*$AE$30</f>
        <v/>
      </c>
      <c r="W522" s="8">
        <f>1/(1+EXP(-V522))</f>
        <v/>
      </c>
      <c r="X522" s="9">
        <f>-IF(C522=1,LN(W522),LN(1-W522))</f>
        <v/>
      </c>
      <c r="Y522" s="8">
        <f>1</f>
        <v/>
      </c>
      <c r="Z522" s="9">
        <f>Y522*X522</f>
        <v/>
      </c>
      <c r="AA522" s="10">
        <f>IF(W522&gt;$AE$32,1,0)</f>
        <v/>
      </c>
      <c r="AB522">
        <f>IF(AA522=C522,1,0)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$AE$12+D523*$AE$13+E523*$AE$14+F523*$AE$15+G523*$AE$16+H523*$AE$17+I523*$AE$18+J523*$AE$19+K523*$AE$20+L523*$AE$21+M523*$AE$22+N523*$AE$23+O523*$AE$24+P523*$AE$25+Q523*$AE$26+R523*$AE$27+S523*$AE$28+T523*$AE$29+U523*$AE$30</f>
        <v/>
      </c>
      <c r="W523" s="8">
        <f>1/(1+EXP(-V523))</f>
        <v/>
      </c>
      <c r="X523" s="9">
        <f>-IF(C523=1,LN(W523),LN(1-W523))</f>
        <v/>
      </c>
      <c r="Y523" s="8">
        <f>1</f>
        <v/>
      </c>
      <c r="Z523" s="9">
        <f>Y523*X523</f>
        <v/>
      </c>
      <c r="AA523" s="10">
        <f>IF(W523&gt;$AE$32,1,0)</f>
        <v/>
      </c>
      <c r="AB523">
        <f>IF(AA523=C523,1,0)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$AE$12+D524*$AE$13+E524*$AE$14+F524*$AE$15+G524*$AE$16+H524*$AE$17+I524*$AE$18+J524*$AE$19+K524*$AE$20+L524*$AE$21+M524*$AE$22+N524*$AE$23+O524*$AE$24+P524*$AE$25+Q524*$AE$26+R524*$AE$27+S524*$AE$28+T524*$AE$29+U524*$AE$30</f>
        <v/>
      </c>
      <c r="W524" s="8">
        <f>1/(1+EXP(-V524))</f>
        <v/>
      </c>
      <c r="X524" s="9">
        <f>-IF(C524=1,LN(W524),LN(1-W524))</f>
        <v/>
      </c>
      <c r="Y524" s="8">
        <f>1</f>
        <v/>
      </c>
      <c r="Z524" s="9">
        <f>Y524*X524</f>
        <v/>
      </c>
      <c r="AA524" s="10">
        <f>IF(W524&gt;$AE$32,1,0)</f>
        <v/>
      </c>
      <c r="AB524">
        <f>IF(AA524=C524,1,0)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$AE$12+D525*$AE$13+E525*$AE$14+F525*$AE$15+G525*$AE$16+H525*$AE$17+I525*$AE$18+J525*$AE$19+K525*$AE$20+L525*$AE$21+M525*$AE$22+N525*$AE$23+O525*$AE$24+P525*$AE$25+Q525*$AE$26+R525*$AE$27+S525*$AE$28+T525*$AE$29+U525*$AE$30</f>
        <v/>
      </c>
      <c r="W525" s="8">
        <f>1/(1+EXP(-V525))</f>
        <v/>
      </c>
      <c r="X525" s="9">
        <f>-IF(C525=1,LN(W525),LN(1-W525))</f>
        <v/>
      </c>
      <c r="Y525" s="8">
        <f>1</f>
        <v/>
      </c>
      <c r="Z525" s="9">
        <f>Y525*X525</f>
        <v/>
      </c>
      <c r="AA525" s="10">
        <f>IF(W525&gt;$AE$32,1,0)</f>
        <v/>
      </c>
      <c r="AB525">
        <f>IF(AA525=C525,1,0)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$AE$12+D526*$AE$13+E526*$AE$14+F526*$AE$15+G526*$AE$16+H526*$AE$17+I526*$AE$18+J526*$AE$19+K526*$AE$20+L526*$AE$21+M526*$AE$22+N526*$AE$23+O526*$AE$24+P526*$AE$25+Q526*$AE$26+R526*$AE$27+S526*$AE$28+T526*$AE$29+U526*$AE$30</f>
        <v/>
      </c>
      <c r="W526" s="8">
        <f>1/(1+EXP(-V526))</f>
        <v/>
      </c>
      <c r="X526" s="9">
        <f>-IF(C526=1,LN(W526),LN(1-W526))</f>
        <v/>
      </c>
      <c r="Y526" s="8">
        <f>1</f>
        <v/>
      </c>
      <c r="Z526" s="9">
        <f>Y526*X526</f>
        <v/>
      </c>
      <c r="AA526" s="10">
        <f>IF(W526&gt;$AE$32,1,0)</f>
        <v/>
      </c>
      <c r="AB526">
        <f>IF(AA526=C526,1,0)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$AE$12+D527*$AE$13+E527*$AE$14+F527*$AE$15+G527*$AE$16+H527*$AE$17+I527*$AE$18+J527*$AE$19+K527*$AE$20+L527*$AE$21+M527*$AE$22+N527*$AE$23+O527*$AE$24+P527*$AE$25+Q527*$AE$26+R527*$AE$27+S527*$AE$28+T527*$AE$29+U527*$AE$30</f>
        <v/>
      </c>
      <c r="W527" s="8">
        <f>1/(1+EXP(-V527))</f>
        <v/>
      </c>
      <c r="X527" s="9">
        <f>-IF(C527=1,LN(W527),LN(1-W527))</f>
        <v/>
      </c>
      <c r="Y527" s="8">
        <f>1</f>
        <v/>
      </c>
      <c r="Z527" s="9">
        <f>Y527*X527</f>
        <v/>
      </c>
      <c r="AA527" s="10">
        <f>IF(W527&gt;$AE$32,1,0)</f>
        <v/>
      </c>
      <c r="AB527">
        <f>IF(AA527=C527,1,0)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$AE$12+D528*$AE$13+E528*$AE$14+F528*$AE$15+G528*$AE$16+H528*$AE$17+I528*$AE$18+J528*$AE$19+K528*$AE$20+L528*$AE$21+M528*$AE$22+N528*$AE$23+O528*$AE$24+P528*$AE$25+Q528*$AE$26+R528*$AE$27+S528*$AE$28+T528*$AE$29+U528*$AE$30</f>
        <v/>
      </c>
      <c r="W528" s="8">
        <f>1/(1+EXP(-V528))</f>
        <v/>
      </c>
      <c r="X528" s="9">
        <f>-IF(C528=1,LN(W528),LN(1-W528))</f>
        <v/>
      </c>
      <c r="Y528" s="8">
        <f>1</f>
        <v/>
      </c>
      <c r="Z528" s="9">
        <f>Y528*X528</f>
        <v/>
      </c>
      <c r="AA528" s="10">
        <f>IF(W528&gt;$AE$32,1,0)</f>
        <v/>
      </c>
      <c r="AB528">
        <f>IF(AA528=C528,1,0)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$AE$12+D529*$AE$13+E529*$AE$14+F529*$AE$15+G529*$AE$16+H529*$AE$17+I529*$AE$18+J529*$AE$19+K529*$AE$20+L529*$AE$21+M529*$AE$22+N529*$AE$23+O529*$AE$24+P529*$AE$25+Q529*$AE$26+R529*$AE$27+S529*$AE$28+T529*$AE$29+U529*$AE$30</f>
        <v/>
      </c>
      <c r="W529" s="8">
        <f>1/(1+EXP(-V529))</f>
        <v/>
      </c>
      <c r="X529" s="9">
        <f>-IF(C529=1,LN(W529),LN(1-W529))</f>
        <v/>
      </c>
      <c r="Y529" s="8">
        <f>1</f>
        <v/>
      </c>
      <c r="Z529" s="9">
        <f>Y529*X529</f>
        <v/>
      </c>
      <c r="AA529" s="10">
        <f>IF(W529&gt;$AE$32,1,0)</f>
        <v/>
      </c>
      <c r="AB529">
        <f>IF(AA529=C529,1,0)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$AE$12+D530*$AE$13+E530*$AE$14+F530*$AE$15+G530*$AE$16+H530*$AE$17+I530*$AE$18+J530*$AE$19+K530*$AE$20+L530*$AE$21+M530*$AE$22+N530*$AE$23+O530*$AE$24+P530*$AE$25+Q530*$AE$26+R530*$AE$27+S530*$AE$28+T530*$AE$29+U530*$AE$30</f>
        <v/>
      </c>
      <c r="W530" s="8">
        <f>1/(1+EXP(-V530))</f>
        <v/>
      </c>
      <c r="X530" s="9">
        <f>-IF(C530=1,LN(W530),LN(1-W530))</f>
        <v/>
      </c>
      <c r="Y530" s="8">
        <f>1</f>
        <v/>
      </c>
      <c r="Z530" s="9">
        <f>Y530*X530</f>
        <v/>
      </c>
      <c r="AA530" s="10">
        <f>IF(W530&gt;$AE$32,1,0)</f>
        <v/>
      </c>
      <c r="AB530">
        <f>IF(AA530=C530,1,0)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$AE$12+D531*$AE$13+E531*$AE$14+F531*$AE$15+G531*$AE$16+H531*$AE$17+I531*$AE$18+J531*$AE$19+K531*$AE$20+L531*$AE$21+M531*$AE$22+N531*$AE$23+O531*$AE$24+P531*$AE$25+Q531*$AE$26+R531*$AE$27+S531*$AE$28+T531*$AE$29+U531*$AE$30</f>
        <v/>
      </c>
      <c r="W531" s="8">
        <f>1/(1+EXP(-V531))</f>
        <v/>
      </c>
      <c r="X531" s="9">
        <f>-IF(C531=1,LN(W531),LN(1-W531))</f>
        <v/>
      </c>
      <c r="Y531" s="8">
        <f>1</f>
        <v/>
      </c>
      <c r="Z531" s="9">
        <f>Y531*X531</f>
        <v/>
      </c>
      <c r="AA531" s="10">
        <f>IF(W531&gt;$AE$32,1,0)</f>
        <v/>
      </c>
      <c r="AB531">
        <f>IF(AA531=C531,1,0)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$AE$12+D532*$AE$13+E532*$AE$14+F532*$AE$15+G532*$AE$16+H532*$AE$17+I532*$AE$18+J532*$AE$19+K532*$AE$20+L532*$AE$21+M532*$AE$22+N532*$AE$23+O532*$AE$24+P532*$AE$25+Q532*$AE$26+R532*$AE$27+S532*$AE$28+T532*$AE$29+U532*$AE$30</f>
        <v/>
      </c>
      <c r="W532" s="8">
        <f>1/(1+EXP(-V532))</f>
        <v/>
      </c>
      <c r="X532" s="9">
        <f>-IF(C532=1,LN(W532),LN(1-W532))</f>
        <v/>
      </c>
      <c r="Y532" s="8">
        <f>1</f>
        <v/>
      </c>
      <c r="Z532" s="9">
        <f>Y532*X532</f>
        <v/>
      </c>
      <c r="AA532" s="10">
        <f>IF(W532&gt;$AE$32,1,0)</f>
        <v/>
      </c>
      <c r="AB532">
        <f>IF(AA532=C532,1,0)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$AE$12+D533*$AE$13+E533*$AE$14+F533*$AE$15+G533*$AE$16+H533*$AE$17+I533*$AE$18+J533*$AE$19+K533*$AE$20+L533*$AE$21+M533*$AE$22+N533*$AE$23+O533*$AE$24+P533*$AE$25+Q533*$AE$26+R533*$AE$27+S533*$AE$28+T533*$AE$29+U533*$AE$30</f>
        <v/>
      </c>
      <c r="W533" s="8">
        <f>1/(1+EXP(-V533))</f>
        <v/>
      </c>
      <c r="X533" s="9">
        <f>-IF(C533=1,LN(W533),LN(1-W533))</f>
        <v/>
      </c>
      <c r="Y533" s="8">
        <f>1</f>
        <v/>
      </c>
      <c r="Z533" s="9">
        <f>Y533*X533</f>
        <v/>
      </c>
      <c r="AA533" s="10">
        <f>IF(W533&gt;$AE$32,1,0)</f>
        <v/>
      </c>
      <c r="AB533">
        <f>IF(AA533=C533,1,0)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$AE$12+D534*$AE$13+E534*$AE$14+F534*$AE$15+G534*$AE$16+H534*$AE$17+I534*$AE$18+J534*$AE$19+K534*$AE$20+L534*$AE$21+M534*$AE$22+N534*$AE$23+O534*$AE$24+P534*$AE$25+Q534*$AE$26+R534*$AE$27+S534*$AE$28+T534*$AE$29+U534*$AE$30</f>
        <v/>
      </c>
      <c r="W534" s="8">
        <f>1/(1+EXP(-V534))</f>
        <v/>
      </c>
      <c r="X534" s="9">
        <f>-IF(C534=1,LN(W534),LN(1-W534))</f>
        <v/>
      </c>
      <c r="Y534" s="8">
        <f>1</f>
        <v/>
      </c>
      <c r="Z534" s="9">
        <f>Y534*X534</f>
        <v/>
      </c>
      <c r="AA534" s="10">
        <f>IF(W534&gt;$AE$32,1,0)</f>
        <v/>
      </c>
      <c r="AB534">
        <f>IF(AA534=C534,1,0)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$AE$12+D535*$AE$13+E535*$AE$14+F535*$AE$15+G535*$AE$16+H535*$AE$17+I535*$AE$18+J535*$AE$19+K535*$AE$20+L535*$AE$21+M535*$AE$22+N535*$AE$23+O535*$AE$24+P535*$AE$25+Q535*$AE$26+R535*$AE$27+S535*$AE$28+T535*$AE$29+U535*$AE$30</f>
        <v/>
      </c>
      <c r="W535" s="8">
        <f>1/(1+EXP(-V535))</f>
        <v/>
      </c>
      <c r="X535" s="9">
        <f>-IF(C535=1,LN(W535),LN(1-W535))</f>
        <v/>
      </c>
      <c r="Y535" s="8">
        <f>1</f>
        <v/>
      </c>
      <c r="Z535" s="9">
        <f>Y535*X535</f>
        <v/>
      </c>
      <c r="AA535" s="10">
        <f>IF(W535&gt;$AE$32,1,0)</f>
        <v/>
      </c>
      <c r="AB535">
        <f>IF(AA535=C535,1,0)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$AE$12+D536*$AE$13+E536*$AE$14+F536*$AE$15+G536*$AE$16+H536*$AE$17+I536*$AE$18+J536*$AE$19+K536*$AE$20+L536*$AE$21+M536*$AE$22+N536*$AE$23+O536*$AE$24+P536*$AE$25+Q536*$AE$26+R536*$AE$27+S536*$AE$28+T536*$AE$29+U536*$AE$30</f>
        <v/>
      </c>
      <c r="W536" s="8">
        <f>1/(1+EXP(-V536))</f>
        <v/>
      </c>
      <c r="X536" s="9">
        <f>-IF(C536=1,LN(W536),LN(1-W536))</f>
        <v/>
      </c>
      <c r="Y536" s="8">
        <f>1</f>
        <v/>
      </c>
      <c r="Z536" s="9">
        <f>Y536*X536</f>
        <v/>
      </c>
      <c r="AA536" s="10">
        <f>IF(W536&gt;$AE$32,1,0)</f>
        <v/>
      </c>
      <c r="AB536">
        <f>IF(AA536=C536,1,0)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$AE$12+D537*$AE$13+E537*$AE$14+F537*$AE$15+G537*$AE$16+H537*$AE$17+I537*$AE$18+J537*$AE$19+K537*$AE$20+L537*$AE$21+M537*$AE$22+N537*$AE$23+O537*$AE$24+P537*$AE$25+Q537*$AE$26+R537*$AE$27+S537*$AE$28+T537*$AE$29+U537*$AE$30</f>
        <v/>
      </c>
      <c r="W537" s="8">
        <f>1/(1+EXP(-V537))</f>
        <v/>
      </c>
      <c r="X537" s="9">
        <f>-IF(C537=1,LN(W537),LN(1-W537))</f>
        <v/>
      </c>
      <c r="Y537" s="8">
        <f>1</f>
        <v/>
      </c>
      <c r="Z537" s="9">
        <f>Y537*X537</f>
        <v/>
      </c>
      <c r="AA537" s="10">
        <f>IF(W537&gt;$AE$32,1,0)</f>
        <v/>
      </c>
      <c r="AB537">
        <f>IF(AA537=C537,1,0)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$AE$12+D538*$AE$13+E538*$AE$14+F538*$AE$15+G538*$AE$16+H538*$AE$17+I538*$AE$18+J538*$AE$19+K538*$AE$20+L538*$AE$21+M538*$AE$22+N538*$AE$23+O538*$AE$24+P538*$AE$25+Q538*$AE$26+R538*$AE$27+S538*$AE$28+T538*$AE$29+U538*$AE$30</f>
        <v/>
      </c>
      <c r="W538" s="8">
        <f>1/(1+EXP(-V538))</f>
        <v/>
      </c>
      <c r="X538" s="9">
        <f>-IF(C538=1,LN(W538),LN(1-W538))</f>
        <v/>
      </c>
      <c r="Y538" s="8">
        <f>1</f>
        <v/>
      </c>
      <c r="Z538" s="9">
        <f>Y538*X538</f>
        <v/>
      </c>
      <c r="AA538" s="10">
        <f>IF(W538&gt;$AE$32,1,0)</f>
        <v/>
      </c>
      <c r="AB538">
        <f>IF(AA538=C538,1,0)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$AE$12+D539*$AE$13+E539*$AE$14+F539*$AE$15+G539*$AE$16+H539*$AE$17+I539*$AE$18+J539*$AE$19+K539*$AE$20+L539*$AE$21+M539*$AE$22+N539*$AE$23+O539*$AE$24+P539*$AE$25+Q539*$AE$26+R539*$AE$27+S539*$AE$28+T539*$AE$29+U539*$AE$30</f>
        <v/>
      </c>
      <c r="W539" s="8">
        <f>1/(1+EXP(-V539))</f>
        <v/>
      </c>
      <c r="X539" s="9">
        <f>-IF(C539=1,LN(W539),LN(1-W539))</f>
        <v/>
      </c>
      <c r="Y539" s="8">
        <f>1</f>
        <v/>
      </c>
      <c r="Z539" s="9">
        <f>Y539*X539</f>
        <v/>
      </c>
      <c r="AA539" s="10">
        <f>IF(W539&gt;$AE$32,1,0)</f>
        <v/>
      </c>
      <c r="AB539">
        <f>IF(AA539=C539,1,0)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$AE$12+D540*$AE$13+E540*$AE$14+F540*$AE$15+G540*$AE$16+H540*$AE$17+I540*$AE$18+J540*$AE$19+K540*$AE$20+L540*$AE$21+M540*$AE$22+N540*$AE$23+O540*$AE$24+P540*$AE$25+Q540*$AE$26+R540*$AE$27+S540*$AE$28+T540*$AE$29+U540*$AE$30</f>
        <v/>
      </c>
      <c r="W540" s="8">
        <f>1/(1+EXP(-V540))</f>
        <v/>
      </c>
      <c r="X540" s="9">
        <f>-IF(C540=1,LN(W540),LN(1-W540))</f>
        <v/>
      </c>
      <c r="Y540" s="8">
        <f>1</f>
        <v/>
      </c>
      <c r="Z540" s="9">
        <f>Y540*X540</f>
        <v/>
      </c>
      <c r="AA540" s="10">
        <f>IF(W540&gt;$AE$32,1,0)</f>
        <v/>
      </c>
      <c r="AB540">
        <f>IF(AA540=C540,1,0)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$AE$12+D541*$AE$13+E541*$AE$14+F541*$AE$15+G541*$AE$16+H541*$AE$17+I541*$AE$18+J541*$AE$19+K541*$AE$20+L541*$AE$21+M541*$AE$22+N541*$AE$23+O541*$AE$24+P541*$AE$25+Q541*$AE$26+R541*$AE$27+S541*$AE$28+T541*$AE$29+U541*$AE$30</f>
        <v/>
      </c>
      <c r="W541" s="8">
        <f>1/(1+EXP(-V541))</f>
        <v/>
      </c>
      <c r="X541" s="9">
        <f>-IF(C541=1,LN(W541),LN(1-W541))</f>
        <v/>
      </c>
      <c r="Y541" s="8">
        <f>1</f>
        <v/>
      </c>
      <c r="Z541" s="9">
        <f>Y541*X541</f>
        <v/>
      </c>
      <c r="AA541" s="10">
        <f>IF(W541&gt;$AE$32,1,0)</f>
        <v/>
      </c>
      <c r="AB541">
        <f>IF(AA541=C541,1,0)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$AE$12+D542*$AE$13+E542*$AE$14+F542*$AE$15+G542*$AE$16+H542*$AE$17+I542*$AE$18+J542*$AE$19+K542*$AE$20+L542*$AE$21+M542*$AE$22+N542*$AE$23+O542*$AE$24+P542*$AE$25+Q542*$AE$26+R542*$AE$27+S542*$AE$28+T542*$AE$29+U542*$AE$30</f>
        <v/>
      </c>
      <c r="W542" s="8">
        <f>1/(1+EXP(-V542))</f>
        <v/>
      </c>
      <c r="X542" s="9">
        <f>-IF(C542=1,LN(W542),LN(1-W542))</f>
        <v/>
      </c>
      <c r="Y542" s="8">
        <f>1</f>
        <v/>
      </c>
      <c r="Z542" s="9">
        <f>Y542*X542</f>
        <v/>
      </c>
      <c r="AA542" s="10">
        <f>IF(W542&gt;$AE$32,1,0)</f>
        <v/>
      </c>
      <c r="AB542">
        <f>IF(AA542=C542,1,0)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$AE$12+D543*$AE$13+E543*$AE$14+F543*$AE$15+G543*$AE$16+H543*$AE$17+I543*$AE$18+J543*$AE$19+K543*$AE$20+L543*$AE$21+M543*$AE$22+N543*$AE$23+O543*$AE$24+P543*$AE$25+Q543*$AE$26+R543*$AE$27+S543*$AE$28+T543*$AE$29+U543*$AE$30</f>
        <v/>
      </c>
      <c r="W543" s="8">
        <f>1/(1+EXP(-V543))</f>
        <v/>
      </c>
      <c r="X543" s="9">
        <f>-IF(C543=1,LN(W543),LN(1-W543))</f>
        <v/>
      </c>
      <c r="Y543" s="8">
        <f>1</f>
        <v/>
      </c>
      <c r="Z543" s="9">
        <f>Y543*X543</f>
        <v/>
      </c>
      <c r="AA543" s="10">
        <f>IF(W543&gt;$AE$32,1,0)</f>
        <v/>
      </c>
      <c r="AB543">
        <f>IF(AA543=C543,1,0)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$AE$12+D544*$AE$13+E544*$AE$14+F544*$AE$15+G544*$AE$16+H544*$AE$17+I544*$AE$18+J544*$AE$19+K544*$AE$20+L544*$AE$21+M544*$AE$22+N544*$AE$23+O544*$AE$24+P544*$AE$25+Q544*$AE$26+R544*$AE$27+S544*$AE$28+T544*$AE$29+U544*$AE$30</f>
        <v/>
      </c>
      <c r="W544" s="8">
        <f>1/(1+EXP(-V544))</f>
        <v/>
      </c>
      <c r="X544" s="9">
        <f>-IF(C544=1,LN(W544),LN(1-W544))</f>
        <v/>
      </c>
      <c r="Y544" s="8">
        <f>1</f>
        <v/>
      </c>
      <c r="Z544" s="9">
        <f>Y544*X544</f>
        <v/>
      </c>
      <c r="AA544" s="10">
        <f>IF(W544&gt;$AE$32,1,0)</f>
        <v/>
      </c>
      <c r="AB544">
        <f>IF(AA544=C544,1,0)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$AE$12+D545*$AE$13+E545*$AE$14+F545*$AE$15+G545*$AE$16+H545*$AE$17+I545*$AE$18+J545*$AE$19+K545*$AE$20+L545*$AE$21+M545*$AE$22+N545*$AE$23+O545*$AE$24+P545*$AE$25+Q545*$AE$26+R545*$AE$27+S545*$AE$28+T545*$AE$29+U545*$AE$30</f>
        <v/>
      </c>
      <c r="W545" s="8">
        <f>1/(1+EXP(-V545))</f>
        <v/>
      </c>
      <c r="X545" s="9">
        <f>-IF(C545=1,LN(W545),LN(1-W545))</f>
        <v/>
      </c>
      <c r="Y545" s="8">
        <f>1</f>
        <v/>
      </c>
      <c r="Z545" s="9">
        <f>Y545*X545</f>
        <v/>
      </c>
      <c r="AA545" s="10">
        <f>IF(W545&gt;$AE$32,1,0)</f>
        <v/>
      </c>
      <c r="AB545">
        <f>IF(AA545=C545,1,0)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$AE$12+D546*$AE$13+E546*$AE$14+F546*$AE$15+G546*$AE$16+H546*$AE$17+I546*$AE$18+J546*$AE$19+K546*$AE$20+L546*$AE$21+M546*$AE$22+N546*$AE$23+O546*$AE$24+P546*$AE$25+Q546*$AE$26+R546*$AE$27+S546*$AE$28+T546*$AE$29+U546*$AE$30</f>
        <v/>
      </c>
      <c r="W546" s="8">
        <f>1/(1+EXP(-V546))</f>
        <v/>
      </c>
      <c r="X546" s="9">
        <f>-IF(C546=1,LN(W546),LN(1-W546))</f>
        <v/>
      </c>
      <c r="Y546" s="8">
        <f>1</f>
        <v/>
      </c>
      <c r="Z546" s="9">
        <f>Y546*X546</f>
        <v/>
      </c>
      <c r="AA546" s="10">
        <f>IF(W546&gt;$AE$32,1,0)</f>
        <v/>
      </c>
      <c r="AB546">
        <f>IF(AA546=C546,1,0)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$AE$12+D547*$AE$13+E547*$AE$14+F547*$AE$15+G547*$AE$16+H547*$AE$17+I547*$AE$18+J547*$AE$19+K547*$AE$20+L547*$AE$21+M547*$AE$22+N547*$AE$23+O547*$AE$24+P547*$AE$25+Q547*$AE$26+R547*$AE$27+S547*$AE$28+T547*$AE$29+U547*$AE$30</f>
        <v/>
      </c>
      <c r="W547" s="8">
        <f>1/(1+EXP(-V547))</f>
        <v/>
      </c>
      <c r="X547" s="9">
        <f>-IF(C547=1,LN(W547),LN(1-W547))</f>
        <v/>
      </c>
      <c r="Y547" s="8">
        <f>1</f>
        <v/>
      </c>
      <c r="Z547" s="9">
        <f>Y547*X547</f>
        <v/>
      </c>
      <c r="AA547" s="10">
        <f>IF(W547&gt;$AE$32,1,0)</f>
        <v/>
      </c>
      <c r="AB547">
        <f>IF(AA547=C547,1,0)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$AE$12+D548*$AE$13+E548*$AE$14+F548*$AE$15+G548*$AE$16+H548*$AE$17+I548*$AE$18+J548*$AE$19+K548*$AE$20+L548*$AE$21+M548*$AE$22+N548*$AE$23+O548*$AE$24+P548*$AE$25+Q548*$AE$26+R548*$AE$27+S548*$AE$28+T548*$AE$29+U548*$AE$30</f>
        <v/>
      </c>
      <c r="W548" s="8">
        <f>1/(1+EXP(-V548))</f>
        <v/>
      </c>
      <c r="X548" s="9">
        <f>-IF(C548=1,LN(W548),LN(1-W548))</f>
        <v/>
      </c>
      <c r="Y548" s="8">
        <f>1</f>
        <v/>
      </c>
      <c r="Z548" s="9">
        <f>Y548*X548</f>
        <v/>
      </c>
      <c r="AA548" s="10">
        <f>IF(W548&gt;$AE$32,1,0)</f>
        <v/>
      </c>
      <c r="AB548">
        <f>IF(AA548=C548,1,0)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$AE$12+D549*$AE$13+E549*$AE$14+F549*$AE$15+G549*$AE$16+H549*$AE$17+I549*$AE$18+J549*$AE$19+K549*$AE$20+L549*$AE$21+M549*$AE$22+N549*$AE$23+O549*$AE$24+P549*$AE$25+Q549*$AE$26+R549*$AE$27+S549*$AE$28+T549*$AE$29+U549*$AE$30</f>
        <v/>
      </c>
      <c r="W549" s="8">
        <f>1/(1+EXP(-V549))</f>
        <v/>
      </c>
      <c r="X549" s="9">
        <f>-IF(C549=1,LN(W549),LN(1-W549))</f>
        <v/>
      </c>
      <c r="Y549" s="8">
        <f>1</f>
        <v/>
      </c>
      <c r="Z549" s="9">
        <f>Y549*X549</f>
        <v/>
      </c>
      <c r="AA549" s="10">
        <f>IF(W549&gt;$AE$32,1,0)</f>
        <v/>
      </c>
      <c r="AB549">
        <f>IF(AA549=C549,1,0)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$AE$12+D550*$AE$13+E550*$AE$14+F550*$AE$15+G550*$AE$16+H550*$AE$17+I550*$AE$18+J550*$AE$19+K550*$AE$20+L550*$AE$21+M550*$AE$22+N550*$AE$23+O550*$AE$24+P550*$AE$25+Q550*$AE$26+R550*$AE$27+S550*$AE$28+T550*$AE$29+U550*$AE$30</f>
        <v/>
      </c>
      <c r="W550" s="8">
        <f>1/(1+EXP(-V550))</f>
        <v/>
      </c>
      <c r="X550" s="9">
        <f>-IF(C550=1,LN(W550),LN(1-W550))</f>
        <v/>
      </c>
      <c r="Y550" s="8">
        <f>1</f>
        <v/>
      </c>
      <c r="Z550" s="9">
        <f>Y550*X550</f>
        <v/>
      </c>
      <c r="AA550" s="10">
        <f>IF(W550&gt;$AE$32,1,0)</f>
        <v/>
      </c>
      <c r="AB550">
        <f>IF(AA550=C550,1,0)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$AE$12+D551*$AE$13+E551*$AE$14+F551*$AE$15+G551*$AE$16+H551*$AE$17+I551*$AE$18+J551*$AE$19+K551*$AE$20+L551*$AE$21+M551*$AE$22+N551*$AE$23+O551*$AE$24+P551*$AE$25+Q551*$AE$26+R551*$AE$27+S551*$AE$28+T551*$AE$29+U551*$AE$30</f>
        <v/>
      </c>
      <c r="W551" s="8">
        <f>1/(1+EXP(-V551))</f>
        <v/>
      </c>
      <c r="X551" s="9">
        <f>-IF(C551=1,LN(W551),LN(1-W551))</f>
        <v/>
      </c>
      <c r="Y551" s="8">
        <f>1</f>
        <v/>
      </c>
      <c r="Z551" s="9">
        <f>Y551*X551</f>
        <v/>
      </c>
      <c r="AA551" s="10">
        <f>IF(W551&gt;$AE$32,1,0)</f>
        <v/>
      </c>
      <c r="AB551">
        <f>IF(AA551=C551,1,0)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$AE$12+D552*$AE$13+E552*$AE$14+F552*$AE$15+G552*$AE$16+H552*$AE$17+I552*$AE$18+J552*$AE$19+K552*$AE$20+L552*$AE$21+M552*$AE$22+N552*$AE$23+O552*$AE$24+P552*$AE$25+Q552*$AE$26+R552*$AE$27+S552*$AE$28+T552*$AE$29+U552*$AE$30</f>
        <v/>
      </c>
      <c r="W552" s="8">
        <f>1/(1+EXP(-V552))</f>
        <v/>
      </c>
      <c r="X552" s="9">
        <f>-IF(C552=1,LN(W552),LN(1-W552))</f>
        <v/>
      </c>
      <c r="Y552" s="8">
        <f>1</f>
        <v/>
      </c>
      <c r="Z552" s="9">
        <f>Y552*X552</f>
        <v/>
      </c>
      <c r="AA552" s="10">
        <f>IF(W552&gt;$AE$32,1,0)</f>
        <v/>
      </c>
      <c r="AB552">
        <f>IF(AA552=C552,1,0)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$AE$12+D553*$AE$13+E553*$AE$14+F553*$AE$15+G553*$AE$16+H553*$AE$17+I553*$AE$18+J553*$AE$19+K553*$AE$20+L553*$AE$21+M553*$AE$22+N553*$AE$23+O553*$AE$24+P553*$AE$25+Q553*$AE$26+R553*$AE$27+S553*$AE$28+T553*$AE$29+U553*$AE$30</f>
        <v/>
      </c>
      <c r="W553" s="8">
        <f>1/(1+EXP(-V553))</f>
        <v/>
      </c>
      <c r="X553" s="9">
        <f>-IF(C553=1,LN(W553),LN(1-W553))</f>
        <v/>
      </c>
      <c r="Y553" s="8">
        <f>1</f>
        <v/>
      </c>
      <c r="Z553" s="9">
        <f>Y553*X553</f>
        <v/>
      </c>
      <c r="AA553" s="10">
        <f>IF(W553&gt;$AE$32,1,0)</f>
        <v/>
      </c>
      <c r="AB553">
        <f>IF(AA553=C553,1,0)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$AE$12+D554*$AE$13+E554*$AE$14+F554*$AE$15+G554*$AE$16+H554*$AE$17+I554*$AE$18+J554*$AE$19+K554*$AE$20+L554*$AE$21+M554*$AE$22+N554*$AE$23+O554*$AE$24+P554*$AE$25+Q554*$AE$26+R554*$AE$27+S554*$AE$28+T554*$AE$29+U554*$AE$30</f>
        <v/>
      </c>
      <c r="W554" s="8">
        <f>1/(1+EXP(-V554))</f>
        <v/>
      </c>
      <c r="X554" s="9">
        <f>-IF(C554=1,LN(W554),LN(1-W554))</f>
        <v/>
      </c>
      <c r="Y554" s="8">
        <f>1</f>
        <v/>
      </c>
      <c r="Z554" s="9">
        <f>Y554*X554</f>
        <v/>
      </c>
      <c r="AA554" s="10">
        <f>IF(W554&gt;$AE$32,1,0)</f>
        <v/>
      </c>
      <c r="AB554">
        <f>IF(AA554=C554,1,0)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$AE$12+D555*$AE$13+E555*$AE$14+F555*$AE$15+G555*$AE$16+H555*$AE$17+I555*$AE$18+J555*$AE$19+K555*$AE$20+L555*$AE$21+M555*$AE$22+N555*$AE$23+O555*$AE$24+P555*$AE$25+Q555*$AE$26+R555*$AE$27+S555*$AE$28+T555*$AE$29+U555*$AE$30</f>
        <v/>
      </c>
      <c r="W555" s="8">
        <f>1/(1+EXP(-V555))</f>
        <v/>
      </c>
      <c r="X555" s="9">
        <f>-IF(C555=1,LN(W555),LN(1-W555))</f>
        <v/>
      </c>
      <c r="Y555" s="8">
        <f>1</f>
        <v/>
      </c>
      <c r="Z555" s="9">
        <f>Y555*X555</f>
        <v/>
      </c>
      <c r="AA555" s="10">
        <f>IF(W555&gt;$AE$32,1,0)</f>
        <v/>
      </c>
      <c r="AB555">
        <f>IF(AA555=C555,1,0)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$AE$12+D556*$AE$13+E556*$AE$14+F556*$AE$15+G556*$AE$16+H556*$AE$17+I556*$AE$18+J556*$AE$19+K556*$AE$20+L556*$AE$21+M556*$AE$22+N556*$AE$23+O556*$AE$24+P556*$AE$25+Q556*$AE$26+R556*$AE$27+S556*$AE$28+T556*$AE$29+U556*$AE$30</f>
        <v/>
      </c>
      <c r="W556" s="8">
        <f>1/(1+EXP(-V556))</f>
        <v/>
      </c>
      <c r="X556" s="9">
        <f>-IF(C556=1,LN(W556),LN(1-W556))</f>
        <v/>
      </c>
      <c r="Y556" s="8">
        <f>1</f>
        <v/>
      </c>
      <c r="Z556" s="9">
        <f>Y556*X556</f>
        <v/>
      </c>
      <c r="AA556" s="10">
        <f>IF(W556&gt;$AE$32,1,0)</f>
        <v/>
      </c>
      <c r="AB556">
        <f>IF(AA556=C556,1,0)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$AE$12+D557*$AE$13+E557*$AE$14+F557*$AE$15+G557*$AE$16+H557*$AE$17+I557*$AE$18+J557*$AE$19+K557*$AE$20+L557*$AE$21+M557*$AE$22+N557*$AE$23+O557*$AE$24+P557*$AE$25+Q557*$AE$26+R557*$AE$27+S557*$AE$28+T557*$AE$29+U557*$AE$30</f>
        <v/>
      </c>
      <c r="W557" s="8">
        <f>1/(1+EXP(-V557))</f>
        <v/>
      </c>
      <c r="X557" s="9">
        <f>-IF(C557=1,LN(W557),LN(1-W557))</f>
        <v/>
      </c>
      <c r="Y557" s="8">
        <f>1</f>
        <v/>
      </c>
      <c r="Z557" s="9">
        <f>Y557*X557</f>
        <v/>
      </c>
      <c r="AA557" s="10">
        <f>IF(W557&gt;$AE$32,1,0)</f>
        <v/>
      </c>
      <c r="AB557">
        <f>IF(AA557=C557,1,0)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$AE$12+D558*$AE$13+E558*$AE$14+F558*$AE$15+G558*$AE$16+H558*$AE$17+I558*$AE$18+J558*$AE$19+K558*$AE$20+L558*$AE$21+M558*$AE$22+N558*$AE$23+O558*$AE$24+P558*$AE$25+Q558*$AE$26+R558*$AE$27+S558*$AE$28+T558*$AE$29+U558*$AE$30</f>
        <v/>
      </c>
      <c r="W558" s="8">
        <f>1/(1+EXP(-V558))</f>
        <v/>
      </c>
      <c r="X558" s="9">
        <f>-IF(C558=1,LN(W558),LN(1-W558))</f>
        <v/>
      </c>
      <c r="Y558" s="8">
        <f>1</f>
        <v/>
      </c>
      <c r="Z558" s="9">
        <f>Y558*X558</f>
        <v/>
      </c>
      <c r="AA558" s="10">
        <f>IF(W558&gt;$AE$32,1,0)</f>
        <v/>
      </c>
      <c r="AB558">
        <f>IF(AA558=C558,1,0)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$AE$12+D559*$AE$13+E559*$AE$14+F559*$AE$15+G559*$AE$16+H559*$AE$17+I559*$AE$18+J559*$AE$19+K559*$AE$20+L559*$AE$21+M559*$AE$22+N559*$AE$23+O559*$AE$24+P559*$AE$25+Q559*$AE$26+R559*$AE$27+S559*$AE$28+T559*$AE$29+U559*$AE$30</f>
        <v/>
      </c>
      <c r="W559" s="8">
        <f>1/(1+EXP(-V559))</f>
        <v/>
      </c>
      <c r="X559" s="9">
        <f>-IF(C559=1,LN(W559),LN(1-W559))</f>
        <v/>
      </c>
      <c r="Y559" s="8">
        <f>1</f>
        <v/>
      </c>
      <c r="Z559" s="9">
        <f>Y559*X559</f>
        <v/>
      </c>
      <c r="AA559" s="10">
        <f>IF(W559&gt;$AE$32,1,0)</f>
        <v/>
      </c>
      <c r="AB559">
        <f>IF(AA559=C559,1,0)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$AE$12+D560*$AE$13+E560*$AE$14+F560*$AE$15+G560*$AE$16+H560*$AE$17+I560*$AE$18+J560*$AE$19+K560*$AE$20+L560*$AE$21+M560*$AE$22+N560*$AE$23+O560*$AE$24+P560*$AE$25+Q560*$AE$26+R560*$AE$27+S560*$AE$28+T560*$AE$29+U560*$AE$30</f>
        <v/>
      </c>
      <c r="W560" s="8">
        <f>1/(1+EXP(-V560))</f>
        <v/>
      </c>
      <c r="X560" s="9">
        <f>-IF(C560=1,LN(W560),LN(1-W560))</f>
        <v/>
      </c>
      <c r="Y560" s="8">
        <f>1</f>
        <v/>
      </c>
      <c r="Z560" s="9">
        <f>Y560*X560</f>
        <v/>
      </c>
      <c r="AA560" s="10">
        <f>IF(W560&gt;$AE$32,1,0)</f>
        <v/>
      </c>
      <c r="AB560">
        <f>IF(AA560=C560,1,0)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$AE$12+D561*$AE$13+E561*$AE$14+F561*$AE$15+G561*$AE$16+H561*$AE$17+I561*$AE$18+J561*$AE$19+K561*$AE$20+L561*$AE$21+M561*$AE$22+N561*$AE$23+O561*$AE$24+P561*$AE$25+Q561*$AE$26+R561*$AE$27+S561*$AE$28+T561*$AE$29+U561*$AE$30</f>
        <v/>
      </c>
      <c r="W561" s="8">
        <f>1/(1+EXP(-V561))</f>
        <v/>
      </c>
      <c r="X561" s="9">
        <f>-IF(C561=1,LN(W561),LN(1-W561))</f>
        <v/>
      </c>
      <c r="Y561" s="8">
        <f>1</f>
        <v/>
      </c>
      <c r="Z561" s="9">
        <f>Y561*X561</f>
        <v/>
      </c>
      <c r="AA561" s="10">
        <f>IF(W561&gt;$AE$32,1,0)</f>
        <v/>
      </c>
      <c r="AB561">
        <f>IF(AA561=C561,1,0)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$AE$12+D562*$AE$13+E562*$AE$14+F562*$AE$15+G562*$AE$16+H562*$AE$17+I562*$AE$18+J562*$AE$19+K562*$AE$20+L562*$AE$21+M562*$AE$22+N562*$AE$23+O562*$AE$24+P562*$AE$25+Q562*$AE$26+R562*$AE$27+S562*$AE$28+T562*$AE$29+U562*$AE$30</f>
        <v/>
      </c>
      <c r="W562" s="8">
        <f>1/(1+EXP(-V562))</f>
        <v/>
      </c>
      <c r="X562" s="9">
        <f>-IF(C562=1,LN(W562),LN(1-W562))</f>
        <v/>
      </c>
      <c r="Y562" s="8">
        <f>1</f>
        <v/>
      </c>
      <c r="Z562" s="9">
        <f>Y562*X562</f>
        <v/>
      </c>
      <c r="AA562" s="10">
        <f>IF(W562&gt;$AE$32,1,0)</f>
        <v/>
      </c>
      <c r="AB562">
        <f>IF(AA562=C562,1,0)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$AE$12+D563*$AE$13+E563*$AE$14+F563*$AE$15+G563*$AE$16+H563*$AE$17+I563*$AE$18+J563*$AE$19+K563*$AE$20+L563*$AE$21+M563*$AE$22+N563*$AE$23+O563*$AE$24+P563*$AE$25+Q563*$AE$26+R563*$AE$27+S563*$AE$28+T563*$AE$29+U563*$AE$30</f>
        <v/>
      </c>
      <c r="W563" s="8">
        <f>1/(1+EXP(-V563))</f>
        <v/>
      </c>
      <c r="X563" s="9">
        <f>-IF(C563=1,LN(W563),LN(1-W563))</f>
        <v/>
      </c>
      <c r="Y563" s="8">
        <f>1</f>
        <v/>
      </c>
      <c r="Z563" s="9">
        <f>Y563*X563</f>
        <v/>
      </c>
      <c r="AA563" s="10">
        <f>IF(W563&gt;$AE$32,1,0)</f>
        <v/>
      </c>
      <c r="AB563">
        <f>IF(AA563=C563,1,0)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$AE$12+D564*$AE$13+E564*$AE$14+F564*$AE$15+G564*$AE$16+H564*$AE$17+I564*$AE$18+J564*$AE$19+K564*$AE$20+L564*$AE$21+M564*$AE$22+N564*$AE$23+O564*$AE$24+P564*$AE$25+Q564*$AE$26+R564*$AE$27+S564*$AE$28+T564*$AE$29+U564*$AE$30</f>
        <v/>
      </c>
      <c r="W564" s="8">
        <f>1/(1+EXP(-V564))</f>
        <v/>
      </c>
      <c r="X564" s="9">
        <f>-IF(C564=1,LN(W564),LN(1-W564))</f>
        <v/>
      </c>
      <c r="Y564" s="8">
        <f>1</f>
        <v/>
      </c>
      <c r="Z564" s="9">
        <f>Y564*X564</f>
        <v/>
      </c>
      <c r="AA564" s="10">
        <f>IF(W564&gt;$AE$32,1,0)</f>
        <v/>
      </c>
      <c r="AB564">
        <f>IF(AA564=C564,1,0)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$AE$12+D565*$AE$13+E565*$AE$14+F565*$AE$15+G565*$AE$16+H565*$AE$17+I565*$AE$18+J565*$AE$19+K565*$AE$20+L565*$AE$21+M565*$AE$22+N565*$AE$23+O565*$AE$24+P565*$AE$25+Q565*$AE$26+R565*$AE$27+S565*$AE$28+T565*$AE$29+U565*$AE$30</f>
        <v/>
      </c>
      <c r="W565" s="8">
        <f>1/(1+EXP(-V565))</f>
        <v/>
      </c>
      <c r="X565" s="9">
        <f>-IF(C565=1,LN(W565),LN(1-W565))</f>
        <v/>
      </c>
      <c r="Y565" s="8">
        <f>1</f>
        <v/>
      </c>
      <c r="Z565" s="9">
        <f>Y565*X565</f>
        <v/>
      </c>
      <c r="AA565" s="10">
        <f>IF(W565&gt;$AE$32,1,0)</f>
        <v/>
      </c>
      <c r="AB565">
        <f>IF(AA565=C565,1,0)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$AE$12+D566*$AE$13+E566*$AE$14+F566*$AE$15+G566*$AE$16+H566*$AE$17+I566*$AE$18+J566*$AE$19+K566*$AE$20+L566*$AE$21+M566*$AE$22+N566*$AE$23+O566*$AE$24+P566*$AE$25+Q566*$AE$26+R566*$AE$27+S566*$AE$28+T566*$AE$29+U566*$AE$30</f>
        <v/>
      </c>
      <c r="W566" s="8">
        <f>1/(1+EXP(-V566))</f>
        <v/>
      </c>
      <c r="X566" s="9">
        <f>-IF(C566=1,LN(W566),LN(1-W566))</f>
        <v/>
      </c>
      <c r="Y566" s="8">
        <f>1</f>
        <v/>
      </c>
      <c r="Z566" s="9">
        <f>Y566*X566</f>
        <v/>
      </c>
      <c r="AA566" s="10">
        <f>IF(W566&gt;$AE$32,1,0)</f>
        <v/>
      </c>
      <c r="AB566">
        <f>IF(AA566=C566,1,0)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$AE$12+D567*$AE$13+E567*$AE$14+F567*$AE$15+G567*$AE$16+H567*$AE$17+I567*$AE$18+J567*$AE$19+K567*$AE$20+L567*$AE$21+M567*$AE$22+N567*$AE$23+O567*$AE$24+P567*$AE$25+Q567*$AE$26+R567*$AE$27+S567*$AE$28+T567*$AE$29+U567*$AE$30</f>
        <v/>
      </c>
      <c r="W567" s="8">
        <f>1/(1+EXP(-V567))</f>
        <v/>
      </c>
      <c r="X567" s="9">
        <f>-IF(C567=1,LN(W567),LN(1-W567))</f>
        <v/>
      </c>
      <c r="Y567" s="8">
        <f>1</f>
        <v/>
      </c>
      <c r="Z567" s="9">
        <f>Y567*X567</f>
        <v/>
      </c>
      <c r="AA567" s="10">
        <f>IF(W567&gt;$AE$32,1,0)</f>
        <v/>
      </c>
      <c r="AB567">
        <f>IF(AA567=C567,1,0)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$AE$12+D568*$AE$13+E568*$AE$14+F568*$AE$15+G568*$AE$16+H568*$AE$17+I568*$AE$18+J568*$AE$19+K568*$AE$20+L568*$AE$21+M568*$AE$22+N568*$AE$23+O568*$AE$24+P568*$AE$25+Q568*$AE$26+R568*$AE$27+S568*$AE$28+T568*$AE$29+U568*$AE$30</f>
        <v/>
      </c>
      <c r="W568" s="8">
        <f>1/(1+EXP(-V568))</f>
        <v/>
      </c>
      <c r="X568" s="9">
        <f>-IF(C568=1,LN(W568),LN(1-W568))</f>
        <v/>
      </c>
      <c r="Y568" s="8">
        <f>1</f>
        <v/>
      </c>
      <c r="Z568" s="9">
        <f>Y568*X568</f>
        <v/>
      </c>
      <c r="AA568" s="10">
        <f>IF(W568&gt;$AE$32,1,0)</f>
        <v/>
      </c>
      <c r="AB568">
        <f>IF(AA568=C568,1,0)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$AE$12+D569*$AE$13+E569*$AE$14+F569*$AE$15+G569*$AE$16+H569*$AE$17+I569*$AE$18+J569*$AE$19+K569*$AE$20+L569*$AE$21+M569*$AE$22+N569*$AE$23+O569*$AE$24+P569*$AE$25+Q569*$AE$26+R569*$AE$27+S569*$AE$28+T569*$AE$29+U569*$AE$30</f>
        <v/>
      </c>
      <c r="W569" s="8">
        <f>1/(1+EXP(-V569))</f>
        <v/>
      </c>
      <c r="X569" s="9">
        <f>-IF(C569=1,LN(W569),LN(1-W569))</f>
        <v/>
      </c>
      <c r="Y569" s="8">
        <f>1</f>
        <v/>
      </c>
      <c r="Z569" s="9">
        <f>Y569*X569</f>
        <v/>
      </c>
      <c r="AA569" s="10">
        <f>IF(W569&gt;$AE$32,1,0)</f>
        <v/>
      </c>
      <c r="AB569">
        <f>IF(AA569=C569,1,0)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$AE$12+D570*$AE$13+E570*$AE$14+F570*$AE$15+G570*$AE$16+H570*$AE$17+I570*$AE$18+J570*$AE$19+K570*$AE$20+L570*$AE$21+M570*$AE$22+N570*$AE$23+O570*$AE$24+P570*$AE$25+Q570*$AE$26+R570*$AE$27+S570*$AE$28+T570*$AE$29+U570*$AE$30</f>
        <v/>
      </c>
      <c r="W570" s="8">
        <f>1/(1+EXP(-V570))</f>
        <v/>
      </c>
      <c r="X570" s="9">
        <f>-IF(C570=1,LN(W570),LN(1-W570))</f>
        <v/>
      </c>
      <c r="Y570" s="8">
        <f>1</f>
        <v/>
      </c>
      <c r="Z570" s="9">
        <f>Y570*X570</f>
        <v/>
      </c>
      <c r="AA570" s="10">
        <f>IF(W570&gt;$AE$32,1,0)</f>
        <v/>
      </c>
      <c r="AB570">
        <f>IF(AA570=C570,1,0)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$AE$12+D571*$AE$13+E571*$AE$14+F571*$AE$15+G571*$AE$16+H571*$AE$17+I571*$AE$18+J571*$AE$19+K571*$AE$20+L571*$AE$21+M571*$AE$22+N571*$AE$23+O571*$AE$24+P571*$AE$25+Q571*$AE$26+R571*$AE$27+S571*$AE$28+T571*$AE$29+U571*$AE$30</f>
        <v/>
      </c>
      <c r="W571" s="8">
        <f>1/(1+EXP(-V571))</f>
        <v/>
      </c>
      <c r="X571" s="9">
        <f>-IF(C571=1,LN(W571),LN(1-W571))</f>
        <v/>
      </c>
      <c r="Y571" s="8">
        <f>1</f>
        <v/>
      </c>
      <c r="Z571" s="9">
        <f>Y571*X571</f>
        <v/>
      </c>
      <c r="AA571" s="10">
        <f>IF(W571&gt;$AE$32,1,0)</f>
        <v/>
      </c>
      <c r="AB571">
        <f>IF(AA571=C571,1,0)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$AE$12+D572*$AE$13+E572*$AE$14+F572*$AE$15+G572*$AE$16+H572*$AE$17+I572*$AE$18+J572*$AE$19+K572*$AE$20+L572*$AE$21+M572*$AE$22+N572*$AE$23+O572*$AE$24+P572*$AE$25+Q572*$AE$26+R572*$AE$27+S572*$AE$28+T572*$AE$29+U572*$AE$30</f>
        <v/>
      </c>
      <c r="W572" s="8">
        <f>1/(1+EXP(-V572))</f>
        <v/>
      </c>
      <c r="X572" s="9">
        <f>-IF(C572=1,LN(W572),LN(1-W572))</f>
        <v/>
      </c>
      <c r="Y572" s="8">
        <f>1</f>
        <v/>
      </c>
      <c r="Z572" s="9">
        <f>Y572*X572</f>
        <v/>
      </c>
      <c r="AA572" s="10">
        <f>IF(W572&gt;$AE$32,1,0)</f>
        <v/>
      </c>
      <c r="AB572">
        <f>IF(AA572=C572,1,0)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$AE$12+D573*$AE$13+E573*$AE$14+F573*$AE$15+G573*$AE$16+H573*$AE$17+I573*$AE$18+J573*$AE$19+K573*$AE$20+L573*$AE$21+M573*$AE$22+N573*$AE$23+O573*$AE$24+P573*$AE$25+Q573*$AE$26+R573*$AE$27+S573*$AE$28+T573*$AE$29+U573*$AE$30</f>
        <v/>
      </c>
      <c r="W573" s="8">
        <f>1/(1+EXP(-V573))</f>
        <v/>
      </c>
      <c r="X573" s="9">
        <f>-IF(C573=1,LN(W573),LN(1-W573))</f>
        <v/>
      </c>
      <c r="Y573" s="8">
        <f>1</f>
        <v/>
      </c>
      <c r="Z573" s="9">
        <f>Y573*X573</f>
        <v/>
      </c>
      <c r="AA573" s="10">
        <f>IF(W573&gt;$AE$32,1,0)</f>
        <v/>
      </c>
      <c r="AB573">
        <f>IF(AA573=C573,1,0)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$AE$12+D574*$AE$13+E574*$AE$14+F574*$AE$15+G574*$AE$16+H574*$AE$17+I574*$AE$18+J574*$AE$19+K574*$AE$20+L574*$AE$21+M574*$AE$22+N574*$AE$23+O574*$AE$24+P574*$AE$25+Q574*$AE$26+R574*$AE$27+S574*$AE$28+T574*$AE$29+U574*$AE$30</f>
        <v/>
      </c>
      <c r="W574" s="8">
        <f>1/(1+EXP(-V574))</f>
        <v/>
      </c>
      <c r="X574" s="9">
        <f>-IF(C574=1,LN(W574),LN(1-W574))</f>
        <v/>
      </c>
      <c r="Y574" s="8">
        <f>1</f>
        <v/>
      </c>
      <c r="Z574" s="9">
        <f>Y574*X574</f>
        <v/>
      </c>
      <c r="AA574" s="10">
        <f>IF(W574&gt;$AE$32,1,0)</f>
        <v/>
      </c>
      <c r="AB574">
        <f>IF(AA574=C574,1,0)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$AE$12+D575*$AE$13+E575*$AE$14+F575*$AE$15+G575*$AE$16+H575*$AE$17+I575*$AE$18+J575*$AE$19+K575*$AE$20+L575*$AE$21+M575*$AE$22+N575*$AE$23+O575*$AE$24+P575*$AE$25+Q575*$AE$26+R575*$AE$27+S575*$AE$28+T575*$AE$29+U575*$AE$30</f>
        <v/>
      </c>
      <c r="W575" s="8">
        <f>1/(1+EXP(-V575))</f>
        <v/>
      </c>
      <c r="X575" s="9">
        <f>-IF(C575=1,LN(W575),LN(1-W575))</f>
        <v/>
      </c>
      <c r="Y575" s="8">
        <f>1</f>
        <v/>
      </c>
      <c r="Z575" s="9">
        <f>Y575*X575</f>
        <v/>
      </c>
      <c r="AA575" s="10">
        <f>IF(W575&gt;$AE$32,1,0)</f>
        <v/>
      </c>
      <c r="AB575">
        <f>IF(AA575=C575,1,0)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$AE$12+D576*$AE$13+E576*$AE$14+F576*$AE$15+G576*$AE$16+H576*$AE$17+I576*$AE$18+J576*$AE$19+K576*$AE$20+L576*$AE$21+M576*$AE$22+N576*$AE$23+O576*$AE$24+P576*$AE$25+Q576*$AE$26+R576*$AE$27+S576*$AE$28+T576*$AE$29+U576*$AE$30</f>
        <v/>
      </c>
      <c r="W576" s="8">
        <f>1/(1+EXP(-V576))</f>
        <v/>
      </c>
      <c r="X576" s="9">
        <f>-IF(C576=1,LN(W576),LN(1-W576))</f>
        <v/>
      </c>
      <c r="Y576" s="8">
        <f>1</f>
        <v/>
      </c>
      <c r="Z576" s="9">
        <f>Y576*X576</f>
        <v/>
      </c>
      <c r="AA576" s="10">
        <f>IF(W576&gt;$AE$32,1,0)</f>
        <v/>
      </c>
      <c r="AB576">
        <f>IF(AA576=C576,1,0)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$AE$12+D577*$AE$13+E577*$AE$14+F577*$AE$15+G577*$AE$16+H577*$AE$17+I577*$AE$18+J577*$AE$19+K577*$AE$20+L577*$AE$21+M577*$AE$22+N577*$AE$23+O577*$AE$24+P577*$AE$25+Q577*$AE$26+R577*$AE$27+S577*$AE$28+T577*$AE$29+U577*$AE$30</f>
        <v/>
      </c>
      <c r="W577" s="8">
        <f>1/(1+EXP(-V577))</f>
        <v/>
      </c>
      <c r="X577" s="9">
        <f>-IF(C577=1,LN(W577),LN(1-W577))</f>
        <v/>
      </c>
      <c r="Y577" s="8">
        <f>1</f>
        <v/>
      </c>
      <c r="Z577" s="9">
        <f>Y577*X577</f>
        <v/>
      </c>
      <c r="AA577" s="10">
        <f>IF(W577&gt;$AE$32,1,0)</f>
        <v/>
      </c>
      <c r="AB577">
        <f>IF(AA577=C577,1,0)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$AE$12+D578*$AE$13+E578*$AE$14+F578*$AE$15+G578*$AE$16+H578*$AE$17+I578*$AE$18+J578*$AE$19+K578*$AE$20+L578*$AE$21+M578*$AE$22+N578*$AE$23+O578*$AE$24+P578*$AE$25+Q578*$AE$26+R578*$AE$27+S578*$AE$28+T578*$AE$29+U578*$AE$30</f>
        <v/>
      </c>
      <c r="W578" s="8">
        <f>1/(1+EXP(-V578))</f>
        <v/>
      </c>
      <c r="X578" s="9">
        <f>-IF(C578=1,LN(W578),LN(1-W578))</f>
        <v/>
      </c>
      <c r="Y578" s="8">
        <f>1</f>
        <v/>
      </c>
      <c r="Z578" s="9">
        <f>Y578*X578</f>
        <v/>
      </c>
      <c r="AA578" s="10">
        <f>IF(W578&gt;$AE$32,1,0)</f>
        <v/>
      </c>
      <c r="AB578">
        <f>IF(AA578=C578,1,0)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$AE$12+D579*$AE$13+E579*$AE$14+F579*$AE$15+G579*$AE$16+H579*$AE$17+I579*$AE$18+J579*$AE$19+K579*$AE$20+L579*$AE$21+M579*$AE$22+N579*$AE$23+O579*$AE$24+P579*$AE$25+Q579*$AE$26+R579*$AE$27+S579*$AE$28+T579*$AE$29+U579*$AE$30</f>
        <v/>
      </c>
      <c r="W579" s="8">
        <f>1/(1+EXP(-V579))</f>
        <v/>
      </c>
      <c r="X579" s="9">
        <f>-IF(C579=1,LN(W579),LN(1-W579))</f>
        <v/>
      </c>
      <c r="Y579" s="8">
        <f>1</f>
        <v/>
      </c>
      <c r="Z579" s="9">
        <f>Y579*X579</f>
        <v/>
      </c>
      <c r="AA579" s="10">
        <f>IF(W579&gt;$AE$32,1,0)</f>
        <v/>
      </c>
      <c r="AB579">
        <f>IF(AA579=C579,1,0)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$AE$12+D580*$AE$13+E580*$AE$14+F580*$AE$15+G580*$AE$16+H580*$AE$17+I580*$AE$18+J580*$AE$19+K580*$AE$20+L580*$AE$21+M580*$AE$22+N580*$AE$23+O580*$AE$24+P580*$AE$25+Q580*$AE$26+R580*$AE$27+S580*$AE$28+T580*$AE$29+U580*$AE$30</f>
        <v/>
      </c>
      <c r="W580" s="8">
        <f>1/(1+EXP(-V580))</f>
        <v/>
      </c>
      <c r="X580" s="9">
        <f>-IF(C580=1,LN(W580),LN(1-W580))</f>
        <v/>
      </c>
      <c r="Y580" s="8">
        <f>1</f>
        <v/>
      </c>
      <c r="Z580" s="9">
        <f>Y580*X580</f>
        <v/>
      </c>
      <c r="AA580" s="10">
        <f>IF(W580&gt;$AE$32,1,0)</f>
        <v/>
      </c>
      <c r="AB580">
        <f>IF(AA580=C580,1,0)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$AE$12+D581*$AE$13+E581*$AE$14+F581*$AE$15+G581*$AE$16+H581*$AE$17+I581*$AE$18+J581*$AE$19+K581*$AE$20+L581*$AE$21+M581*$AE$22+N581*$AE$23+O581*$AE$24+P581*$AE$25+Q581*$AE$26+R581*$AE$27+S581*$AE$28+T581*$AE$29+U581*$AE$30</f>
        <v/>
      </c>
      <c r="W581" s="8">
        <f>1/(1+EXP(-V581))</f>
        <v/>
      </c>
      <c r="X581" s="9">
        <f>-IF(C581=1,LN(W581),LN(1-W581))</f>
        <v/>
      </c>
      <c r="Y581" s="8">
        <f>1</f>
        <v/>
      </c>
      <c r="Z581" s="9">
        <f>Y581*X581</f>
        <v/>
      </c>
      <c r="AA581" s="10">
        <f>IF(W581&gt;$AE$32,1,0)</f>
        <v/>
      </c>
      <c r="AB581">
        <f>IF(AA581=C581,1,0)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$AE$12+D582*$AE$13+E582*$AE$14+F582*$AE$15+G582*$AE$16+H582*$AE$17+I582*$AE$18+J582*$AE$19+K582*$AE$20+L582*$AE$21+M582*$AE$22+N582*$AE$23+O582*$AE$24+P582*$AE$25+Q582*$AE$26+R582*$AE$27+S582*$AE$28+T582*$AE$29+U582*$AE$30</f>
        <v/>
      </c>
      <c r="W582" s="8">
        <f>1/(1+EXP(-V582))</f>
        <v/>
      </c>
      <c r="X582" s="9">
        <f>-IF(C582=1,LN(W582),LN(1-W582))</f>
        <v/>
      </c>
      <c r="Y582" s="8">
        <f>1</f>
        <v/>
      </c>
      <c r="Z582" s="9">
        <f>Y582*X582</f>
        <v/>
      </c>
      <c r="AA582" s="10">
        <f>IF(W582&gt;$AE$32,1,0)</f>
        <v/>
      </c>
      <c r="AB582">
        <f>IF(AA582=C582,1,0)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$AE$12+D583*$AE$13+E583*$AE$14+F583*$AE$15+G583*$AE$16+H583*$AE$17+I583*$AE$18+J583*$AE$19+K583*$AE$20+L583*$AE$21+M583*$AE$22+N583*$AE$23+O583*$AE$24+P583*$AE$25+Q583*$AE$26+R583*$AE$27+S583*$AE$28+T583*$AE$29+U583*$AE$30</f>
        <v/>
      </c>
      <c r="W583" s="8">
        <f>1/(1+EXP(-V583))</f>
        <v/>
      </c>
      <c r="X583" s="9">
        <f>-IF(C583=1,LN(W583),LN(1-W583))</f>
        <v/>
      </c>
      <c r="Y583" s="8">
        <f>1</f>
        <v/>
      </c>
      <c r="Z583" s="9">
        <f>Y583*X583</f>
        <v/>
      </c>
      <c r="AA583" s="10">
        <f>IF(W583&gt;$AE$32,1,0)</f>
        <v/>
      </c>
      <c r="AB583">
        <f>IF(AA583=C583,1,0)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$AE$12+D584*$AE$13+E584*$AE$14+F584*$AE$15+G584*$AE$16+H584*$AE$17+I584*$AE$18+J584*$AE$19+K584*$AE$20+L584*$AE$21+M584*$AE$22+N584*$AE$23+O584*$AE$24+P584*$AE$25+Q584*$AE$26+R584*$AE$27+S584*$AE$28+T584*$AE$29+U584*$AE$30</f>
        <v/>
      </c>
      <c r="W584" s="8">
        <f>1/(1+EXP(-V584))</f>
        <v/>
      </c>
      <c r="X584" s="9">
        <f>-IF(C584=1,LN(W584),LN(1-W584))</f>
        <v/>
      </c>
      <c r="Y584" s="8">
        <f>1</f>
        <v/>
      </c>
      <c r="Z584" s="9">
        <f>Y584*X584</f>
        <v/>
      </c>
      <c r="AA584" s="10">
        <f>IF(W584&gt;$AE$32,1,0)</f>
        <v/>
      </c>
      <c r="AB584">
        <f>IF(AA584=C584,1,0)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$AE$12+D585*$AE$13+E585*$AE$14+F585*$AE$15+G585*$AE$16+H585*$AE$17+I585*$AE$18+J585*$AE$19+K585*$AE$20+L585*$AE$21+M585*$AE$22+N585*$AE$23+O585*$AE$24+P585*$AE$25+Q585*$AE$26+R585*$AE$27+S585*$AE$28+T585*$AE$29+U585*$AE$30</f>
        <v/>
      </c>
      <c r="W585" s="8">
        <f>1/(1+EXP(-V585))</f>
        <v/>
      </c>
      <c r="X585" s="9">
        <f>-IF(C585=1,LN(W585),LN(1-W585))</f>
        <v/>
      </c>
      <c r="Y585" s="8">
        <f>1</f>
        <v/>
      </c>
      <c r="Z585" s="9">
        <f>Y585*X585</f>
        <v/>
      </c>
      <c r="AA585" s="10">
        <f>IF(W585&gt;$AE$32,1,0)</f>
        <v/>
      </c>
      <c r="AB585">
        <f>IF(AA585=C585,1,0)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$AE$12+D586*$AE$13+E586*$AE$14+F586*$AE$15+G586*$AE$16+H586*$AE$17+I586*$AE$18+J586*$AE$19+K586*$AE$20+L586*$AE$21+M586*$AE$22+N586*$AE$23+O586*$AE$24+P586*$AE$25+Q586*$AE$26+R586*$AE$27+S586*$AE$28+T586*$AE$29+U586*$AE$30</f>
        <v/>
      </c>
      <c r="W586" s="8">
        <f>1/(1+EXP(-V586))</f>
        <v/>
      </c>
      <c r="X586" s="9">
        <f>-IF(C586=1,LN(W586),LN(1-W586))</f>
        <v/>
      </c>
      <c r="Y586" s="8">
        <f>1</f>
        <v/>
      </c>
      <c r="Z586" s="9">
        <f>Y586*X586</f>
        <v/>
      </c>
      <c r="AA586" s="10">
        <f>IF(W586&gt;$AE$32,1,0)</f>
        <v/>
      </c>
      <c r="AB586">
        <f>IF(AA586=C586,1,0)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$AE$12+D587*$AE$13+E587*$AE$14+F587*$AE$15+G587*$AE$16+H587*$AE$17+I587*$AE$18+J587*$AE$19+K587*$AE$20+L587*$AE$21+M587*$AE$22+N587*$AE$23+O587*$AE$24+P587*$AE$25+Q587*$AE$26+R587*$AE$27+S587*$AE$28+T587*$AE$29+U587*$AE$30</f>
        <v/>
      </c>
      <c r="W587" s="8">
        <f>1/(1+EXP(-V587))</f>
        <v/>
      </c>
      <c r="X587" s="9">
        <f>-IF(C587=1,LN(W587),LN(1-W587))</f>
        <v/>
      </c>
      <c r="Y587" s="8">
        <f>1</f>
        <v/>
      </c>
      <c r="Z587" s="9">
        <f>Y587*X587</f>
        <v/>
      </c>
      <c r="AA587" s="10">
        <f>IF(W587&gt;$AE$32,1,0)</f>
        <v/>
      </c>
      <c r="AB587">
        <f>IF(AA587=C587,1,0)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$AE$12+D588*$AE$13+E588*$AE$14+F588*$AE$15+G588*$AE$16+H588*$AE$17+I588*$AE$18+J588*$AE$19+K588*$AE$20+L588*$AE$21+M588*$AE$22+N588*$AE$23+O588*$AE$24+P588*$AE$25+Q588*$AE$26+R588*$AE$27+S588*$AE$28+T588*$AE$29+U588*$AE$30</f>
        <v/>
      </c>
      <c r="W588" s="8">
        <f>1/(1+EXP(-V588))</f>
        <v/>
      </c>
      <c r="X588" s="9">
        <f>-IF(C588=1,LN(W588),LN(1-W588))</f>
        <v/>
      </c>
      <c r="Y588" s="8">
        <f>1</f>
        <v/>
      </c>
      <c r="Z588" s="9">
        <f>Y588*X588</f>
        <v/>
      </c>
      <c r="AA588" s="10">
        <f>IF(W588&gt;$AE$32,1,0)</f>
        <v/>
      </c>
      <c r="AB588">
        <f>IF(AA588=C588,1,0)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$AE$12+D589*$AE$13+E589*$AE$14+F589*$AE$15+G589*$AE$16+H589*$AE$17+I589*$AE$18+J589*$AE$19+K589*$AE$20+L589*$AE$21+M589*$AE$22+N589*$AE$23+O589*$AE$24+P589*$AE$25+Q589*$AE$26+R589*$AE$27+S589*$AE$28+T589*$AE$29+U589*$AE$30</f>
        <v/>
      </c>
      <c r="W589" s="8">
        <f>1/(1+EXP(-V589))</f>
        <v/>
      </c>
      <c r="X589" s="9">
        <f>-IF(C589=1,LN(W589),LN(1-W589))</f>
        <v/>
      </c>
      <c r="Y589" s="8">
        <f>1</f>
        <v/>
      </c>
      <c r="Z589" s="9">
        <f>Y589*X589</f>
        <v/>
      </c>
      <c r="AA589" s="10">
        <f>IF(W589&gt;$AE$32,1,0)</f>
        <v/>
      </c>
      <c r="AB589">
        <f>IF(AA589=C589,1,0)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$AE$12+D590*$AE$13+E590*$AE$14+F590*$AE$15+G590*$AE$16+H590*$AE$17+I590*$AE$18+J590*$AE$19+K590*$AE$20+L590*$AE$21+M590*$AE$22+N590*$AE$23+O590*$AE$24+P590*$AE$25+Q590*$AE$26+R590*$AE$27+S590*$AE$28+T590*$AE$29+U590*$AE$30</f>
        <v/>
      </c>
      <c r="W590" s="8">
        <f>1/(1+EXP(-V590))</f>
        <v/>
      </c>
      <c r="X590" s="9">
        <f>-IF(C590=1,LN(W590),LN(1-W590))</f>
        <v/>
      </c>
      <c r="Y590" s="8">
        <f>1</f>
        <v/>
      </c>
      <c r="Z590" s="9">
        <f>Y590*X590</f>
        <v/>
      </c>
      <c r="AA590" s="10">
        <f>IF(W590&gt;$AE$32,1,0)</f>
        <v/>
      </c>
      <c r="AB590">
        <f>IF(AA590=C590,1,0)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$AE$12+D591*$AE$13+E591*$AE$14+F591*$AE$15+G591*$AE$16+H591*$AE$17+I591*$AE$18+J591*$AE$19+K591*$AE$20+L591*$AE$21+M591*$AE$22+N591*$AE$23+O591*$AE$24+P591*$AE$25+Q591*$AE$26+R591*$AE$27+S591*$AE$28+T591*$AE$29+U591*$AE$30</f>
        <v/>
      </c>
      <c r="W591" s="8">
        <f>1/(1+EXP(-V591))</f>
        <v/>
      </c>
      <c r="X591" s="9">
        <f>-IF(C591=1,LN(W591),LN(1-W591))</f>
        <v/>
      </c>
      <c r="Y591" s="8">
        <f>1</f>
        <v/>
      </c>
      <c r="Z591" s="9">
        <f>Y591*X591</f>
        <v/>
      </c>
      <c r="AA591" s="10">
        <f>IF(W591&gt;$AE$32,1,0)</f>
        <v/>
      </c>
      <c r="AB591">
        <f>IF(AA591=C591,1,0)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$AE$12+D592*$AE$13+E592*$AE$14+F592*$AE$15+G592*$AE$16+H592*$AE$17+I592*$AE$18+J592*$AE$19+K592*$AE$20+L592*$AE$21+M592*$AE$22+N592*$AE$23+O592*$AE$24+P592*$AE$25+Q592*$AE$26+R592*$AE$27+S592*$AE$28+T592*$AE$29+U592*$AE$30</f>
        <v/>
      </c>
      <c r="W592" s="8">
        <f>1/(1+EXP(-V592))</f>
        <v/>
      </c>
      <c r="X592" s="9">
        <f>-IF(C592=1,LN(W592),LN(1-W592))</f>
        <v/>
      </c>
      <c r="Y592" s="8">
        <f>1</f>
        <v/>
      </c>
      <c r="Z592" s="9">
        <f>Y592*X592</f>
        <v/>
      </c>
      <c r="AA592" s="10">
        <f>IF(W592&gt;$AE$32,1,0)</f>
        <v/>
      </c>
      <c r="AB592">
        <f>IF(AA592=C592,1,0)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$AE$12+D593*$AE$13+E593*$AE$14+F593*$AE$15+G593*$AE$16+H593*$AE$17+I593*$AE$18+J593*$AE$19+K593*$AE$20+L593*$AE$21+M593*$AE$22+N593*$AE$23+O593*$AE$24+P593*$AE$25+Q593*$AE$26+R593*$AE$27+S593*$AE$28+T593*$AE$29+U593*$AE$30</f>
        <v/>
      </c>
      <c r="W593" s="8">
        <f>1/(1+EXP(-V593))</f>
        <v/>
      </c>
      <c r="X593" s="9">
        <f>-IF(C593=1,LN(W593),LN(1-W593))</f>
        <v/>
      </c>
      <c r="Y593" s="8">
        <f>1</f>
        <v/>
      </c>
      <c r="Z593" s="9">
        <f>Y593*X593</f>
        <v/>
      </c>
      <c r="AA593" s="10">
        <f>IF(W593&gt;$AE$32,1,0)</f>
        <v/>
      </c>
      <c r="AB593">
        <f>IF(AA593=C593,1,0)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$AE$12+D594*$AE$13+E594*$AE$14+F594*$AE$15+G594*$AE$16+H594*$AE$17+I594*$AE$18+J594*$AE$19+K594*$AE$20+L594*$AE$21+M594*$AE$22+N594*$AE$23+O594*$AE$24+P594*$AE$25+Q594*$AE$26+R594*$AE$27+S594*$AE$28+T594*$AE$29+U594*$AE$30</f>
        <v/>
      </c>
      <c r="W594" s="8">
        <f>1/(1+EXP(-V594))</f>
        <v/>
      </c>
      <c r="X594" s="9">
        <f>-IF(C594=1,LN(W594),LN(1-W594))</f>
        <v/>
      </c>
      <c r="Y594" s="8">
        <f>1</f>
        <v/>
      </c>
      <c r="Z594" s="9">
        <f>Y594*X594</f>
        <v/>
      </c>
      <c r="AA594" s="10">
        <f>IF(W594&gt;$AE$32,1,0)</f>
        <v/>
      </c>
      <c r="AB594">
        <f>IF(AA594=C594,1,0)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$AE$12+D595*$AE$13+E595*$AE$14+F595*$AE$15+G595*$AE$16+H595*$AE$17+I595*$AE$18+J595*$AE$19+K595*$AE$20+L595*$AE$21+M595*$AE$22+N595*$AE$23+O595*$AE$24+P595*$AE$25+Q595*$AE$26+R595*$AE$27+S595*$AE$28+T595*$AE$29+U595*$AE$30</f>
        <v/>
      </c>
      <c r="W595" s="8">
        <f>1/(1+EXP(-V595))</f>
        <v/>
      </c>
      <c r="X595" s="9">
        <f>-IF(C595=1,LN(W595),LN(1-W595))</f>
        <v/>
      </c>
      <c r="Y595" s="8">
        <f>1</f>
        <v/>
      </c>
      <c r="Z595" s="9">
        <f>Y595*X595</f>
        <v/>
      </c>
      <c r="AA595" s="10">
        <f>IF(W595&gt;$AE$32,1,0)</f>
        <v/>
      </c>
      <c r="AB595">
        <f>IF(AA595=C595,1,0)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$AE$12+D596*$AE$13+E596*$AE$14+F596*$AE$15+G596*$AE$16+H596*$AE$17+I596*$AE$18+J596*$AE$19+K596*$AE$20+L596*$AE$21+M596*$AE$22+N596*$AE$23+O596*$AE$24+P596*$AE$25+Q596*$AE$26+R596*$AE$27+S596*$AE$28+T596*$AE$29+U596*$AE$30</f>
        <v/>
      </c>
      <c r="W596" s="8">
        <f>1/(1+EXP(-V596))</f>
        <v/>
      </c>
      <c r="X596" s="9">
        <f>-IF(C596=1,LN(W596),LN(1-W596))</f>
        <v/>
      </c>
      <c r="Y596" s="8">
        <f>1</f>
        <v/>
      </c>
      <c r="Z596" s="9">
        <f>Y596*X596</f>
        <v/>
      </c>
      <c r="AA596" s="10">
        <f>IF(W596&gt;$AE$32,1,0)</f>
        <v/>
      </c>
      <c r="AB596">
        <f>IF(AA596=C596,1,0)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$AE$12+D597*$AE$13+E597*$AE$14+F597*$AE$15+G597*$AE$16+H597*$AE$17+I597*$AE$18+J597*$AE$19+K597*$AE$20+L597*$AE$21+M597*$AE$22+N597*$AE$23+O597*$AE$24+P597*$AE$25+Q597*$AE$26+R597*$AE$27+S597*$AE$28+T597*$AE$29+U597*$AE$30</f>
        <v/>
      </c>
      <c r="W597" s="8">
        <f>1/(1+EXP(-V597))</f>
        <v/>
      </c>
      <c r="X597" s="9">
        <f>-IF(C597=1,LN(W597),LN(1-W597))</f>
        <v/>
      </c>
      <c r="Y597" s="8">
        <f>1</f>
        <v/>
      </c>
      <c r="Z597" s="9">
        <f>Y597*X597</f>
        <v/>
      </c>
      <c r="AA597" s="10">
        <f>IF(W597&gt;$AE$32,1,0)</f>
        <v/>
      </c>
      <c r="AB597">
        <f>IF(AA597=C597,1,0)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$AE$12+D598*$AE$13+E598*$AE$14+F598*$AE$15+G598*$AE$16+H598*$AE$17+I598*$AE$18+J598*$AE$19+K598*$AE$20+L598*$AE$21+M598*$AE$22+N598*$AE$23+O598*$AE$24+P598*$AE$25+Q598*$AE$26+R598*$AE$27+S598*$AE$28+T598*$AE$29+U598*$AE$30</f>
        <v/>
      </c>
      <c r="W598" s="8">
        <f>1/(1+EXP(-V598))</f>
        <v/>
      </c>
      <c r="X598" s="9">
        <f>-IF(C598=1,LN(W598),LN(1-W598))</f>
        <v/>
      </c>
      <c r="Y598" s="8">
        <f>1</f>
        <v/>
      </c>
      <c r="Z598" s="9">
        <f>Y598*X598</f>
        <v/>
      </c>
      <c r="AA598" s="10">
        <f>IF(W598&gt;$AE$32,1,0)</f>
        <v/>
      </c>
      <c r="AB598">
        <f>IF(AA598=C598,1,0)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$AE$12+D599*$AE$13+E599*$AE$14+F599*$AE$15+G599*$AE$16+H599*$AE$17+I599*$AE$18+J599*$AE$19+K599*$AE$20+L599*$AE$21+M599*$AE$22+N599*$AE$23+O599*$AE$24+P599*$AE$25+Q599*$AE$26+R599*$AE$27+S599*$AE$28+T599*$AE$29+U599*$AE$30</f>
        <v/>
      </c>
      <c r="W599" s="8">
        <f>1/(1+EXP(-V599))</f>
        <v/>
      </c>
      <c r="X599" s="9">
        <f>-IF(C599=1,LN(W599),LN(1-W599))</f>
        <v/>
      </c>
      <c r="Y599" s="8">
        <f>1</f>
        <v/>
      </c>
      <c r="Z599" s="9">
        <f>Y599*X599</f>
        <v/>
      </c>
      <c r="AA599" s="10">
        <f>IF(W599&gt;$AE$32,1,0)</f>
        <v/>
      </c>
      <c r="AB599">
        <f>IF(AA599=C599,1,0)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$AE$12+D600*$AE$13+E600*$AE$14+F600*$AE$15+G600*$AE$16+H600*$AE$17+I600*$AE$18+J600*$AE$19+K600*$AE$20+L600*$AE$21+M600*$AE$22+N600*$AE$23+O600*$AE$24+P600*$AE$25+Q600*$AE$26+R600*$AE$27+S600*$AE$28+T600*$AE$29+U600*$AE$30</f>
        <v/>
      </c>
      <c r="W600" s="8">
        <f>1/(1+EXP(-V600))</f>
        <v/>
      </c>
      <c r="X600" s="9">
        <f>-IF(C600=1,LN(W600),LN(1-W600))</f>
        <v/>
      </c>
      <c r="Y600" s="8">
        <f>1</f>
        <v/>
      </c>
      <c r="Z600" s="9">
        <f>Y600*X600</f>
        <v/>
      </c>
      <c r="AA600" s="10">
        <f>IF(W600&gt;$AE$32,1,0)</f>
        <v/>
      </c>
      <c r="AB600">
        <f>IF(AA600=C600,1,0)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$AE$12+D601*$AE$13+E601*$AE$14+F601*$AE$15+G601*$AE$16+H601*$AE$17+I601*$AE$18+J601*$AE$19+K601*$AE$20+L601*$AE$21+M601*$AE$22+N601*$AE$23+O601*$AE$24+P601*$AE$25+Q601*$AE$26+R601*$AE$27+S601*$AE$28+T601*$AE$29+U601*$AE$30</f>
        <v/>
      </c>
      <c r="W601" s="8">
        <f>1/(1+EXP(-V601))</f>
        <v/>
      </c>
      <c r="X601" s="9">
        <f>-IF(C601=1,LN(W601),LN(1-W601))</f>
        <v/>
      </c>
      <c r="Y601" s="8">
        <f>1</f>
        <v/>
      </c>
      <c r="Z601" s="9">
        <f>Y601*X601</f>
        <v/>
      </c>
      <c r="AA601" s="10">
        <f>IF(W601&gt;$AE$32,1,0)</f>
        <v/>
      </c>
      <c r="AB601">
        <f>IF(AA601=C601,1,0)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$AE$12+D602*$AE$13+E602*$AE$14+F602*$AE$15+G602*$AE$16+H602*$AE$17+I602*$AE$18+J602*$AE$19+K602*$AE$20+L602*$AE$21+M602*$AE$22+N602*$AE$23+O602*$AE$24+P602*$AE$25+Q602*$AE$26+R602*$AE$27+S602*$AE$28+T602*$AE$29+U602*$AE$30</f>
        <v/>
      </c>
      <c r="W602" s="8">
        <f>1/(1+EXP(-V602))</f>
        <v/>
      </c>
      <c r="X602" s="9">
        <f>-IF(C602=1,LN(W602),LN(1-W602))</f>
        <v/>
      </c>
      <c r="Y602" s="8">
        <f>1</f>
        <v/>
      </c>
      <c r="Z602" s="9">
        <f>Y602*X602</f>
        <v/>
      </c>
      <c r="AA602" s="10">
        <f>IF(W602&gt;$AE$32,1,0)</f>
        <v/>
      </c>
      <c r="AB602">
        <f>IF(AA602=C602,1,0)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$AE$12+D603*$AE$13+E603*$AE$14+F603*$AE$15+G603*$AE$16+H603*$AE$17+I603*$AE$18+J603*$AE$19+K603*$AE$20+L603*$AE$21+M603*$AE$22+N603*$AE$23+O603*$AE$24+P603*$AE$25+Q603*$AE$26+R603*$AE$27+S603*$AE$28+T603*$AE$29+U603*$AE$30</f>
        <v/>
      </c>
      <c r="W603" s="8">
        <f>1/(1+EXP(-V603))</f>
        <v/>
      </c>
      <c r="X603" s="9">
        <f>-IF(C603=1,LN(W603),LN(1-W603))</f>
        <v/>
      </c>
      <c r="Y603" s="8">
        <f>1</f>
        <v/>
      </c>
      <c r="Z603" s="9">
        <f>Y603*X603</f>
        <v/>
      </c>
      <c r="AA603" s="10">
        <f>IF(W603&gt;$AE$32,1,0)</f>
        <v/>
      </c>
      <c r="AB603">
        <f>IF(AA603=C603,1,0)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$AE$12+D604*$AE$13+E604*$AE$14+F604*$AE$15+G604*$AE$16+H604*$AE$17+I604*$AE$18+J604*$AE$19+K604*$AE$20+L604*$AE$21+M604*$AE$22+N604*$AE$23+O604*$AE$24+P604*$AE$25+Q604*$AE$26+R604*$AE$27+S604*$AE$28+T604*$AE$29+U604*$AE$30</f>
        <v/>
      </c>
      <c r="W604" s="8">
        <f>1/(1+EXP(-V604))</f>
        <v/>
      </c>
      <c r="X604" s="9">
        <f>-IF(C604=1,LN(W604),LN(1-W604))</f>
        <v/>
      </c>
      <c r="Y604" s="8">
        <f>1</f>
        <v/>
      </c>
      <c r="Z604" s="9">
        <f>Y604*X604</f>
        <v/>
      </c>
      <c r="AA604" s="10">
        <f>IF(W604&gt;$AE$32,1,0)</f>
        <v/>
      </c>
      <c r="AB604">
        <f>IF(AA604=C604,1,0)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$AE$12+D605*$AE$13+E605*$AE$14+F605*$AE$15+G605*$AE$16+H605*$AE$17+I605*$AE$18+J605*$AE$19+K605*$AE$20+L605*$AE$21+M605*$AE$22+N605*$AE$23+O605*$AE$24+P605*$AE$25+Q605*$AE$26+R605*$AE$27+S605*$AE$28+T605*$AE$29+U605*$AE$30</f>
        <v/>
      </c>
      <c r="W605" s="8">
        <f>1/(1+EXP(-V605))</f>
        <v/>
      </c>
      <c r="X605" s="9">
        <f>-IF(C605=1,LN(W605),LN(1-W605))</f>
        <v/>
      </c>
      <c r="Y605" s="8">
        <f>1</f>
        <v/>
      </c>
      <c r="Z605" s="9">
        <f>Y605*X605</f>
        <v/>
      </c>
      <c r="AA605" s="10">
        <f>IF(W605&gt;$AE$32,1,0)</f>
        <v/>
      </c>
      <c r="AB605">
        <f>IF(AA605=C605,1,0)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$AE$12+D606*$AE$13+E606*$AE$14+F606*$AE$15+G606*$AE$16+H606*$AE$17+I606*$AE$18+J606*$AE$19+K606*$AE$20+L606*$AE$21+M606*$AE$22+N606*$AE$23+O606*$AE$24+P606*$AE$25+Q606*$AE$26+R606*$AE$27+S606*$AE$28+T606*$AE$29+U606*$AE$30</f>
        <v/>
      </c>
      <c r="W606" s="8">
        <f>1/(1+EXP(-V606))</f>
        <v/>
      </c>
      <c r="X606" s="9">
        <f>-IF(C606=1,LN(W606),LN(1-W606))</f>
        <v/>
      </c>
      <c r="Y606" s="8">
        <f>1</f>
        <v/>
      </c>
      <c r="Z606" s="9">
        <f>Y606*X606</f>
        <v/>
      </c>
      <c r="AA606" s="10">
        <f>IF(W606&gt;$AE$32,1,0)</f>
        <v/>
      </c>
      <c r="AB606">
        <f>IF(AA606=C606,1,0)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$AE$12+D607*$AE$13+E607*$AE$14+F607*$AE$15+G607*$AE$16+H607*$AE$17+I607*$AE$18+J607*$AE$19+K607*$AE$20+L607*$AE$21+M607*$AE$22+N607*$AE$23+O607*$AE$24+P607*$AE$25+Q607*$AE$26+R607*$AE$27+S607*$AE$28+T607*$AE$29+U607*$AE$30</f>
        <v/>
      </c>
      <c r="W607" s="8">
        <f>1/(1+EXP(-V607))</f>
        <v/>
      </c>
      <c r="X607" s="9">
        <f>-IF(C607=1,LN(W607),LN(1-W607))</f>
        <v/>
      </c>
      <c r="Y607" s="8">
        <f>1</f>
        <v/>
      </c>
      <c r="Z607" s="9">
        <f>Y607*X607</f>
        <v/>
      </c>
      <c r="AA607" s="10">
        <f>IF(W607&gt;$AE$32,1,0)</f>
        <v/>
      </c>
      <c r="AB607">
        <f>IF(AA607=C607,1,0)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$AE$12+D608*$AE$13+E608*$AE$14+F608*$AE$15+G608*$AE$16+H608*$AE$17+I608*$AE$18+J608*$AE$19+K608*$AE$20+L608*$AE$21+M608*$AE$22+N608*$AE$23+O608*$AE$24+P608*$AE$25+Q608*$AE$26+R608*$AE$27+S608*$AE$28+T608*$AE$29+U608*$AE$30</f>
        <v/>
      </c>
      <c r="W608" s="8">
        <f>1/(1+EXP(-V608))</f>
        <v/>
      </c>
      <c r="X608" s="9">
        <f>-IF(C608=1,LN(W608),LN(1-W608))</f>
        <v/>
      </c>
      <c r="Y608" s="8">
        <f>1</f>
        <v/>
      </c>
      <c r="Z608" s="9">
        <f>Y608*X608</f>
        <v/>
      </c>
      <c r="AA608" s="10">
        <f>IF(W608&gt;$AE$32,1,0)</f>
        <v/>
      </c>
      <c r="AB608">
        <f>IF(AA608=C608,1,0)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$AE$12+D609*$AE$13+E609*$AE$14+F609*$AE$15+G609*$AE$16+H609*$AE$17+I609*$AE$18+J609*$AE$19+K609*$AE$20+L609*$AE$21+M609*$AE$22+N609*$AE$23+O609*$AE$24+P609*$AE$25+Q609*$AE$26+R609*$AE$27+S609*$AE$28+T609*$AE$29+U609*$AE$30</f>
        <v/>
      </c>
      <c r="W609" s="8">
        <f>1/(1+EXP(-V609))</f>
        <v/>
      </c>
      <c r="X609" s="9">
        <f>-IF(C609=1,LN(W609),LN(1-W609))</f>
        <v/>
      </c>
      <c r="Y609" s="8">
        <f>1</f>
        <v/>
      </c>
      <c r="Z609" s="9">
        <f>Y609*X609</f>
        <v/>
      </c>
      <c r="AA609" s="10">
        <f>IF(W609&gt;$AE$32,1,0)</f>
        <v/>
      </c>
      <c r="AB609">
        <f>IF(AA609=C609,1,0)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$AE$12+D610*$AE$13+E610*$AE$14+F610*$AE$15+G610*$AE$16+H610*$AE$17+I610*$AE$18+J610*$AE$19+K610*$AE$20+L610*$AE$21+M610*$AE$22+N610*$AE$23+O610*$AE$24+P610*$AE$25+Q610*$AE$26+R610*$AE$27+S610*$AE$28+T610*$AE$29+U610*$AE$30</f>
        <v/>
      </c>
      <c r="W610" s="8">
        <f>1/(1+EXP(-V610))</f>
        <v/>
      </c>
      <c r="X610" s="9">
        <f>-IF(C610=1,LN(W610),LN(1-W610))</f>
        <v/>
      </c>
      <c r="Y610" s="8">
        <f>1</f>
        <v/>
      </c>
      <c r="Z610" s="9">
        <f>Y610*X610</f>
        <v/>
      </c>
      <c r="AA610" s="10">
        <f>IF(W610&gt;$AE$32,1,0)</f>
        <v/>
      </c>
      <c r="AB610">
        <f>IF(AA610=C610,1,0)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$AE$12+D611*$AE$13+E611*$AE$14+F611*$AE$15+G611*$AE$16+H611*$AE$17+I611*$AE$18+J611*$AE$19+K611*$AE$20+L611*$AE$21+M611*$AE$22+N611*$AE$23+O611*$AE$24+P611*$AE$25+Q611*$AE$26+R611*$AE$27+S611*$AE$28+T611*$AE$29+U611*$AE$30</f>
        <v/>
      </c>
      <c r="W611" s="8">
        <f>1/(1+EXP(-V611))</f>
        <v/>
      </c>
      <c r="X611" s="9">
        <f>-IF(C611=1,LN(W611),LN(1-W611))</f>
        <v/>
      </c>
      <c r="Y611" s="8">
        <f>1</f>
        <v/>
      </c>
      <c r="Z611" s="9">
        <f>Y611*X611</f>
        <v/>
      </c>
      <c r="AA611" s="10">
        <f>IF(W611&gt;$AE$32,1,0)</f>
        <v/>
      </c>
      <c r="AB611">
        <f>IF(AA611=C611,1,0)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$AE$12+D612*$AE$13+E612*$AE$14+F612*$AE$15+G612*$AE$16+H612*$AE$17+I612*$AE$18+J612*$AE$19+K612*$AE$20+L612*$AE$21+M612*$AE$22+N612*$AE$23+O612*$AE$24+P612*$AE$25+Q612*$AE$26+R612*$AE$27+S612*$AE$28+T612*$AE$29+U612*$AE$30</f>
        <v/>
      </c>
      <c r="W612" s="8">
        <f>1/(1+EXP(-V612))</f>
        <v/>
      </c>
      <c r="X612" s="9">
        <f>-IF(C612=1,LN(W612),LN(1-W612))</f>
        <v/>
      </c>
      <c r="Y612" s="8">
        <f>1</f>
        <v/>
      </c>
      <c r="Z612" s="9">
        <f>Y612*X612</f>
        <v/>
      </c>
      <c r="AA612" s="10">
        <f>IF(W612&gt;$AE$32,1,0)</f>
        <v/>
      </c>
      <c r="AB612">
        <f>IF(AA612=C612,1,0)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$AE$12+D613*$AE$13+E613*$AE$14+F613*$AE$15+G613*$AE$16+H613*$AE$17+I613*$AE$18+J613*$AE$19+K613*$AE$20+L613*$AE$21+M613*$AE$22+N613*$AE$23+O613*$AE$24+P613*$AE$25+Q613*$AE$26+R613*$AE$27+S613*$AE$28+T613*$AE$29+U613*$AE$30</f>
        <v/>
      </c>
      <c r="W613" s="8">
        <f>1/(1+EXP(-V613))</f>
        <v/>
      </c>
      <c r="X613" s="9">
        <f>-IF(C613=1,LN(W613),LN(1-W613))</f>
        <v/>
      </c>
      <c r="Y613" s="8">
        <f>1</f>
        <v/>
      </c>
      <c r="Z613" s="9">
        <f>Y613*X613</f>
        <v/>
      </c>
      <c r="AA613" s="10">
        <f>IF(W613&gt;$AE$32,1,0)</f>
        <v/>
      </c>
      <c r="AB613">
        <f>IF(AA613=C613,1,0)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$AE$12+D614*$AE$13+E614*$AE$14+F614*$AE$15+G614*$AE$16+H614*$AE$17+I614*$AE$18+J614*$AE$19+K614*$AE$20+L614*$AE$21+M614*$AE$22+N614*$AE$23+O614*$AE$24+P614*$AE$25+Q614*$AE$26+R614*$AE$27+S614*$AE$28+T614*$AE$29+U614*$AE$30</f>
        <v/>
      </c>
      <c r="W614" s="8">
        <f>1/(1+EXP(-V614))</f>
        <v/>
      </c>
      <c r="X614" s="9">
        <f>-IF(C614=1,LN(W614),LN(1-W614))</f>
        <v/>
      </c>
      <c r="Y614" s="8">
        <f>1</f>
        <v/>
      </c>
      <c r="Z614" s="9">
        <f>Y614*X614</f>
        <v/>
      </c>
      <c r="AA614" s="10">
        <f>IF(W614&gt;$AE$32,1,0)</f>
        <v/>
      </c>
      <c r="AB614">
        <f>IF(AA614=C614,1,0)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$AE$12+D615*$AE$13+E615*$AE$14+F615*$AE$15+G615*$AE$16+H615*$AE$17+I615*$AE$18+J615*$AE$19+K615*$AE$20+L615*$AE$21+M615*$AE$22+N615*$AE$23+O615*$AE$24+P615*$AE$25+Q615*$AE$26+R615*$AE$27+S615*$AE$28+T615*$AE$29+U615*$AE$30</f>
        <v/>
      </c>
      <c r="W615" s="8">
        <f>1/(1+EXP(-V615))</f>
        <v/>
      </c>
      <c r="X615" s="9">
        <f>-IF(C615=1,LN(W615),LN(1-W615))</f>
        <v/>
      </c>
      <c r="Y615" s="8">
        <f>1</f>
        <v/>
      </c>
      <c r="Z615" s="9">
        <f>Y615*X615</f>
        <v/>
      </c>
      <c r="AA615" s="10">
        <f>IF(W615&gt;$AE$32,1,0)</f>
        <v/>
      </c>
      <c r="AB615">
        <f>IF(AA615=C615,1,0)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$AE$12+D616*$AE$13+E616*$AE$14+F616*$AE$15+G616*$AE$16+H616*$AE$17+I616*$AE$18+J616*$AE$19+K616*$AE$20+L616*$AE$21+M616*$AE$22+N616*$AE$23+O616*$AE$24+P616*$AE$25+Q616*$AE$26+R616*$AE$27+S616*$AE$28+T616*$AE$29+U616*$AE$30</f>
        <v/>
      </c>
      <c r="W616" s="8">
        <f>1/(1+EXP(-V616))</f>
        <v/>
      </c>
      <c r="X616" s="9">
        <f>-IF(C616=1,LN(W616),LN(1-W616))</f>
        <v/>
      </c>
      <c r="Y616" s="8">
        <f>1</f>
        <v/>
      </c>
      <c r="Z616" s="9">
        <f>Y616*X616</f>
        <v/>
      </c>
      <c r="AA616" s="10">
        <f>IF(W616&gt;$AE$32,1,0)</f>
        <v/>
      </c>
      <c r="AB616">
        <f>IF(AA616=C616,1,0)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$AE$12+D617*$AE$13+E617*$AE$14+F617*$AE$15+G617*$AE$16+H617*$AE$17+I617*$AE$18+J617*$AE$19+K617*$AE$20+L617*$AE$21+M617*$AE$22+N617*$AE$23+O617*$AE$24+P617*$AE$25+Q617*$AE$26+R617*$AE$27+S617*$AE$28+T617*$AE$29+U617*$AE$30</f>
        <v/>
      </c>
      <c r="W617" s="8">
        <f>1/(1+EXP(-V617))</f>
        <v/>
      </c>
      <c r="X617" s="9">
        <f>-IF(C617=1,LN(W617),LN(1-W617))</f>
        <v/>
      </c>
      <c r="Y617" s="8">
        <f>1</f>
        <v/>
      </c>
      <c r="Z617" s="9">
        <f>Y617*X617</f>
        <v/>
      </c>
      <c r="AA617" s="10">
        <f>IF(W617&gt;$AE$32,1,0)</f>
        <v/>
      </c>
      <c r="AB617">
        <f>IF(AA617=C617,1,0)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$AE$12+D618*$AE$13+E618*$AE$14+F618*$AE$15+G618*$AE$16+H618*$AE$17+I618*$AE$18+J618*$AE$19+K618*$AE$20+L618*$AE$21+M618*$AE$22+N618*$AE$23+O618*$AE$24+P618*$AE$25+Q618*$AE$26+R618*$AE$27+S618*$AE$28+T618*$AE$29+U618*$AE$30</f>
        <v/>
      </c>
      <c r="W618" s="8">
        <f>1/(1+EXP(-V618))</f>
        <v/>
      </c>
      <c r="X618" s="9">
        <f>-IF(C618=1,LN(W618),LN(1-W618))</f>
        <v/>
      </c>
      <c r="Y618" s="8">
        <f>1</f>
        <v/>
      </c>
      <c r="Z618" s="9">
        <f>Y618*X618</f>
        <v/>
      </c>
      <c r="AA618" s="10">
        <f>IF(W618&gt;$AE$32,1,0)</f>
        <v/>
      </c>
      <c r="AB618">
        <f>IF(AA618=C618,1,0)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$AE$12+D619*$AE$13+E619*$AE$14+F619*$AE$15+G619*$AE$16+H619*$AE$17+I619*$AE$18+J619*$AE$19+K619*$AE$20+L619*$AE$21+M619*$AE$22+N619*$AE$23+O619*$AE$24+P619*$AE$25+Q619*$AE$26+R619*$AE$27+S619*$AE$28+T619*$AE$29+U619*$AE$30</f>
        <v/>
      </c>
      <c r="W619" s="8">
        <f>1/(1+EXP(-V619))</f>
        <v/>
      </c>
      <c r="X619" s="9">
        <f>-IF(C619=1,LN(W619),LN(1-W619))</f>
        <v/>
      </c>
      <c r="Y619" s="8">
        <f>1</f>
        <v/>
      </c>
      <c r="Z619" s="9">
        <f>Y619*X619</f>
        <v/>
      </c>
      <c r="AA619" s="10">
        <f>IF(W619&gt;$AE$32,1,0)</f>
        <v/>
      </c>
      <c r="AB619">
        <f>IF(AA619=C619,1,0)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$AE$12+D620*$AE$13+E620*$AE$14+F620*$AE$15+G620*$AE$16+H620*$AE$17+I620*$AE$18+J620*$AE$19+K620*$AE$20+L620*$AE$21+M620*$AE$22+N620*$AE$23+O620*$AE$24+P620*$AE$25+Q620*$AE$26+R620*$AE$27+S620*$AE$28+T620*$AE$29+U620*$AE$30</f>
        <v/>
      </c>
      <c r="W620" s="8">
        <f>1/(1+EXP(-V620))</f>
        <v/>
      </c>
      <c r="X620" s="9">
        <f>-IF(C620=1,LN(W620),LN(1-W620))</f>
        <v/>
      </c>
      <c r="Y620" s="8">
        <f>1</f>
        <v/>
      </c>
      <c r="Z620" s="9">
        <f>Y620*X620</f>
        <v/>
      </c>
      <c r="AA620" s="10">
        <f>IF(W620&gt;$AE$32,1,0)</f>
        <v/>
      </c>
      <c r="AB620">
        <f>IF(AA620=C620,1,0)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$AE$12+D621*$AE$13+E621*$AE$14+F621*$AE$15+G621*$AE$16+H621*$AE$17+I621*$AE$18+J621*$AE$19+K621*$AE$20+L621*$AE$21+M621*$AE$22+N621*$AE$23+O621*$AE$24+P621*$AE$25+Q621*$AE$26+R621*$AE$27+S621*$AE$28+T621*$AE$29+U621*$AE$30</f>
        <v/>
      </c>
      <c r="W621" s="8">
        <f>1/(1+EXP(-V621))</f>
        <v/>
      </c>
      <c r="X621" s="9">
        <f>-IF(C621=1,LN(W621),LN(1-W621))</f>
        <v/>
      </c>
      <c r="Y621" s="8">
        <f>1</f>
        <v/>
      </c>
      <c r="Z621" s="9">
        <f>Y621*X621</f>
        <v/>
      </c>
      <c r="AA621" s="10">
        <f>IF(W621&gt;$AE$32,1,0)</f>
        <v/>
      </c>
      <c r="AB621">
        <f>IF(AA621=C621,1,0)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$AE$12+D622*$AE$13+E622*$AE$14+F622*$AE$15+G622*$AE$16+H622*$AE$17+I622*$AE$18+J622*$AE$19+K622*$AE$20+L622*$AE$21+M622*$AE$22+N622*$AE$23+O622*$AE$24+P622*$AE$25+Q622*$AE$26+R622*$AE$27+S622*$AE$28+T622*$AE$29+U622*$AE$30</f>
        <v/>
      </c>
      <c r="W622" s="8">
        <f>1/(1+EXP(-V622))</f>
        <v/>
      </c>
      <c r="X622" s="9">
        <f>-IF(C622=1,LN(W622),LN(1-W622))</f>
        <v/>
      </c>
      <c r="Y622" s="8">
        <f>1</f>
        <v/>
      </c>
      <c r="Z622" s="9">
        <f>Y622*X622</f>
        <v/>
      </c>
      <c r="AA622" s="10">
        <f>IF(W622&gt;$AE$32,1,0)</f>
        <v/>
      </c>
      <c r="AB622">
        <f>IF(AA622=C622,1,0)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$AE$12+D623*$AE$13+E623*$AE$14+F623*$AE$15+G623*$AE$16+H623*$AE$17+I623*$AE$18+J623*$AE$19+K623*$AE$20+L623*$AE$21+M623*$AE$22+N623*$AE$23+O623*$AE$24+P623*$AE$25+Q623*$AE$26+R623*$AE$27+S623*$AE$28+T623*$AE$29+U623*$AE$30</f>
        <v/>
      </c>
      <c r="W623" s="8">
        <f>1/(1+EXP(-V623))</f>
        <v/>
      </c>
      <c r="X623" s="9">
        <f>-IF(C623=1,LN(W623),LN(1-W623))</f>
        <v/>
      </c>
      <c r="Y623" s="8">
        <f>1</f>
        <v/>
      </c>
      <c r="Z623" s="9">
        <f>Y623*X623</f>
        <v/>
      </c>
      <c r="AA623" s="10">
        <f>IF(W623&gt;$AE$32,1,0)</f>
        <v/>
      </c>
      <c r="AB623">
        <f>IF(AA623=C623,1,0)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$AE$12+D624*$AE$13+E624*$AE$14+F624*$AE$15+G624*$AE$16+H624*$AE$17+I624*$AE$18+J624*$AE$19+K624*$AE$20+L624*$AE$21+M624*$AE$22+N624*$AE$23+O624*$AE$24+P624*$AE$25+Q624*$AE$26+R624*$AE$27+S624*$AE$28+T624*$AE$29+U624*$AE$30</f>
        <v/>
      </c>
      <c r="W624" s="8">
        <f>1/(1+EXP(-V624))</f>
        <v/>
      </c>
      <c r="X624" s="9">
        <f>-IF(C624=1,LN(W624),LN(1-W624))</f>
        <v/>
      </c>
      <c r="Y624" s="8">
        <f>1</f>
        <v/>
      </c>
      <c r="Z624" s="9">
        <f>Y624*X624</f>
        <v/>
      </c>
      <c r="AA624" s="10">
        <f>IF(W624&gt;$AE$32,1,0)</f>
        <v/>
      </c>
      <c r="AB624">
        <f>IF(AA624=C624,1,0)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$AE$12+D625*$AE$13+E625*$AE$14+F625*$AE$15+G625*$AE$16+H625*$AE$17+I625*$AE$18+J625*$AE$19+K625*$AE$20+L625*$AE$21+M625*$AE$22+N625*$AE$23+O625*$AE$24+P625*$AE$25+Q625*$AE$26+R625*$AE$27+S625*$AE$28+T625*$AE$29+U625*$AE$30</f>
        <v/>
      </c>
      <c r="W625" s="8">
        <f>1/(1+EXP(-V625))</f>
        <v/>
      </c>
      <c r="X625" s="9">
        <f>-IF(C625=1,LN(W625),LN(1-W625))</f>
        <v/>
      </c>
      <c r="Y625" s="8">
        <f>1</f>
        <v/>
      </c>
      <c r="Z625" s="9">
        <f>Y625*X625</f>
        <v/>
      </c>
      <c r="AA625" s="10">
        <f>IF(W625&gt;$AE$32,1,0)</f>
        <v/>
      </c>
      <c r="AB625">
        <f>IF(AA625=C625,1,0)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$AE$12+D626*$AE$13+E626*$AE$14+F626*$AE$15+G626*$AE$16+H626*$AE$17+I626*$AE$18+J626*$AE$19+K626*$AE$20+L626*$AE$21+M626*$AE$22+N626*$AE$23+O626*$AE$24+P626*$AE$25+Q626*$AE$26+R626*$AE$27+S626*$AE$28+T626*$AE$29+U626*$AE$30</f>
        <v/>
      </c>
      <c r="W626" s="8">
        <f>1/(1+EXP(-V626))</f>
        <v/>
      </c>
      <c r="X626" s="9">
        <f>-IF(C626=1,LN(W626),LN(1-W626))</f>
        <v/>
      </c>
      <c r="Y626" s="8">
        <f>1</f>
        <v/>
      </c>
      <c r="Z626" s="9">
        <f>Y626*X626</f>
        <v/>
      </c>
      <c r="AA626" s="10">
        <f>IF(W626&gt;$AE$32,1,0)</f>
        <v/>
      </c>
      <c r="AB626">
        <f>IF(AA626=C626,1,0)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$AE$12+D627*$AE$13+E627*$AE$14+F627*$AE$15+G627*$AE$16+H627*$AE$17+I627*$AE$18+J627*$AE$19+K627*$AE$20+L627*$AE$21+M627*$AE$22+N627*$AE$23+O627*$AE$24+P627*$AE$25+Q627*$AE$26+R627*$AE$27+S627*$AE$28+T627*$AE$29+U627*$AE$30</f>
        <v/>
      </c>
      <c r="W627" s="8">
        <f>1/(1+EXP(-V627))</f>
        <v/>
      </c>
      <c r="X627" s="9">
        <f>-IF(C627=1,LN(W627),LN(1-W627))</f>
        <v/>
      </c>
      <c r="Y627" s="8">
        <f>1</f>
        <v/>
      </c>
      <c r="Z627" s="9">
        <f>Y627*X627</f>
        <v/>
      </c>
      <c r="AA627" s="10">
        <f>IF(W627&gt;$AE$32,1,0)</f>
        <v/>
      </c>
      <c r="AB627">
        <f>IF(AA627=C627,1,0)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$AE$12+D628*$AE$13+E628*$AE$14+F628*$AE$15+G628*$AE$16+H628*$AE$17+I628*$AE$18+J628*$AE$19+K628*$AE$20+L628*$AE$21+M628*$AE$22+N628*$AE$23+O628*$AE$24+P628*$AE$25+Q628*$AE$26+R628*$AE$27+S628*$AE$28+T628*$AE$29+U628*$AE$30</f>
        <v/>
      </c>
      <c r="W628" s="8">
        <f>1/(1+EXP(-V628))</f>
        <v/>
      </c>
      <c r="X628" s="9">
        <f>-IF(C628=1,LN(W628),LN(1-W628))</f>
        <v/>
      </c>
      <c r="Y628" s="8">
        <f>1</f>
        <v/>
      </c>
      <c r="Z628" s="9">
        <f>Y628*X628</f>
        <v/>
      </c>
      <c r="AA628" s="10">
        <f>IF(W628&gt;$AE$32,1,0)</f>
        <v/>
      </c>
      <c r="AB628">
        <f>IF(AA628=C628,1,0)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$AE$12+D629*$AE$13+E629*$AE$14+F629*$AE$15+G629*$AE$16+H629*$AE$17+I629*$AE$18+J629*$AE$19+K629*$AE$20+L629*$AE$21+M629*$AE$22+N629*$AE$23+O629*$AE$24+P629*$AE$25+Q629*$AE$26+R629*$AE$27+S629*$AE$28+T629*$AE$29+U629*$AE$30</f>
        <v/>
      </c>
      <c r="W629" s="8">
        <f>1/(1+EXP(-V629))</f>
        <v/>
      </c>
      <c r="X629" s="9">
        <f>-IF(C629=1,LN(W629),LN(1-W629))</f>
        <v/>
      </c>
      <c r="Y629" s="8">
        <f>1</f>
        <v/>
      </c>
      <c r="Z629" s="9">
        <f>Y629*X629</f>
        <v/>
      </c>
      <c r="AA629" s="10">
        <f>IF(W629&gt;$AE$32,1,0)</f>
        <v/>
      </c>
      <c r="AB629">
        <f>IF(AA629=C629,1,0)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$AE$12+D630*$AE$13+E630*$AE$14+F630*$AE$15+G630*$AE$16+H630*$AE$17+I630*$AE$18+J630*$AE$19+K630*$AE$20+L630*$AE$21+M630*$AE$22+N630*$AE$23+O630*$AE$24+P630*$AE$25+Q630*$AE$26+R630*$AE$27+S630*$AE$28+T630*$AE$29+U630*$AE$30</f>
        <v/>
      </c>
      <c r="W630" s="8">
        <f>1/(1+EXP(-V630))</f>
        <v/>
      </c>
      <c r="X630" s="9">
        <f>-IF(C630=1,LN(W630),LN(1-W630))</f>
        <v/>
      </c>
      <c r="Y630" s="8">
        <f>1</f>
        <v/>
      </c>
      <c r="Z630" s="9">
        <f>Y630*X630</f>
        <v/>
      </c>
      <c r="AA630" s="10">
        <f>IF(W630&gt;$AE$32,1,0)</f>
        <v/>
      </c>
      <c r="AB630">
        <f>IF(AA630=C630,1,0)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$AE$12+D631*$AE$13+E631*$AE$14+F631*$AE$15+G631*$AE$16+H631*$AE$17+I631*$AE$18+J631*$AE$19+K631*$AE$20+L631*$AE$21+M631*$AE$22+N631*$AE$23+O631*$AE$24+P631*$AE$25+Q631*$AE$26+R631*$AE$27+S631*$AE$28+T631*$AE$29+U631*$AE$30</f>
        <v/>
      </c>
      <c r="W631" s="8">
        <f>1/(1+EXP(-V631))</f>
        <v/>
      </c>
      <c r="X631" s="9">
        <f>-IF(C631=1,LN(W631),LN(1-W631))</f>
        <v/>
      </c>
      <c r="Y631" s="8">
        <f>1</f>
        <v/>
      </c>
      <c r="Z631" s="9">
        <f>Y631*X631</f>
        <v/>
      </c>
      <c r="AA631" s="10">
        <f>IF(W631&gt;$AE$32,1,0)</f>
        <v/>
      </c>
      <c r="AB631">
        <f>IF(AA631=C631,1,0)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$AE$12+D632*$AE$13+E632*$AE$14+F632*$AE$15+G632*$AE$16+H632*$AE$17+I632*$AE$18+J632*$AE$19+K632*$AE$20+L632*$AE$21+M632*$AE$22+N632*$AE$23+O632*$AE$24+P632*$AE$25+Q632*$AE$26+R632*$AE$27+S632*$AE$28+T632*$AE$29+U632*$AE$30</f>
        <v/>
      </c>
      <c r="W632" s="8">
        <f>1/(1+EXP(-V632))</f>
        <v/>
      </c>
      <c r="X632" s="9">
        <f>-IF(C632=1,LN(W632),LN(1-W632))</f>
        <v/>
      </c>
      <c r="Y632" s="8">
        <f>1</f>
        <v/>
      </c>
      <c r="Z632" s="9">
        <f>Y632*X632</f>
        <v/>
      </c>
      <c r="AA632" s="10">
        <f>IF(W632&gt;$AE$32,1,0)</f>
        <v/>
      </c>
      <c r="AB632">
        <f>IF(AA632=C632,1,0)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$AE$12+D633*$AE$13+E633*$AE$14+F633*$AE$15+G633*$AE$16+H633*$AE$17+I633*$AE$18+J633*$AE$19+K633*$AE$20+L633*$AE$21+M633*$AE$22+N633*$AE$23+O633*$AE$24+P633*$AE$25+Q633*$AE$26+R633*$AE$27+S633*$AE$28+T633*$AE$29+U633*$AE$30</f>
        <v/>
      </c>
      <c r="W633" s="8">
        <f>1/(1+EXP(-V633))</f>
        <v/>
      </c>
      <c r="X633" s="9">
        <f>-IF(C633=1,LN(W633),LN(1-W633))</f>
        <v/>
      </c>
      <c r="Y633" s="8">
        <f>1</f>
        <v/>
      </c>
      <c r="Z633" s="9">
        <f>Y633*X633</f>
        <v/>
      </c>
      <c r="AA633" s="10">
        <f>IF(W633&gt;$AE$32,1,0)</f>
        <v/>
      </c>
      <c r="AB633">
        <f>IF(AA633=C633,1,0)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$AE$12+D634*$AE$13+E634*$AE$14+F634*$AE$15+G634*$AE$16+H634*$AE$17+I634*$AE$18+J634*$AE$19+K634*$AE$20+L634*$AE$21+M634*$AE$22+N634*$AE$23+O634*$AE$24+P634*$AE$25+Q634*$AE$26+R634*$AE$27+S634*$AE$28+T634*$AE$29+U634*$AE$30</f>
        <v/>
      </c>
      <c r="W634" s="8">
        <f>1/(1+EXP(-V634))</f>
        <v/>
      </c>
      <c r="X634" s="9">
        <f>-IF(C634=1,LN(W634),LN(1-W634))</f>
        <v/>
      </c>
      <c r="Y634" s="8">
        <f>1</f>
        <v/>
      </c>
      <c r="Z634" s="9">
        <f>Y634*X634</f>
        <v/>
      </c>
      <c r="AA634" s="10">
        <f>IF(W634&gt;$AE$32,1,0)</f>
        <v/>
      </c>
      <c r="AB634">
        <f>IF(AA634=C634,1,0)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$AE$12+D635*$AE$13+E635*$AE$14+F635*$AE$15+G635*$AE$16+H635*$AE$17+I635*$AE$18+J635*$AE$19+K635*$AE$20+L635*$AE$21+M635*$AE$22+N635*$AE$23+O635*$AE$24+P635*$AE$25+Q635*$AE$26+R635*$AE$27+S635*$AE$28+T635*$AE$29+U635*$AE$30</f>
        <v/>
      </c>
      <c r="W635" s="8">
        <f>1/(1+EXP(-V635))</f>
        <v/>
      </c>
      <c r="X635" s="9">
        <f>-IF(C635=1,LN(W635),LN(1-W635))</f>
        <v/>
      </c>
      <c r="Y635" s="8">
        <f>1</f>
        <v/>
      </c>
      <c r="Z635" s="9">
        <f>Y635*X635</f>
        <v/>
      </c>
      <c r="AA635" s="10">
        <f>IF(W635&gt;$AE$32,1,0)</f>
        <v/>
      </c>
      <c r="AB635">
        <f>IF(AA635=C635,1,0)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$AE$12+D636*$AE$13+E636*$AE$14+F636*$AE$15+G636*$AE$16+H636*$AE$17+I636*$AE$18+J636*$AE$19+K636*$AE$20+L636*$AE$21+M636*$AE$22+N636*$AE$23+O636*$AE$24+P636*$AE$25+Q636*$AE$26+R636*$AE$27+S636*$AE$28+T636*$AE$29+U636*$AE$30</f>
        <v/>
      </c>
      <c r="W636" s="8">
        <f>1/(1+EXP(-V636))</f>
        <v/>
      </c>
      <c r="X636" s="9">
        <f>-IF(C636=1,LN(W636),LN(1-W636))</f>
        <v/>
      </c>
      <c r="Y636" s="8">
        <f>1</f>
        <v/>
      </c>
      <c r="Z636" s="9">
        <f>Y636*X636</f>
        <v/>
      </c>
      <c r="AA636" s="10">
        <f>IF(W636&gt;$AE$32,1,0)</f>
        <v/>
      </c>
      <c r="AB636">
        <f>IF(AA636=C636,1,0)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$AE$12+D637*$AE$13+E637*$AE$14+F637*$AE$15+G637*$AE$16+H637*$AE$17+I637*$AE$18+J637*$AE$19+K637*$AE$20+L637*$AE$21+M637*$AE$22+N637*$AE$23+O637*$AE$24+P637*$AE$25+Q637*$AE$26+R637*$AE$27+S637*$AE$28+T637*$AE$29+U637*$AE$30</f>
        <v/>
      </c>
      <c r="W637" s="8">
        <f>1/(1+EXP(-V637))</f>
        <v/>
      </c>
      <c r="X637" s="9">
        <f>-IF(C637=1,LN(W637),LN(1-W637))</f>
        <v/>
      </c>
      <c r="Y637" s="8">
        <f>1</f>
        <v/>
      </c>
      <c r="Z637" s="9">
        <f>Y637*X637</f>
        <v/>
      </c>
      <c r="AA637" s="10">
        <f>IF(W637&gt;$AE$32,1,0)</f>
        <v/>
      </c>
      <c r="AB637">
        <f>IF(AA637=C637,1,0)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$AE$12+D638*$AE$13+E638*$AE$14+F638*$AE$15+G638*$AE$16+H638*$AE$17+I638*$AE$18+J638*$AE$19+K638*$AE$20+L638*$AE$21+M638*$AE$22+N638*$AE$23+O638*$AE$24+P638*$AE$25+Q638*$AE$26+R638*$AE$27+S638*$AE$28+T638*$AE$29+U638*$AE$30</f>
        <v/>
      </c>
      <c r="W638" s="8">
        <f>1/(1+EXP(-V638))</f>
        <v/>
      </c>
      <c r="X638" s="9">
        <f>-IF(C638=1,LN(W638),LN(1-W638))</f>
        <v/>
      </c>
      <c r="Y638" s="8">
        <f>1</f>
        <v/>
      </c>
      <c r="Z638" s="9">
        <f>Y638*X638</f>
        <v/>
      </c>
      <c r="AA638" s="10">
        <f>IF(W638&gt;$AE$32,1,0)</f>
        <v/>
      </c>
      <c r="AB638">
        <f>IF(AA638=C638,1,0)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$AE$12+D639*$AE$13+E639*$AE$14+F639*$AE$15+G639*$AE$16+H639*$AE$17+I639*$AE$18+J639*$AE$19+K639*$AE$20+L639*$AE$21+M639*$AE$22+N639*$AE$23+O639*$AE$24+P639*$AE$25+Q639*$AE$26+R639*$AE$27+S639*$AE$28+T639*$AE$29+U639*$AE$30</f>
        <v/>
      </c>
      <c r="W639" s="8">
        <f>1/(1+EXP(-V639))</f>
        <v/>
      </c>
      <c r="X639" s="9">
        <f>-IF(C639=1,LN(W639),LN(1-W639))</f>
        <v/>
      </c>
      <c r="Y639" s="8">
        <f>1</f>
        <v/>
      </c>
      <c r="Z639" s="9">
        <f>Y639*X639</f>
        <v/>
      </c>
      <c r="AA639" s="10">
        <f>IF(W639&gt;$AE$32,1,0)</f>
        <v/>
      </c>
      <c r="AB639">
        <f>IF(AA639=C639,1,0)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$AE$12+D640*$AE$13+E640*$AE$14+F640*$AE$15+G640*$AE$16+H640*$AE$17+I640*$AE$18+J640*$AE$19+K640*$AE$20+L640*$AE$21+M640*$AE$22+N640*$AE$23+O640*$AE$24+P640*$AE$25+Q640*$AE$26+R640*$AE$27+S640*$AE$28+T640*$AE$29+U640*$AE$30</f>
        <v/>
      </c>
      <c r="W640" s="8">
        <f>1/(1+EXP(-V640))</f>
        <v/>
      </c>
      <c r="X640" s="9">
        <f>-IF(C640=1,LN(W640),LN(1-W640))</f>
        <v/>
      </c>
      <c r="Y640" s="8">
        <f>1</f>
        <v/>
      </c>
      <c r="Z640" s="9">
        <f>Y640*X640</f>
        <v/>
      </c>
      <c r="AA640" s="10">
        <f>IF(W640&gt;$AE$32,1,0)</f>
        <v/>
      </c>
      <c r="AB640">
        <f>IF(AA640=C640,1,0)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$AE$12+D641*$AE$13+E641*$AE$14+F641*$AE$15+G641*$AE$16+H641*$AE$17+I641*$AE$18+J641*$AE$19+K641*$AE$20+L641*$AE$21+M641*$AE$22+N641*$AE$23+O641*$AE$24+P641*$AE$25+Q641*$AE$26+R641*$AE$27+S641*$AE$28+T641*$AE$29+U641*$AE$30</f>
        <v/>
      </c>
      <c r="W641" s="8">
        <f>1/(1+EXP(-V641))</f>
        <v/>
      </c>
      <c r="X641" s="9">
        <f>-IF(C641=1,LN(W641),LN(1-W641))</f>
        <v/>
      </c>
      <c r="Y641" s="8">
        <f>1</f>
        <v/>
      </c>
      <c r="Z641" s="9">
        <f>Y641*X641</f>
        <v/>
      </c>
      <c r="AA641" s="10">
        <f>IF(W641&gt;$AE$32,1,0)</f>
        <v/>
      </c>
      <c r="AB641">
        <f>IF(AA641=C641,1,0)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$AE$12+D642*$AE$13+E642*$AE$14+F642*$AE$15+G642*$AE$16+H642*$AE$17+I642*$AE$18+J642*$AE$19+K642*$AE$20+L642*$AE$21+M642*$AE$22+N642*$AE$23+O642*$AE$24+P642*$AE$25+Q642*$AE$26+R642*$AE$27+S642*$AE$28+T642*$AE$29+U642*$AE$30</f>
        <v/>
      </c>
      <c r="W642" s="8">
        <f>1/(1+EXP(-V642))</f>
        <v/>
      </c>
      <c r="X642" s="9">
        <f>-IF(C642=1,LN(W642),LN(1-W642))</f>
        <v/>
      </c>
      <c r="Y642" s="8">
        <f>1</f>
        <v/>
      </c>
      <c r="Z642" s="9">
        <f>Y642*X642</f>
        <v/>
      </c>
      <c r="AA642" s="10">
        <f>IF(W642&gt;$AE$32,1,0)</f>
        <v/>
      </c>
      <c r="AB642">
        <f>IF(AA642=C642,1,0)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$AE$12+D643*$AE$13+E643*$AE$14+F643*$AE$15+G643*$AE$16+H643*$AE$17+I643*$AE$18+J643*$AE$19+K643*$AE$20+L643*$AE$21+M643*$AE$22+N643*$AE$23+O643*$AE$24+P643*$AE$25+Q643*$AE$26+R643*$AE$27+S643*$AE$28+T643*$AE$29+U643*$AE$30</f>
        <v/>
      </c>
      <c r="W643" s="8">
        <f>1/(1+EXP(-V643))</f>
        <v/>
      </c>
      <c r="X643" s="9">
        <f>-IF(C643=1,LN(W643),LN(1-W643))</f>
        <v/>
      </c>
      <c r="Y643" s="8">
        <f>1</f>
        <v/>
      </c>
      <c r="Z643" s="9">
        <f>Y643*X643</f>
        <v/>
      </c>
      <c r="AA643" s="10">
        <f>IF(W643&gt;$AE$32,1,0)</f>
        <v/>
      </c>
      <c r="AB643">
        <f>IF(AA643=C643,1,0)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$AE$12+D644*$AE$13+E644*$AE$14+F644*$AE$15+G644*$AE$16+H644*$AE$17+I644*$AE$18+J644*$AE$19+K644*$AE$20+L644*$AE$21+M644*$AE$22+N644*$AE$23+O644*$AE$24+P644*$AE$25+Q644*$AE$26+R644*$AE$27+S644*$AE$28+T644*$AE$29+U644*$AE$30</f>
        <v/>
      </c>
      <c r="W644" s="8">
        <f>1/(1+EXP(-V644))</f>
        <v/>
      </c>
      <c r="X644" s="9">
        <f>-IF(C644=1,LN(W644),LN(1-W644))</f>
        <v/>
      </c>
      <c r="Y644" s="8">
        <f>1</f>
        <v/>
      </c>
      <c r="Z644" s="9">
        <f>Y644*X644</f>
        <v/>
      </c>
      <c r="AA644" s="10">
        <f>IF(W644&gt;$AE$32,1,0)</f>
        <v/>
      </c>
      <c r="AB644">
        <f>IF(AA644=C644,1,0)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$AE$12+D645*$AE$13+E645*$AE$14+F645*$AE$15+G645*$AE$16+H645*$AE$17+I645*$AE$18+J645*$AE$19+K645*$AE$20+L645*$AE$21+M645*$AE$22+N645*$AE$23+O645*$AE$24+P645*$AE$25+Q645*$AE$26+R645*$AE$27+S645*$AE$28+T645*$AE$29+U645*$AE$30</f>
        <v/>
      </c>
      <c r="W645" s="8">
        <f>1/(1+EXP(-V645))</f>
        <v/>
      </c>
      <c r="X645" s="9">
        <f>-IF(C645=1,LN(W645),LN(1-W645))</f>
        <v/>
      </c>
      <c r="Y645" s="8">
        <f>1</f>
        <v/>
      </c>
      <c r="Z645" s="9">
        <f>Y645*X645</f>
        <v/>
      </c>
      <c r="AA645" s="10">
        <f>IF(W645&gt;$AE$32,1,0)</f>
        <v/>
      </c>
      <c r="AB645">
        <f>IF(AA645=C645,1,0)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$AE$12+D646*$AE$13+E646*$AE$14+F646*$AE$15+G646*$AE$16+H646*$AE$17+I646*$AE$18+J646*$AE$19+K646*$AE$20+L646*$AE$21+M646*$AE$22+N646*$AE$23+O646*$AE$24+P646*$AE$25+Q646*$AE$26+R646*$AE$27+S646*$AE$28+T646*$AE$29+U646*$AE$30</f>
        <v/>
      </c>
      <c r="W646" s="8">
        <f>1/(1+EXP(-V646))</f>
        <v/>
      </c>
      <c r="X646" s="9">
        <f>-IF(C646=1,LN(W646),LN(1-W646))</f>
        <v/>
      </c>
      <c r="Y646" s="8">
        <f>1</f>
        <v/>
      </c>
      <c r="Z646" s="9">
        <f>Y646*X646</f>
        <v/>
      </c>
      <c r="AA646" s="10">
        <f>IF(W646&gt;$AE$32,1,0)</f>
        <v/>
      </c>
      <c r="AB646">
        <f>IF(AA646=C646,1,0)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$AE$12+D647*$AE$13+E647*$AE$14+F647*$AE$15+G647*$AE$16+H647*$AE$17+I647*$AE$18+J647*$AE$19+K647*$AE$20+L647*$AE$21+M647*$AE$22+N647*$AE$23+O647*$AE$24+P647*$AE$25+Q647*$AE$26+R647*$AE$27+S647*$AE$28+T647*$AE$29+U647*$AE$30</f>
        <v/>
      </c>
      <c r="W647" s="8">
        <f>1/(1+EXP(-V647))</f>
        <v/>
      </c>
      <c r="X647" s="9">
        <f>-IF(C647=1,LN(W647),LN(1-W647))</f>
        <v/>
      </c>
      <c r="Y647" s="8">
        <f>1</f>
        <v/>
      </c>
      <c r="Z647" s="9">
        <f>Y647*X647</f>
        <v/>
      </c>
      <c r="AA647" s="10">
        <f>IF(W647&gt;$AE$32,1,0)</f>
        <v/>
      </c>
      <c r="AB647">
        <f>IF(AA647=C647,1,0)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$AE$12+D648*$AE$13+E648*$AE$14+F648*$AE$15+G648*$AE$16+H648*$AE$17+I648*$AE$18+J648*$AE$19+K648*$AE$20+L648*$AE$21+M648*$AE$22+N648*$AE$23+O648*$AE$24+P648*$AE$25+Q648*$AE$26+R648*$AE$27+S648*$AE$28+T648*$AE$29+U648*$AE$30</f>
        <v/>
      </c>
      <c r="W648" s="8">
        <f>1/(1+EXP(-V648))</f>
        <v/>
      </c>
      <c r="X648" s="9">
        <f>-IF(C648=1,LN(W648),LN(1-W648))</f>
        <v/>
      </c>
      <c r="Y648" s="8">
        <f>1</f>
        <v/>
      </c>
      <c r="Z648" s="9">
        <f>Y648*X648</f>
        <v/>
      </c>
      <c r="AA648" s="10">
        <f>IF(W648&gt;$AE$32,1,0)</f>
        <v/>
      </c>
      <c r="AB648">
        <f>IF(AA648=C648,1,0)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$AE$12+D649*$AE$13+E649*$AE$14+F649*$AE$15+G649*$AE$16+H649*$AE$17+I649*$AE$18+J649*$AE$19+K649*$AE$20+L649*$AE$21+M649*$AE$22+N649*$AE$23+O649*$AE$24+P649*$AE$25+Q649*$AE$26+R649*$AE$27+S649*$AE$28+T649*$AE$29+U649*$AE$30</f>
        <v/>
      </c>
      <c r="W649" s="8">
        <f>1/(1+EXP(-V649))</f>
        <v/>
      </c>
      <c r="X649" s="9">
        <f>-IF(C649=1,LN(W649),LN(1-W649))</f>
        <v/>
      </c>
      <c r="Y649" s="8">
        <f>1</f>
        <v/>
      </c>
      <c r="Z649" s="9">
        <f>Y649*X649</f>
        <v/>
      </c>
      <c r="AA649" s="10">
        <f>IF(W649&gt;$AE$32,1,0)</f>
        <v/>
      </c>
      <c r="AB649">
        <f>IF(AA649=C649,1,0)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$AE$12+D650*$AE$13+E650*$AE$14+F650*$AE$15+G650*$AE$16+H650*$AE$17+I650*$AE$18+J650*$AE$19+K650*$AE$20+L650*$AE$21+M650*$AE$22+N650*$AE$23+O650*$AE$24+P650*$AE$25+Q650*$AE$26+R650*$AE$27+S650*$AE$28+T650*$AE$29+U650*$AE$30</f>
        <v/>
      </c>
      <c r="W650" s="8">
        <f>1/(1+EXP(-V650))</f>
        <v/>
      </c>
      <c r="X650" s="9">
        <f>-IF(C650=1,LN(W650),LN(1-W650))</f>
        <v/>
      </c>
      <c r="Y650" s="8">
        <f>1</f>
        <v/>
      </c>
      <c r="Z650" s="9">
        <f>Y650*X650</f>
        <v/>
      </c>
      <c r="AA650" s="10">
        <f>IF(W650&gt;$AE$32,1,0)</f>
        <v/>
      </c>
      <c r="AB650">
        <f>IF(AA650=C650,1,0)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$AE$12+D651*$AE$13+E651*$AE$14+F651*$AE$15+G651*$AE$16+H651*$AE$17+I651*$AE$18+J651*$AE$19+K651*$AE$20+L651*$AE$21+M651*$AE$22+N651*$AE$23+O651*$AE$24+P651*$AE$25+Q651*$AE$26+R651*$AE$27+S651*$AE$28+T651*$AE$29+U651*$AE$30</f>
        <v/>
      </c>
      <c r="W651" s="8">
        <f>1/(1+EXP(-V651))</f>
        <v/>
      </c>
      <c r="X651" s="9">
        <f>-IF(C651=1,LN(W651),LN(1-W651))</f>
        <v/>
      </c>
      <c r="Y651" s="8">
        <f>1</f>
        <v/>
      </c>
      <c r="Z651" s="9">
        <f>Y651*X651</f>
        <v/>
      </c>
      <c r="AA651" s="10">
        <f>IF(W651&gt;$AE$32,1,0)</f>
        <v/>
      </c>
      <c r="AB651">
        <f>IF(AA651=C651,1,0)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$AE$12+D652*$AE$13+E652*$AE$14+F652*$AE$15+G652*$AE$16+H652*$AE$17+I652*$AE$18+J652*$AE$19+K652*$AE$20+L652*$AE$21+M652*$AE$22+N652*$AE$23+O652*$AE$24+P652*$AE$25+Q652*$AE$26+R652*$AE$27+S652*$AE$28+T652*$AE$29+U652*$AE$30</f>
        <v/>
      </c>
      <c r="W652" s="8">
        <f>1/(1+EXP(-V652))</f>
        <v/>
      </c>
      <c r="X652" s="9">
        <f>-IF(C652=1,LN(W652),LN(1-W652))</f>
        <v/>
      </c>
      <c r="Y652" s="8">
        <f>1</f>
        <v/>
      </c>
      <c r="Z652" s="9">
        <f>Y652*X652</f>
        <v/>
      </c>
      <c r="AA652" s="10">
        <f>IF(W652&gt;$AE$32,1,0)</f>
        <v/>
      </c>
      <c r="AB652">
        <f>IF(AA652=C652,1,0)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$AE$12+D653*$AE$13+E653*$AE$14+F653*$AE$15+G653*$AE$16+H653*$AE$17+I653*$AE$18+J653*$AE$19+K653*$AE$20+L653*$AE$21+M653*$AE$22+N653*$AE$23+O653*$AE$24+P653*$AE$25+Q653*$AE$26+R653*$AE$27+S653*$AE$28+T653*$AE$29+U653*$AE$30</f>
        <v/>
      </c>
      <c r="W653" s="8">
        <f>1/(1+EXP(-V653))</f>
        <v/>
      </c>
      <c r="X653" s="9">
        <f>-IF(C653=1,LN(W653),LN(1-W653))</f>
        <v/>
      </c>
      <c r="Y653" s="8">
        <f>1</f>
        <v/>
      </c>
      <c r="Z653" s="9">
        <f>Y653*X653</f>
        <v/>
      </c>
      <c r="AA653" s="10">
        <f>IF(W653&gt;$AE$32,1,0)</f>
        <v/>
      </c>
      <c r="AB653">
        <f>IF(AA653=C653,1,0)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$AE$12+D654*$AE$13+E654*$AE$14+F654*$AE$15+G654*$AE$16+H654*$AE$17+I654*$AE$18+J654*$AE$19+K654*$AE$20+L654*$AE$21+M654*$AE$22+N654*$AE$23+O654*$AE$24+P654*$AE$25+Q654*$AE$26+R654*$AE$27+S654*$AE$28+T654*$AE$29+U654*$AE$30</f>
        <v/>
      </c>
      <c r="W654" s="8">
        <f>1/(1+EXP(-V654))</f>
        <v/>
      </c>
      <c r="X654" s="9">
        <f>-IF(C654=1,LN(W654),LN(1-W654))</f>
        <v/>
      </c>
      <c r="Y654" s="8">
        <f>1</f>
        <v/>
      </c>
      <c r="Z654" s="9">
        <f>Y654*X654</f>
        <v/>
      </c>
      <c r="AA654" s="10">
        <f>IF(W654&gt;$AE$32,1,0)</f>
        <v/>
      </c>
      <c r="AB654">
        <f>IF(AA654=C654,1,0)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$AE$12+D655*$AE$13+E655*$AE$14+F655*$AE$15+G655*$AE$16+H655*$AE$17+I655*$AE$18+J655*$AE$19+K655*$AE$20+L655*$AE$21+M655*$AE$22+N655*$AE$23+O655*$AE$24+P655*$AE$25+Q655*$AE$26+R655*$AE$27+S655*$AE$28+T655*$AE$29+U655*$AE$30</f>
        <v/>
      </c>
      <c r="W655" s="8">
        <f>1/(1+EXP(-V655))</f>
        <v/>
      </c>
      <c r="X655" s="9">
        <f>-IF(C655=1,LN(W655),LN(1-W655))</f>
        <v/>
      </c>
      <c r="Y655" s="8">
        <f>1</f>
        <v/>
      </c>
      <c r="Z655" s="9">
        <f>Y655*X655</f>
        <v/>
      </c>
      <c r="AA655" s="10">
        <f>IF(W655&gt;$AE$32,1,0)</f>
        <v/>
      </c>
      <c r="AB655">
        <f>IF(AA655=C655,1,0)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$AE$12+D656*$AE$13+E656*$AE$14+F656*$AE$15+G656*$AE$16+H656*$AE$17+I656*$AE$18+J656*$AE$19+K656*$AE$20+L656*$AE$21+M656*$AE$22+N656*$AE$23+O656*$AE$24+P656*$AE$25+Q656*$AE$26+R656*$AE$27+S656*$AE$28+T656*$AE$29+U656*$AE$30</f>
        <v/>
      </c>
      <c r="W656" s="8">
        <f>1/(1+EXP(-V656))</f>
        <v/>
      </c>
      <c r="X656" s="9">
        <f>-IF(C656=1,LN(W656),LN(1-W656))</f>
        <v/>
      </c>
      <c r="Y656" s="8">
        <f>1</f>
        <v/>
      </c>
      <c r="Z656" s="9">
        <f>Y656*X656</f>
        <v/>
      </c>
      <c r="AA656" s="10">
        <f>IF(W656&gt;$AE$32,1,0)</f>
        <v/>
      </c>
      <c r="AB656">
        <f>IF(AA656=C656,1,0)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$AE$12+D657*$AE$13+E657*$AE$14+F657*$AE$15+G657*$AE$16+H657*$AE$17+I657*$AE$18+J657*$AE$19+K657*$AE$20+L657*$AE$21+M657*$AE$22+N657*$AE$23+O657*$AE$24+P657*$AE$25+Q657*$AE$26+R657*$AE$27+S657*$AE$28+T657*$AE$29+U657*$AE$30</f>
        <v/>
      </c>
      <c r="W657" s="8">
        <f>1/(1+EXP(-V657))</f>
        <v/>
      </c>
      <c r="X657" s="9">
        <f>-IF(C657=1,LN(W657),LN(1-W657))</f>
        <v/>
      </c>
      <c r="Y657" s="8">
        <f>1</f>
        <v/>
      </c>
      <c r="Z657" s="9">
        <f>Y657*X657</f>
        <v/>
      </c>
      <c r="AA657" s="10">
        <f>IF(W657&gt;$AE$32,1,0)</f>
        <v/>
      </c>
      <c r="AB657">
        <f>IF(AA657=C657,1,0)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$AE$12+D658*$AE$13+E658*$AE$14+F658*$AE$15+G658*$AE$16+H658*$AE$17+I658*$AE$18+J658*$AE$19+K658*$AE$20+L658*$AE$21+M658*$AE$22+N658*$AE$23+O658*$AE$24+P658*$AE$25+Q658*$AE$26+R658*$AE$27+S658*$AE$28+T658*$AE$29+U658*$AE$30</f>
        <v/>
      </c>
      <c r="W658" s="8">
        <f>1/(1+EXP(-V658))</f>
        <v/>
      </c>
      <c r="X658" s="9">
        <f>-IF(C658=1,LN(W658),LN(1-W658))</f>
        <v/>
      </c>
      <c r="Y658" s="8">
        <f>1</f>
        <v/>
      </c>
      <c r="Z658" s="9">
        <f>Y658*X658</f>
        <v/>
      </c>
      <c r="AA658" s="10">
        <f>IF(W658&gt;$AE$32,1,0)</f>
        <v/>
      </c>
      <c r="AB658">
        <f>IF(AA658=C658,1,0)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$AE$12+D659*$AE$13+E659*$AE$14+F659*$AE$15+G659*$AE$16+H659*$AE$17+I659*$AE$18+J659*$AE$19+K659*$AE$20+L659*$AE$21+M659*$AE$22+N659*$AE$23+O659*$AE$24+P659*$AE$25+Q659*$AE$26+R659*$AE$27+S659*$AE$28+T659*$AE$29+U659*$AE$30</f>
        <v/>
      </c>
      <c r="W659" s="8">
        <f>1/(1+EXP(-V659))</f>
        <v/>
      </c>
      <c r="X659" s="9">
        <f>-IF(C659=1,LN(W659),LN(1-W659))</f>
        <v/>
      </c>
      <c r="Y659" s="8">
        <f>1</f>
        <v/>
      </c>
      <c r="Z659" s="9">
        <f>Y659*X659</f>
        <v/>
      </c>
      <c r="AA659" s="10">
        <f>IF(W659&gt;$AE$32,1,0)</f>
        <v/>
      </c>
      <c r="AB659">
        <f>IF(AA659=C659,1,0)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$AE$12+D660*$AE$13+E660*$AE$14+F660*$AE$15+G660*$AE$16+H660*$AE$17+I660*$AE$18+J660*$AE$19+K660*$AE$20+L660*$AE$21+M660*$AE$22+N660*$AE$23+O660*$AE$24+P660*$AE$25+Q660*$AE$26+R660*$AE$27+S660*$AE$28+T660*$AE$29+U660*$AE$30</f>
        <v/>
      </c>
      <c r="W660" s="8">
        <f>1/(1+EXP(-V660))</f>
        <v/>
      </c>
      <c r="X660" s="9">
        <f>-IF(C660=1,LN(W660),LN(1-W660))</f>
        <v/>
      </c>
      <c r="Y660" s="8">
        <f>1</f>
        <v/>
      </c>
      <c r="Z660" s="9">
        <f>Y660*X660</f>
        <v/>
      </c>
      <c r="AA660" s="10">
        <f>IF(W660&gt;$AE$32,1,0)</f>
        <v/>
      </c>
      <c r="AB660">
        <f>IF(AA660=C660,1,0)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$AE$12+D661*$AE$13+E661*$AE$14+F661*$AE$15+G661*$AE$16+H661*$AE$17+I661*$AE$18+J661*$AE$19+K661*$AE$20+L661*$AE$21+M661*$AE$22+N661*$AE$23+O661*$AE$24+P661*$AE$25+Q661*$AE$26+R661*$AE$27+S661*$AE$28+T661*$AE$29+U661*$AE$30</f>
        <v/>
      </c>
      <c r="W661" s="8">
        <f>1/(1+EXP(-V661))</f>
        <v/>
      </c>
      <c r="X661" s="9">
        <f>-IF(C661=1,LN(W661),LN(1-W661))</f>
        <v/>
      </c>
      <c r="Y661" s="8">
        <f>1</f>
        <v/>
      </c>
      <c r="Z661" s="9">
        <f>Y661*X661</f>
        <v/>
      </c>
      <c r="AA661" s="10">
        <f>IF(W661&gt;$AE$32,1,0)</f>
        <v/>
      </c>
      <c r="AB661">
        <f>IF(AA661=C661,1,0)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$AE$12+D662*$AE$13+E662*$AE$14+F662*$AE$15+G662*$AE$16+H662*$AE$17+I662*$AE$18+J662*$AE$19+K662*$AE$20+L662*$AE$21+M662*$AE$22+N662*$AE$23+O662*$AE$24+P662*$AE$25+Q662*$AE$26+R662*$AE$27+S662*$AE$28+T662*$AE$29+U662*$AE$30</f>
        <v/>
      </c>
      <c r="W662" s="8">
        <f>1/(1+EXP(-V662))</f>
        <v/>
      </c>
      <c r="X662" s="9">
        <f>-IF(C662=1,LN(W662),LN(1-W662))</f>
        <v/>
      </c>
      <c r="Y662" s="8">
        <f>1</f>
        <v/>
      </c>
      <c r="Z662" s="9">
        <f>Y662*X662</f>
        <v/>
      </c>
      <c r="AA662" s="10">
        <f>IF(W662&gt;$AE$32,1,0)</f>
        <v/>
      </c>
      <c r="AB662">
        <f>IF(AA662=C662,1,0)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$AE$12+D663*$AE$13+E663*$AE$14+F663*$AE$15+G663*$AE$16+H663*$AE$17+I663*$AE$18+J663*$AE$19+K663*$AE$20+L663*$AE$21+M663*$AE$22+N663*$AE$23+O663*$AE$24+P663*$AE$25+Q663*$AE$26+R663*$AE$27+S663*$AE$28+T663*$AE$29+U663*$AE$30</f>
        <v/>
      </c>
      <c r="W663" s="8">
        <f>1/(1+EXP(-V663))</f>
        <v/>
      </c>
      <c r="X663" s="9">
        <f>-IF(C663=1,LN(W663),LN(1-W663))</f>
        <v/>
      </c>
      <c r="Y663" s="8">
        <f>1</f>
        <v/>
      </c>
      <c r="Z663" s="9">
        <f>Y663*X663</f>
        <v/>
      </c>
      <c r="AA663" s="10">
        <f>IF(W663&gt;$AE$32,1,0)</f>
        <v/>
      </c>
      <c r="AB663">
        <f>IF(AA663=C663,1,0)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$AE$12+D664*$AE$13+E664*$AE$14+F664*$AE$15+G664*$AE$16+H664*$AE$17+I664*$AE$18+J664*$AE$19+K664*$AE$20+L664*$AE$21+M664*$AE$22+N664*$AE$23+O664*$AE$24+P664*$AE$25+Q664*$AE$26+R664*$AE$27+S664*$AE$28+T664*$AE$29+U664*$AE$30</f>
        <v/>
      </c>
      <c r="W664" s="8">
        <f>1/(1+EXP(-V664))</f>
        <v/>
      </c>
      <c r="X664" s="9">
        <f>-IF(C664=1,LN(W664),LN(1-W664))</f>
        <v/>
      </c>
      <c r="Y664" s="8">
        <f>1</f>
        <v/>
      </c>
      <c r="Z664" s="9">
        <f>Y664*X664</f>
        <v/>
      </c>
      <c r="AA664" s="10">
        <f>IF(W664&gt;$AE$32,1,0)</f>
        <v/>
      </c>
      <c r="AB664">
        <f>IF(AA664=C664,1,0)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$AE$12+D665*$AE$13+E665*$AE$14+F665*$AE$15+G665*$AE$16+H665*$AE$17+I665*$AE$18+J665*$AE$19+K665*$AE$20+L665*$AE$21+M665*$AE$22+N665*$AE$23+O665*$AE$24+P665*$AE$25+Q665*$AE$26+R665*$AE$27+S665*$AE$28+T665*$AE$29+U665*$AE$30</f>
        <v/>
      </c>
      <c r="W665" s="8">
        <f>1/(1+EXP(-V665))</f>
        <v/>
      </c>
      <c r="X665" s="9">
        <f>-IF(C665=1,LN(W665),LN(1-W665))</f>
        <v/>
      </c>
      <c r="Y665" s="8">
        <f>1</f>
        <v/>
      </c>
      <c r="Z665" s="9">
        <f>Y665*X665</f>
        <v/>
      </c>
      <c r="AA665" s="10">
        <f>IF(W665&gt;$AE$32,1,0)</f>
        <v/>
      </c>
      <c r="AB665">
        <f>IF(AA665=C665,1,0)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$AE$12+D666*$AE$13+E666*$AE$14+F666*$AE$15+G666*$AE$16+H666*$AE$17+I666*$AE$18+J666*$AE$19+K666*$AE$20+L666*$AE$21+M666*$AE$22+N666*$AE$23+O666*$AE$24+P666*$AE$25+Q666*$AE$26+R666*$AE$27+S666*$AE$28+T666*$AE$29+U666*$AE$30</f>
        <v/>
      </c>
      <c r="W666" s="8">
        <f>1/(1+EXP(-V666))</f>
        <v/>
      </c>
      <c r="X666" s="9">
        <f>-IF(C666=1,LN(W666),LN(1-W666))</f>
        <v/>
      </c>
      <c r="Y666" s="8">
        <f>1</f>
        <v/>
      </c>
      <c r="Z666" s="9">
        <f>Y666*X666</f>
        <v/>
      </c>
      <c r="AA666" s="10">
        <f>IF(W666&gt;$AE$32,1,0)</f>
        <v/>
      </c>
      <c r="AB666">
        <f>IF(AA666=C666,1,0)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$AE$12+D667*$AE$13+E667*$AE$14+F667*$AE$15+G667*$AE$16+H667*$AE$17+I667*$AE$18+J667*$AE$19+K667*$AE$20+L667*$AE$21+M667*$AE$22+N667*$AE$23+O667*$AE$24+P667*$AE$25+Q667*$AE$26+R667*$AE$27+S667*$AE$28+T667*$AE$29+U667*$AE$30</f>
        <v/>
      </c>
      <c r="W667" s="8">
        <f>1/(1+EXP(-V667))</f>
        <v/>
      </c>
      <c r="X667" s="9">
        <f>-IF(C667=1,LN(W667),LN(1-W667))</f>
        <v/>
      </c>
      <c r="Y667" s="8">
        <f>1</f>
        <v/>
      </c>
      <c r="Z667" s="9">
        <f>Y667*X667</f>
        <v/>
      </c>
      <c r="AA667" s="10">
        <f>IF(W667&gt;$AE$32,1,0)</f>
        <v/>
      </c>
      <c r="AB667">
        <f>IF(AA667=C667,1,0)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$AE$12+D668*$AE$13+E668*$AE$14+F668*$AE$15+G668*$AE$16+H668*$AE$17+I668*$AE$18+J668*$AE$19+K668*$AE$20+L668*$AE$21+M668*$AE$22+N668*$AE$23+O668*$AE$24+P668*$AE$25+Q668*$AE$26+R668*$AE$27+S668*$AE$28+T668*$AE$29+U668*$AE$30</f>
        <v/>
      </c>
      <c r="W668" s="8">
        <f>1/(1+EXP(-V668))</f>
        <v/>
      </c>
      <c r="X668" s="9">
        <f>-IF(C668=1,LN(W668),LN(1-W668))</f>
        <v/>
      </c>
      <c r="Y668" s="8">
        <f>1</f>
        <v/>
      </c>
      <c r="Z668" s="9">
        <f>Y668*X668</f>
        <v/>
      </c>
      <c r="AA668" s="10">
        <f>IF(W668&gt;$AE$32,1,0)</f>
        <v/>
      </c>
      <c r="AB668">
        <f>IF(AA668=C668,1,0)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$AE$12+D669*$AE$13+E669*$AE$14+F669*$AE$15+G669*$AE$16+H669*$AE$17+I669*$AE$18+J669*$AE$19+K669*$AE$20+L669*$AE$21+M669*$AE$22+N669*$AE$23+O669*$AE$24+P669*$AE$25+Q669*$AE$26+R669*$AE$27+S669*$AE$28+T669*$AE$29+U669*$AE$30</f>
        <v/>
      </c>
      <c r="W669" s="8">
        <f>1/(1+EXP(-V669))</f>
        <v/>
      </c>
      <c r="X669" s="9">
        <f>-IF(C669=1,LN(W669),LN(1-W669))</f>
        <v/>
      </c>
      <c r="Y669" s="8">
        <f>1</f>
        <v/>
      </c>
      <c r="Z669" s="9">
        <f>Y669*X669</f>
        <v/>
      </c>
      <c r="AA669" s="10">
        <f>IF(W669&gt;$AE$32,1,0)</f>
        <v/>
      </c>
      <c r="AB669">
        <f>IF(AA669=C669,1,0)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$AE$12+D670*$AE$13+E670*$AE$14+F670*$AE$15+G670*$AE$16+H670*$AE$17+I670*$AE$18+J670*$AE$19+K670*$AE$20+L670*$AE$21+M670*$AE$22+N670*$AE$23+O670*$AE$24+P670*$AE$25+Q670*$AE$26+R670*$AE$27+S670*$AE$28+T670*$AE$29+U670*$AE$30</f>
        <v/>
      </c>
      <c r="W670" s="8">
        <f>1/(1+EXP(-V670))</f>
        <v/>
      </c>
      <c r="X670" s="9">
        <f>-IF(C670=1,LN(W670),LN(1-W670))</f>
        <v/>
      </c>
      <c r="Y670" s="8">
        <f>1</f>
        <v/>
      </c>
      <c r="Z670" s="9">
        <f>Y670*X670</f>
        <v/>
      </c>
      <c r="AA670" s="10">
        <f>IF(W670&gt;$AE$32,1,0)</f>
        <v/>
      </c>
      <c r="AB670">
        <f>IF(AA670=C670,1,0)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$AE$12+D671*$AE$13+E671*$AE$14+F671*$AE$15+G671*$AE$16+H671*$AE$17+I671*$AE$18+J671*$AE$19+K671*$AE$20+L671*$AE$21+M671*$AE$22+N671*$AE$23+O671*$AE$24+P671*$AE$25+Q671*$AE$26+R671*$AE$27+S671*$AE$28+T671*$AE$29+U671*$AE$30</f>
        <v/>
      </c>
      <c r="W671" s="8">
        <f>1/(1+EXP(-V671))</f>
        <v/>
      </c>
      <c r="X671" s="9">
        <f>-IF(C671=1,LN(W671),LN(1-W671))</f>
        <v/>
      </c>
      <c r="Y671" s="8">
        <f>1</f>
        <v/>
      </c>
      <c r="Z671" s="9">
        <f>Y671*X671</f>
        <v/>
      </c>
      <c r="AA671" s="10">
        <f>IF(W671&gt;$AE$32,1,0)</f>
        <v/>
      </c>
      <c r="AB671">
        <f>IF(AA671=C671,1,0)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$AE$12+D672*$AE$13+E672*$AE$14+F672*$AE$15+G672*$AE$16+H672*$AE$17+I672*$AE$18+J672*$AE$19+K672*$AE$20+L672*$AE$21+M672*$AE$22+N672*$AE$23+O672*$AE$24+P672*$AE$25+Q672*$AE$26+R672*$AE$27+S672*$AE$28+T672*$AE$29+U672*$AE$30</f>
        <v/>
      </c>
      <c r="W672" s="8">
        <f>1/(1+EXP(-V672))</f>
        <v/>
      </c>
      <c r="X672" s="9">
        <f>-IF(C672=1,LN(W672),LN(1-W672))</f>
        <v/>
      </c>
      <c r="Y672" s="8">
        <f>1</f>
        <v/>
      </c>
      <c r="Z672" s="9">
        <f>Y672*X672</f>
        <v/>
      </c>
      <c r="AA672" s="10">
        <f>IF(W672&gt;$AE$32,1,0)</f>
        <v/>
      </c>
      <c r="AB672">
        <f>IF(AA672=C672,1,0)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$AE$12+D673*$AE$13+E673*$AE$14+F673*$AE$15+G673*$AE$16+H673*$AE$17+I673*$AE$18+J673*$AE$19+K673*$AE$20+L673*$AE$21+M673*$AE$22+N673*$AE$23+O673*$AE$24+P673*$AE$25+Q673*$AE$26+R673*$AE$27+S673*$AE$28+T673*$AE$29+U673*$AE$30</f>
        <v/>
      </c>
      <c r="W673" s="8">
        <f>1/(1+EXP(-V673))</f>
        <v/>
      </c>
      <c r="X673" s="9">
        <f>-IF(C673=1,LN(W673),LN(1-W673))</f>
        <v/>
      </c>
      <c r="Y673" s="8">
        <f>1</f>
        <v/>
      </c>
      <c r="Z673" s="9">
        <f>Y673*X673</f>
        <v/>
      </c>
      <c r="AA673" s="10">
        <f>IF(W673&gt;$AE$32,1,0)</f>
        <v/>
      </c>
      <c r="AB673">
        <f>IF(AA673=C673,1,0)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$AE$12+D674*$AE$13+E674*$AE$14+F674*$AE$15+G674*$AE$16+H674*$AE$17+I674*$AE$18+J674*$AE$19+K674*$AE$20+L674*$AE$21+M674*$AE$22+N674*$AE$23+O674*$AE$24+P674*$AE$25+Q674*$AE$26+R674*$AE$27+S674*$AE$28+T674*$AE$29+U674*$AE$30</f>
        <v/>
      </c>
      <c r="W674" s="8">
        <f>1/(1+EXP(-V674))</f>
        <v/>
      </c>
      <c r="X674" s="9">
        <f>-IF(C674=1,LN(W674),LN(1-W674))</f>
        <v/>
      </c>
      <c r="Y674" s="8">
        <f>1</f>
        <v/>
      </c>
      <c r="Z674" s="9">
        <f>Y674*X674</f>
        <v/>
      </c>
      <c r="AA674" s="10">
        <f>IF(W674&gt;$AE$32,1,0)</f>
        <v/>
      </c>
      <c r="AB674">
        <f>IF(AA674=C674,1,0)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$AE$12+D675*$AE$13+E675*$AE$14+F675*$AE$15+G675*$AE$16+H675*$AE$17+I675*$AE$18+J675*$AE$19+K675*$AE$20+L675*$AE$21+M675*$AE$22+N675*$AE$23+O675*$AE$24+P675*$AE$25+Q675*$AE$26+R675*$AE$27+S675*$AE$28+T675*$AE$29+U675*$AE$30</f>
        <v/>
      </c>
      <c r="W675" s="8">
        <f>1/(1+EXP(-V675))</f>
        <v/>
      </c>
      <c r="X675" s="9">
        <f>-IF(C675=1,LN(W675),LN(1-W675))</f>
        <v/>
      </c>
      <c r="Y675" s="8">
        <f>1</f>
        <v/>
      </c>
      <c r="Z675" s="9">
        <f>Y675*X675</f>
        <v/>
      </c>
      <c r="AA675" s="10">
        <f>IF(W675&gt;$AE$32,1,0)</f>
        <v/>
      </c>
      <c r="AB675">
        <f>IF(AA675=C675,1,0)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$AE$12+D676*$AE$13+E676*$AE$14+F676*$AE$15+G676*$AE$16+H676*$AE$17+I676*$AE$18+J676*$AE$19+K676*$AE$20+L676*$AE$21+M676*$AE$22+N676*$AE$23+O676*$AE$24+P676*$AE$25+Q676*$AE$26+R676*$AE$27+S676*$AE$28+T676*$AE$29+U676*$AE$30</f>
        <v/>
      </c>
      <c r="W676" s="8">
        <f>1/(1+EXP(-V676))</f>
        <v/>
      </c>
      <c r="X676" s="9">
        <f>-IF(C676=1,LN(W676),LN(1-W676))</f>
        <v/>
      </c>
      <c r="Y676" s="8">
        <f>1</f>
        <v/>
      </c>
      <c r="Z676" s="9">
        <f>Y676*X676</f>
        <v/>
      </c>
      <c r="AA676" s="10">
        <f>IF(W676&gt;$AE$32,1,0)</f>
        <v/>
      </c>
      <c r="AB676">
        <f>IF(AA676=C676,1,0)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$AE$12+D677*$AE$13+E677*$AE$14+F677*$AE$15+G677*$AE$16+H677*$AE$17+I677*$AE$18+J677*$AE$19+K677*$AE$20+L677*$AE$21+M677*$AE$22+N677*$AE$23+O677*$AE$24+P677*$AE$25+Q677*$AE$26+R677*$AE$27+S677*$AE$28+T677*$AE$29+U677*$AE$30</f>
        <v/>
      </c>
      <c r="W677" s="8">
        <f>1/(1+EXP(-V677))</f>
        <v/>
      </c>
      <c r="X677" s="9">
        <f>-IF(C677=1,LN(W677),LN(1-W677))</f>
        <v/>
      </c>
      <c r="Y677" s="8">
        <f>1</f>
        <v/>
      </c>
      <c r="Z677" s="9">
        <f>Y677*X677</f>
        <v/>
      </c>
      <c r="AA677" s="10">
        <f>IF(W677&gt;$AE$32,1,0)</f>
        <v/>
      </c>
      <c r="AB677">
        <f>IF(AA677=C677,1,0)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$AE$12+D678*$AE$13+E678*$AE$14+F678*$AE$15+G678*$AE$16+H678*$AE$17+I678*$AE$18+J678*$AE$19+K678*$AE$20+L678*$AE$21+M678*$AE$22+N678*$AE$23+O678*$AE$24+P678*$AE$25+Q678*$AE$26+R678*$AE$27+S678*$AE$28+T678*$AE$29+U678*$AE$30</f>
        <v/>
      </c>
      <c r="W678" s="8">
        <f>1/(1+EXP(-V678))</f>
        <v/>
      </c>
      <c r="X678" s="9">
        <f>-IF(C678=1,LN(W678),LN(1-W678))</f>
        <v/>
      </c>
      <c r="Y678" s="8">
        <f>1</f>
        <v/>
      </c>
      <c r="Z678" s="9">
        <f>Y678*X678</f>
        <v/>
      </c>
      <c r="AA678" s="10">
        <f>IF(W678&gt;$AE$32,1,0)</f>
        <v/>
      </c>
      <c r="AB678">
        <f>IF(AA678=C678,1,0)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$AE$12+D679*$AE$13+E679*$AE$14+F679*$AE$15+G679*$AE$16+H679*$AE$17+I679*$AE$18+J679*$AE$19+K679*$AE$20+L679*$AE$21+M679*$AE$22+N679*$AE$23+O679*$AE$24+P679*$AE$25+Q679*$AE$26+R679*$AE$27+S679*$AE$28+T679*$AE$29+U679*$AE$30</f>
        <v/>
      </c>
      <c r="W679" s="8">
        <f>1/(1+EXP(-V679))</f>
        <v/>
      </c>
      <c r="X679" s="9">
        <f>-IF(C679=1,LN(W679),LN(1-W679))</f>
        <v/>
      </c>
      <c r="Y679" s="8">
        <f>1</f>
        <v/>
      </c>
      <c r="Z679" s="9">
        <f>Y679*X679</f>
        <v/>
      </c>
      <c r="AA679" s="10">
        <f>IF(W679&gt;$AE$32,1,0)</f>
        <v/>
      </c>
      <c r="AB679">
        <f>IF(AA679=C679,1,0)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$AE$12+D680*$AE$13+E680*$AE$14+F680*$AE$15+G680*$AE$16+H680*$AE$17+I680*$AE$18+J680*$AE$19+K680*$AE$20+L680*$AE$21+M680*$AE$22+N680*$AE$23+O680*$AE$24+P680*$AE$25+Q680*$AE$26+R680*$AE$27+S680*$AE$28+T680*$AE$29+U680*$AE$30</f>
        <v/>
      </c>
      <c r="W680" s="8">
        <f>1/(1+EXP(-V680))</f>
        <v/>
      </c>
      <c r="X680" s="9">
        <f>-IF(C680=1,LN(W680),LN(1-W680))</f>
        <v/>
      </c>
      <c r="Y680" s="8">
        <f>1</f>
        <v/>
      </c>
      <c r="Z680" s="9">
        <f>Y680*X680</f>
        <v/>
      </c>
      <c r="AA680" s="10">
        <f>IF(W680&gt;$AE$32,1,0)</f>
        <v/>
      </c>
      <c r="AB680">
        <f>IF(AA680=C680,1,0)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$AE$12+D681*$AE$13+E681*$AE$14+F681*$AE$15+G681*$AE$16+H681*$AE$17+I681*$AE$18+J681*$AE$19+K681*$AE$20+L681*$AE$21+M681*$AE$22+N681*$AE$23+O681*$AE$24+P681*$AE$25+Q681*$AE$26+R681*$AE$27+S681*$AE$28+T681*$AE$29+U681*$AE$30</f>
        <v/>
      </c>
      <c r="W681" s="8">
        <f>1/(1+EXP(-V681))</f>
        <v/>
      </c>
      <c r="X681" s="9">
        <f>-IF(C681=1,LN(W681),LN(1-W681))</f>
        <v/>
      </c>
      <c r="Y681" s="8">
        <f>1</f>
        <v/>
      </c>
      <c r="Z681" s="9">
        <f>Y681*X681</f>
        <v/>
      </c>
      <c r="AA681" s="10">
        <f>IF(W681&gt;$AE$32,1,0)</f>
        <v/>
      </c>
      <c r="AB681">
        <f>IF(AA681=C681,1,0)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$AE$12+D682*$AE$13+E682*$AE$14+F682*$AE$15+G682*$AE$16+H682*$AE$17+I682*$AE$18+J682*$AE$19+K682*$AE$20+L682*$AE$21+M682*$AE$22+N682*$AE$23+O682*$AE$24+P682*$AE$25+Q682*$AE$26+R682*$AE$27+S682*$AE$28+T682*$AE$29+U682*$AE$30</f>
        <v/>
      </c>
      <c r="W682" s="8">
        <f>1/(1+EXP(-V682))</f>
        <v/>
      </c>
      <c r="X682" s="9">
        <f>-IF(C682=1,LN(W682),LN(1-W682))</f>
        <v/>
      </c>
      <c r="Y682" s="8">
        <f>1</f>
        <v/>
      </c>
      <c r="Z682" s="9">
        <f>Y682*X682</f>
        <v/>
      </c>
      <c r="AA682" s="10">
        <f>IF(W682&gt;$AE$32,1,0)</f>
        <v/>
      </c>
      <c r="AB682">
        <f>IF(AA682=C682,1,0)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$AE$12+D683*$AE$13+E683*$AE$14+F683*$AE$15+G683*$AE$16+H683*$AE$17+I683*$AE$18+J683*$AE$19+K683*$AE$20+L683*$AE$21+M683*$AE$22+N683*$AE$23+O683*$AE$24+P683*$AE$25+Q683*$AE$26+R683*$AE$27+S683*$AE$28+T683*$AE$29+U683*$AE$30</f>
        <v/>
      </c>
      <c r="W683" s="8">
        <f>1/(1+EXP(-V683))</f>
        <v/>
      </c>
      <c r="X683" s="9">
        <f>-IF(C683=1,LN(W683),LN(1-W683))</f>
        <v/>
      </c>
      <c r="Y683" s="8">
        <f>1</f>
        <v/>
      </c>
      <c r="Z683" s="9">
        <f>Y683*X683</f>
        <v/>
      </c>
      <c r="AA683" s="10">
        <f>IF(W683&gt;$AE$32,1,0)</f>
        <v/>
      </c>
      <c r="AB683">
        <f>IF(AA683=C683,1,0)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$AE$12+D684*$AE$13+E684*$AE$14+F684*$AE$15+G684*$AE$16+H684*$AE$17+I684*$AE$18+J684*$AE$19+K684*$AE$20+L684*$AE$21+M684*$AE$22+N684*$AE$23+O684*$AE$24+P684*$AE$25+Q684*$AE$26+R684*$AE$27+S684*$AE$28+T684*$AE$29+U684*$AE$30</f>
        <v/>
      </c>
      <c r="W684" s="8">
        <f>1/(1+EXP(-V684))</f>
        <v/>
      </c>
      <c r="X684" s="9">
        <f>-IF(C684=1,LN(W684),LN(1-W684))</f>
        <v/>
      </c>
      <c r="Y684" s="8">
        <f>1</f>
        <v/>
      </c>
      <c r="Z684" s="9">
        <f>Y684*X684</f>
        <v/>
      </c>
      <c r="AA684" s="10">
        <f>IF(W684&gt;$AE$32,1,0)</f>
        <v/>
      </c>
      <c r="AB684">
        <f>IF(AA684=C684,1,0)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$AE$12+D685*$AE$13+E685*$AE$14+F685*$AE$15+G685*$AE$16+H685*$AE$17+I685*$AE$18+J685*$AE$19+K685*$AE$20+L685*$AE$21+M685*$AE$22+N685*$AE$23+O685*$AE$24+P685*$AE$25+Q685*$AE$26+R685*$AE$27+S685*$AE$28+T685*$AE$29+U685*$AE$30</f>
        <v/>
      </c>
      <c r="W685" s="8">
        <f>1/(1+EXP(-V685))</f>
        <v/>
      </c>
      <c r="X685" s="9">
        <f>-IF(C685=1,LN(W685),LN(1-W685))</f>
        <v/>
      </c>
      <c r="Y685" s="8">
        <f>1</f>
        <v/>
      </c>
      <c r="Z685" s="9">
        <f>Y685*X685</f>
        <v/>
      </c>
      <c r="AA685" s="10">
        <f>IF(W685&gt;$AE$32,1,0)</f>
        <v/>
      </c>
      <c r="AB685">
        <f>IF(AA685=C685,1,0)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$AE$12+D686*$AE$13+E686*$AE$14+F686*$AE$15+G686*$AE$16+H686*$AE$17+I686*$AE$18+J686*$AE$19+K686*$AE$20+L686*$AE$21+M686*$AE$22+N686*$AE$23+O686*$AE$24+P686*$AE$25+Q686*$AE$26+R686*$AE$27+S686*$AE$28+T686*$AE$29+U686*$AE$30</f>
        <v/>
      </c>
      <c r="W686" s="8">
        <f>1/(1+EXP(-V686))</f>
        <v/>
      </c>
      <c r="X686" s="9">
        <f>-IF(C686=1,LN(W686),LN(1-W686))</f>
        <v/>
      </c>
      <c r="Y686" s="8">
        <f>1</f>
        <v/>
      </c>
      <c r="Z686" s="9">
        <f>Y686*X686</f>
        <v/>
      </c>
      <c r="AA686" s="10">
        <f>IF(W686&gt;$AE$32,1,0)</f>
        <v/>
      </c>
      <c r="AB686">
        <f>IF(AA686=C686,1,0)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$AE$12+D687*$AE$13+E687*$AE$14+F687*$AE$15+G687*$AE$16+H687*$AE$17+I687*$AE$18+J687*$AE$19+K687*$AE$20+L687*$AE$21+M687*$AE$22+N687*$AE$23+O687*$AE$24+P687*$AE$25+Q687*$AE$26+R687*$AE$27+S687*$AE$28+T687*$AE$29+U687*$AE$30</f>
        <v/>
      </c>
      <c r="W687" s="8">
        <f>1/(1+EXP(-V687))</f>
        <v/>
      </c>
      <c r="X687" s="9">
        <f>-IF(C687=1,LN(W687),LN(1-W687))</f>
        <v/>
      </c>
      <c r="Y687" s="8">
        <f>1</f>
        <v/>
      </c>
      <c r="Z687" s="9">
        <f>Y687*X687</f>
        <v/>
      </c>
      <c r="AA687" s="10">
        <f>IF(W687&gt;$AE$32,1,0)</f>
        <v/>
      </c>
      <c r="AB687">
        <f>IF(AA687=C687,1,0)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$AE$12+D688*$AE$13+E688*$AE$14+F688*$AE$15+G688*$AE$16+H688*$AE$17+I688*$AE$18+J688*$AE$19+K688*$AE$20+L688*$AE$21+M688*$AE$22+N688*$AE$23+O688*$AE$24+P688*$AE$25+Q688*$AE$26+R688*$AE$27+S688*$AE$28+T688*$AE$29+U688*$AE$30</f>
        <v/>
      </c>
      <c r="W688" s="8">
        <f>1/(1+EXP(-V688))</f>
        <v/>
      </c>
      <c r="X688" s="9">
        <f>-IF(C688=1,LN(W688),LN(1-W688))</f>
        <v/>
      </c>
      <c r="Y688" s="8">
        <f>1</f>
        <v/>
      </c>
      <c r="Z688" s="9">
        <f>Y688*X688</f>
        <v/>
      </c>
      <c r="AA688" s="10">
        <f>IF(W688&gt;$AE$32,1,0)</f>
        <v/>
      </c>
      <c r="AB688">
        <f>IF(AA688=C688,1,0)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$AE$12+D689*$AE$13+E689*$AE$14+F689*$AE$15+G689*$AE$16+H689*$AE$17+I689*$AE$18+J689*$AE$19+K689*$AE$20+L689*$AE$21+M689*$AE$22+N689*$AE$23+O689*$AE$24+P689*$AE$25+Q689*$AE$26+R689*$AE$27+S689*$AE$28+T689*$AE$29+U689*$AE$30</f>
        <v/>
      </c>
      <c r="W689" s="8">
        <f>1/(1+EXP(-V689))</f>
        <v/>
      </c>
      <c r="X689" s="9">
        <f>-IF(C689=1,LN(W689),LN(1-W689))</f>
        <v/>
      </c>
      <c r="Y689" s="8">
        <f>1</f>
        <v/>
      </c>
      <c r="Z689" s="9">
        <f>Y689*X689</f>
        <v/>
      </c>
      <c r="AA689" s="10">
        <f>IF(W689&gt;$AE$32,1,0)</f>
        <v/>
      </c>
      <c r="AB689">
        <f>IF(AA689=C689,1,0)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$AE$12+D690*$AE$13+E690*$AE$14+F690*$AE$15+G690*$AE$16+H690*$AE$17+I690*$AE$18+J690*$AE$19+K690*$AE$20+L690*$AE$21+M690*$AE$22+N690*$AE$23+O690*$AE$24+P690*$AE$25+Q690*$AE$26+R690*$AE$27+S690*$AE$28+T690*$AE$29+U690*$AE$30</f>
        <v/>
      </c>
      <c r="W690" s="8">
        <f>1/(1+EXP(-V690))</f>
        <v/>
      </c>
      <c r="X690" s="9">
        <f>-IF(C690=1,LN(W690),LN(1-W690))</f>
        <v/>
      </c>
      <c r="Y690" s="8">
        <f>1</f>
        <v/>
      </c>
      <c r="Z690" s="9">
        <f>Y690*X690</f>
        <v/>
      </c>
      <c r="AA690" s="10">
        <f>IF(W690&gt;$AE$32,1,0)</f>
        <v/>
      </c>
      <c r="AB690">
        <f>IF(AA690=C690,1,0)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$AE$12+D691*$AE$13+E691*$AE$14+F691*$AE$15+G691*$AE$16+H691*$AE$17+I691*$AE$18+J691*$AE$19+K691*$AE$20+L691*$AE$21+M691*$AE$22+N691*$AE$23+O691*$AE$24+P691*$AE$25+Q691*$AE$26+R691*$AE$27+S691*$AE$28+T691*$AE$29+U691*$AE$30</f>
        <v/>
      </c>
      <c r="W691" s="8">
        <f>1/(1+EXP(-V691))</f>
        <v/>
      </c>
      <c r="X691" s="9">
        <f>-IF(C691=1,LN(W691),LN(1-W691))</f>
        <v/>
      </c>
      <c r="Y691" s="8">
        <f>1</f>
        <v/>
      </c>
      <c r="Z691" s="9">
        <f>Y691*X691</f>
        <v/>
      </c>
      <c r="AA691" s="10">
        <f>IF(W691&gt;$AE$32,1,0)</f>
        <v/>
      </c>
      <c r="AB691">
        <f>IF(AA691=C691,1,0)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$AE$12+D692*$AE$13+E692*$AE$14+F692*$AE$15+G692*$AE$16+H692*$AE$17+I692*$AE$18+J692*$AE$19+K692*$AE$20+L692*$AE$21+M692*$AE$22+N692*$AE$23+O692*$AE$24+P692*$AE$25+Q692*$AE$26+R692*$AE$27+S692*$AE$28+T692*$AE$29+U692*$AE$30</f>
        <v/>
      </c>
      <c r="W692" s="8">
        <f>1/(1+EXP(-V692))</f>
        <v/>
      </c>
      <c r="X692" s="9">
        <f>-IF(C692=1,LN(W692),LN(1-W692))</f>
        <v/>
      </c>
      <c r="Y692" s="8">
        <f>1</f>
        <v/>
      </c>
      <c r="Z692" s="9">
        <f>Y692*X692</f>
        <v/>
      </c>
      <c r="AA692" s="10">
        <f>IF(W692&gt;$AE$32,1,0)</f>
        <v/>
      </c>
      <c r="AB692">
        <f>IF(AA692=C692,1,0)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$AE$12+D693*$AE$13+E693*$AE$14+F693*$AE$15+G693*$AE$16+H693*$AE$17+I693*$AE$18+J693*$AE$19+K693*$AE$20+L693*$AE$21+M693*$AE$22+N693*$AE$23+O693*$AE$24+P693*$AE$25+Q693*$AE$26+R693*$AE$27+S693*$AE$28+T693*$AE$29+U693*$AE$30</f>
        <v/>
      </c>
      <c r="W693" s="8">
        <f>1/(1+EXP(-V693))</f>
        <v/>
      </c>
      <c r="X693" s="9">
        <f>-IF(C693=1,LN(W693),LN(1-W693))</f>
        <v/>
      </c>
      <c r="Y693" s="8">
        <f>1</f>
        <v/>
      </c>
      <c r="Z693" s="9">
        <f>Y693*X693</f>
        <v/>
      </c>
      <c r="AA693" s="10">
        <f>IF(W693&gt;$AE$32,1,0)</f>
        <v/>
      </c>
      <c r="AB693">
        <f>IF(AA693=C693,1,0)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$AE$12+D694*$AE$13+E694*$AE$14+F694*$AE$15+G694*$AE$16+H694*$AE$17+I694*$AE$18+J694*$AE$19+K694*$AE$20+L694*$AE$21+M694*$AE$22+N694*$AE$23+O694*$AE$24+P694*$AE$25+Q694*$AE$26+R694*$AE$27+S694*$AE$28+T694*$AE$29+U694*$AE$30</f>
        <v/>
      </c>
      <c r="W694" s="8">
        <f>1/(1+EXP(-V694))</f>
        <v/>
      </c>
      <c r="X694" s="9">
        <f>-IF(C694=1,LN(W694),LN(1-W694))</f>
        <v/>
      </c>
      <c r="Y694" s="8">
        <f>1</f>
        <v/>
      </c>
      <c r="Z694" s="9">
        <f>Y694*X694</f>
        <v/>
      </c>
      <c r="AA694" s="10">
        <f>IF(W694&gt;$AE$32,1,0)</f>
        <v/>
      </c>
      <c r="AB694">
        <f>IF(AA694=C694,1,0)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$AE$12+D695*$AE$13+E695*$AE$14+F695*$AE$15+G695*$AE$16+H695*$AE$17+I695*$AE$18+J695*$AE$19+K695*$AE$20+L695*$AE$21+M695*$AE$22+N695*$AE$23+O695*$AE$24+P695*$AE$25+Q695*$AE$26+R695*$AE$27+S695*$AE$28+T695*$AE$29+U695*$AE$30</f>
        <v/>
      </c>
      <c r="W695" s="8">
        <f>1/(1+EXP(-V695))</f>
        <v/>
      </c>
      <c r="X695" s="9">
        <f>-IF(C695=1,LN(W695),LN(1-W695))</f>
        <v/>
      </c>
      <c r="Y695" s="8">
        <f>1</f>
        <v/>
      </c>
      <c r="Z695" s="9">
        <f>Y695*X695</f>
        <v/>
      </c>
      <c r="AA695" s="10">
        <f>IF(W695&gt;$AE$32,1,0)</f>
        <v/>
      </c>
      <c r="AB695">
        <f>IF(AA695=C695,1,0)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$AE$12+D696*$AE$13+E696*$AE$14+F696*$AE$15+G696*$AE$16+H696*$AE$17+I696*$AE$18+J696*$AE$19+K696*$AE$20+L696*$AE$21+M696*$AE$22+N696*$AE$23+O696*$AE$24+P696*$AE$25+Q696*$AE$26+R696*$AE$27+S696*$AE$28+T696*$AE$29+U696*$AE$30</f>
        <v/>
      </c>
      <c r="W696" s="8">
        <f>1/(1+EXP(-V696))</f>
        <v/>
      </c>
      <c r="X696" s="9">
        <f>-IF(C696=1,LN(W696),LN(1-W696))</f>
        <v/>
      </c>
      <c r="Y696" s="8">
        <f>1</f>
        <v/>
      </c>
      <c r="Z696" s="9">
        <f>Y696*X696</f>
        <v/>
      </c>
      <c r="AA696" s="10">
        <f>IF(W696&gt;$AE$32,1,0)</f>
        <v/>
      </c>
      <c r="AB696">
        <f>IF(AA696=C696,1,0)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$AE$12+D697*$AE$13+E697*$AE$14+F697*$AE$15+G697*$AE$16+H697*$AE$17+I697*$AE$18+J697*$AE$19+K697*$AE$20+L697*$AE$21+M697*$AE$22+N697*$AE$23+O697*$AE$24+P697*$AE$25+Q697*$AE$26+R697*$AE$27+S697*$AE$28+T697*$AE$29+U697*$AE$30</f>
        <v/>
      </c>
      <c r="W697" s="8">
        <f>1/(1+EXP(-V697))</f>
        <v/>
      </c>
      <c r="X697" s="9">
        <f>-IF(C697=1,LN(W697),LN(1-W697))</f>
        <v/>
      </c>
      <c r="Y697" s="8">
        <f>1</f>
        <v/>
      </c>
      <c r="Z697" s="9">
        <f>Y697*X697</f>
        <v/>
      </c>
      <c r="AA697" s="10">
        <f>IF(W697&gt;$AE$32,1,0)</f>
        <v/>
      </c>
      <c r="AB697">
        <f>IF(AA697=C697,1,0)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$AE$12+D698*$AE$13+E698*$AE$14+F698*$AE$15+G698*$AE$16+H698*$AE$17+I698*$AE$18+J698*$AE$19+K698*$AE$20+L698*$AE$21+M698*$AE$22+N698*$AE$23+O698*$AE$24+P698*$AE$25+Q698*$AE$26+R698*$AE$27+S698*$AE$28+T698*$AE$29+U698*$AE$30</f>
        <v/>
      </c>
      <c r="W698" s="8">
        <f>1/(1+EXP(-V698))</f>
        <v/>
      </c>
      <c r="X698" s="9">
        <f>-IF(C698=1,LN(W698),LN(1-W698))</f>
        <v/>
      </c>
      <c r="Y698" s="8">
        <f>1</f>
        <v/>
      </c>
      <c r="Z698" s="9">
        <f>Y698*X698</f>
        <v/>
      </c>
      <c r="AA698" s="10">
        <f>IF(W698&gt;$AE$32,1,0)</f>
        <v/>
      </c>
      <c r="AB698">
        <f>IF(AA698=C698,1,0)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$AE$12+D699*$AE$13+E699*$AE$14+F699*$AE$15+G699*$AE$16+H699*$AE$17+I699*$AE$18+J699*$AE$19+K699*$AE$20+L699*$AE$21+M699*$AE$22+N699*$AE$23+O699*$AE$24+P699*$AE$25+Q699*$AE$26+R699*$AE$27+S699*$AE$28+T699*$AE$29+U699*$AE$30</f>
        <v/>
      </c>
      <c r="W699" s="8">
        <f>1/(1+EXP(-V699))</f>
        <v/>
      </c>
      <c r="X699" s="9">
        <f>-IF(C699=1,LN(W699),LN(1-W699))</f>
        <v/>
      </c>
      <c r="Y699" s="8">
        <f>1</f>
        <v/>
      </c>
      <c r="Z699" s="9">
        <f>Y699*X699</f>
        <v/>
      </c>
      <c r="AA699" s="10">
        <f>IF(W699&gt;$AE$32,1,0)</f>
        <v/>
      </c>
      <c r="AB699">
        <f>IF(AA699=C699,1,0)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$AE$12+D700*$AE$13+E700*$AE$14+F700*$AE$15+G700*$AE$16+H700*$AE$17+I700*$AE$18+J700*$AE$19+K700*$AE$20+L700*$AE$21+M700*$AE$22+N700*$AE$23+O700*$AE$24+P700*$AE$25+Q700*$AE$26+R700*$AE$27+S700*$AE$28+T700*$AE$29+U700*$AE$30</f>
        <v/>
      </c>
      <c r="W700" s="8">
        <f>1/(1+EXP(-V700))</f>
        <v/>
      </c>
      <c r="X700" s="9">
        <f>-IF(C700=1,LN(W700),LN(1-W700))</f>
        <v/>
      </c>
      <c r="Y700" s="8">
        <f>1</f>
        <v/>
      </c>
      <c r="Z700" s="9">
        <f>Y700*X700</f>
        <v/>
      </c>
      <c r="AA700" s="10">
        <f>IF(W700&gt;$AE$32,1,0)</f>
        <v/>
      </c>
      <c r="AB700">
        <f>IF(AA700=C700,1,0)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$AE$12+D701*$AE$13+E701*$AE$14+F701*$AE$15+G701*$AE$16+H701*$AE$17+I701*$AE$18+J701*$AE$19+K701*$AE$20+L701*$AE$21+M701*$AE$22+N701*$AE$23+O701*$AE$24+P701*$AE$25+Q701*$AE$26+R701*$AE$27+S701*$AE$28+T701*$AE$29+U701*$AE$30</f>
        <v/>
      </c>
      <c r="W701" s="8">
        <f>1/(1+EXP(-V701))</f>
        <v/>
      </c>
      <c r="X701" s="9">
        <f>-IF(C701=1,LN(W701),LN(1-W701))</f>
        <v/>
      </c>
      <c r="Y701" s="8">
        <f>1</f>
        <v/>
      </c>
      <c r="Z701" s="9">
        <f>Y701*X701</f>
        <v/>
      </c>
      <c r="AA701" s="10">
        <f>IF(W701&gt;$AE$32,1,0)</f>
        <v/>
      </c>
      <c r="AB701">
        <f>IF(AA701=C701,1,0)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$AE$12+D702*$AE$13+E702*$AE$14+F702*$AE$15+G702*$AE$16+H702*$AE$17+I702*$AE$18+J702*$AE$19+K702*$AE$20+L702*$AE$21+M702*$AE$22+N702*$AE$23+O702*$AE$24+P702*$AE$25+Q702*$AE$26+R702*$AE$27+S702*$AE$28+T702*$AE$29+U702*$AE$30</f>
        <v/>
      </c>
      <c r="W702" s="8">
        <f>1/(1+EXP(-V702))</f>
        <v/>
      </c>
      <c r="X702" s="9">
        <f>-IF(C702=1,LN(W702),LN(1-W702))</f>
        <v/>
      </c>
      <c r="Y702" s="8">
        <f>1</f>
        <v/>
      </c>
      <c r="Z702" s="9">
        <f>Y702*X702</f>
        <v/>
      </c>
      <c r="AA702" s="10">
        <f>IF(W702&gt;$AE$32,1,0)</f>
        <v/>
      </c>
      <c r="AB702">
        <f>IF(AA702=C702,1,0)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$AE$12+D703*$AE$13+E703*$AE$14+F703*$AE$15+G703*$AE$16+H703*$AE$17+I703*$AE$18+J703*$AE$19+K703*$AE$20+L703*$AE$21+M703*$AE$22+N703*$AE$23+O703*$AE$24+P703*$AE$25+Q703*$AE$26+R703*$AE$27+S703*$AE$28+T703*$AE$29+U703*$AE$30</f>
        <v/>
      </c>
      <c r="W703" s="8">
        <f>1/(1+EXP(-V703))</f>
        <v/>
      </c>
      <c r="X703" s="9">
        <f>-IF(C703=1,LN(W703),LN(1-W703))</f>
        <v/>
      </c>
      <c r="Y703" s="8">
        <f>1</f>
        <v/>
      </c>
      <c r="Z703" s="9">
        <f>Y703*X703</f>
        <v/>
      </c>
      <c r="AA703" s="10">
        <f>IF(W703&gt;$AE$32,1,0)</f>
        <v/>
      </c>
      <c r="AB703">
        <f>IF(AA703=C703,1,0)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$AE$12+D704*$AE$13+E704*$AE$14+F704*$AE$15+G704*$AE$16+H704*$AE$17+I704*$AE$18+J704*$AE$19+K704*$AE$20+L704*$AE$21+M704*$AE$22+N704*$AE$23+O704*$AE$24+P704*$AE$25+Q704*$AE$26+R704*$AE$27+S704*$AE$28+T704*$AE$29+U704*$AE$30</f>
        <v/>
      </c>
      <c r="W704" s="8">
        <f>1/(1+EXP(-V704))</f>
        <v/>
      </c>
      <c r="X704" s="9">
        <f>-IF(C704=1,LN(W704),LN(1-W704))</f>
        <v/>
      </c>
      <c r="Y704" s="8">
        <f>1</f>
        <v/>
      </c>
      <c r="Z704" s="9">
        <f>Y704*X704</f>
        <v/>
      </c>
      <c r="AA704" s="10">
        <f>IF(W704&gt;$AE$32,1,0)</f>
        <v/>
      </c>
      <c r="AB704">
        <f>IF(AA704=C704,1,0)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$AE$12+D705*$AE$13+E705*$AE$14+F705*$AE$15+G705*$AE$16+H705*$AE$17+I705*$AE$18+J705*$AE$19+K705*$AE$20+L705*$AE$21+M705*$AE$22+N705*$AE$23+O705*$AE$24+P705*$AE$25+Q705*$AE$26+R705*$AE$27+S705*$AE$28+T705*$AE$29+U705*$AE$30</f>
        <v/>
      </c>
      <c r="W705" s="8">
        <f>1/(1+EXP(-V705))</f>
        <v/>
      </c>
      <c r="X705" s="9">
        <f>-IF(C705=1,LN(W705),LN(1-W705))</f>
        <v/>
      </c>
      <c r="Y705" s="8">
        <f>1</f>
        <v/>
      </c>
      <c r="Z705" s="9">
        <f>Y705*X705</f>
        <v/>
      </c>
      <c r="AA705" s="10">
        <f>IF(W705&gt;$AE$32,1,0)</f>
        <v/>
      </c>
      <c r="AB705">
        <f>IF(AA705=C705,1,0)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$AE$12+D706*$AE$13+E706*$AE$14+F706*$AE$15+G706*$AE$16+H706*$AE$17+I706*$AE$18+J706*$AE$19+K706*$AE$20+L706*$AE$21+M706*$AE$22+N706*$AE$23+O706*$AE$24+P706*$AE$25+Q706*$AE$26+R706*$AE$27+S706*$AE$28+T706*$AE$29+U706*$AE$30</f>
        <v/>
      </c>
      <c r="W706" s="8">
        <f>1/(1+EXP(-V706))</f>
        <v/>
      </c>
      <c r="X706" s="9">
        <f>-IF(C706=1,LN(W706),LN(1-W706))</f>
        <v/>
      </c>
      <c r="Y706" s="8">
        <f>1</f>
        <v/>
      </c>
      <c r="Z706" s="9">
        <f>Y706*X706</f>
        <v/>
      </c>
      <c r="AA706" s="10">
        <f>IF(W706&gt;$AE$32,1,0)</f>
        <v/>
      </c>
      <c r="AB706">
        <f>IF(AA706=C706,1,0)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$AE$12+D707*$AE$13+E707*$AE$14+F707*$AE$15+G707*$AE$16+H707*$AE$17+I707*$AE$18+J707*$AE$19+K707*$AE$20+L707*$AE$21+M707*$AE$22+N707*$AE$23+O707*$AE$24+P707*$AE$25+Q707*$AE$26+R707*$AE$27+S707*$AE$28+T707*$AE$29+U707*$AE$30</f>
        <v/>
      </c>
      <c r="W707" s="8">
        <f>1/(1+EXP(-V707))</f>
        <v/>
      </c>
      <c r="X707" s="9">
        <f>-IF(C707=1,LN(W707),LN(1-W707))</f>
        <v/>
      </c>
      <c r="Y707" s="8">
        <f>1</f>
        <v/>
      </c>
      <c r="Z707" s="9">
        <f>Y707*X707</f>
        <v/>
      </c>
      <c r="AA707" s="10">
        <f>IF(W707&gt;$AE$32,1,0)</f>
        <v/>
      </c>
      <c r="AB707">
        <f>IF(AA707=C707,1,0)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$AE$12+D708*$AE$13+E708*$AE$14+F708*$AE$15+G708*$AE$16+H708*$AE$17+I708*$AE$18+J708*$AE$19+K708*$AE$20+L708*$AE$21+M708*$AE$22+N708*$AE$23+O708*$AE$24+P708*$AE$25+Q708*$AE$26+R708*$AE$27+S708*$AE$28+T708*$AE$29+U708*$AE$30</f>
        <v/>
      </c>
      <c r="W708" s="8">
        <f>1/(1+EXP(-V708))</f>
        <v/>
      </c>
      <c r="X708" s="9">
        <f>-IF(C708=1,LN(W708),LN(1-W708))</f>
        <v/>
      </c>
      <c r="Y708" s="8">
        <f>1</f>
        <v/>
      </c>
      <c r="Z708" s="9">
        <f>Y708*X708</f>
        <v/>
      </c>
      <c r="AA708" s="10">
        <f>IF(W708&gt;$AE$32,1,0)</f>
        <v/>
      </c>
      <c r="AB708">
        <f>IF(AA708=C708,1,0)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$AE$12+D709*$AE$13+E709*$AE$14+F709*$AE$15+G709*$AE$16+H709*$AE$17+I709*$AE$18+J709*$AE$19+K709*$AE$20+L709*$AE$21+M709*$AE$22+N709*$AE$23+O709*$AE$24+P709*$AE$25+Q709*$AE$26+R709*$AE$27+S709*$AE$28+T709*$AE$29+U709*$AE$30</f>
        <v/>
      </c>
      <c r="W709" s="8">
        <f>1/(1+EXP(-V709))</f>
        <v/>
      </c>
      <c r="X709" s="9">
        <f>-IF(C709=1,LN(W709),LN(1-W709))</f>
        <v/>
      </c>
      <c r="Y709" s="8">
        <f>1</f>
        <v/>
      </c>
      <c r="Z709" s="9">
        <f>Y709*X709</f>
        <v/>
      </c>
      <c r="AA709" s="10">
        <f>IF(W709&gt;$AE$32,1,0)</f>
        <v/>
      </c>
      <c r="AB709">
        <f>IF(AA709=C709,1,0)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$AE$12+D710*$AE$13+E710*$AE$14+F710*$AE$15+G710*$AE$16+H710*$AE$17+I710*$AE$18+J710*$AE$19+K710*$AE$20+L710*$AE$21+M710*$AE$22+N710*$AE$23+O710*$AE$24+P710*$AE$25+Q710*$AE$26+R710*$AE$27+S710*$AE$28+T710*$AE$29+U710*$AE$30</f>
        <v/>
      </c>
      <c r="W710" s="8">
        <f>1/(1+EXP(-V710))</f>
        <v/>
      </c>
      <c r="X710" s="9">
        <f>-IF(C710=1,LN(W710),LN(1-W710))</f>
        <v/>
      </c>
      <c r="Y710" s="8">
        <f>1</f>
        <v/>
      </c>
      <c r="Z710" s="9">
        <f>Y710*X710</f>
        <v/>
      </c>
      <c r="AA710" s="10">
        <f>IF(W710&gt;$AE$32,1,0)</f>
        <v/>
      </c>
      <c r="AB710">
        <f>IF(AA710=C710,1,0)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$AE$12+D711*$AE$13+E711*$AE$14+F711*$AE$15+G711*$AE$16+H711*$AE$17+I711*$AE$18+J711*$AE$19+K711*$AE$20+L711*$AE$21+M711*$AE$22+N711*$AE$23+O711*$AE$24+P711*$AE$25+Q711*$AE$26+R711*$AE$27+S711*$AE$28+T711*$AE$29+U711*$AE$30</f>
        <v/>
      </c>
      <c r="W711" s="8">
        <f>1/(1+EXP(-V711))</f>
        <v/>
      </c>
      <c r="X711" s="9">
        <f>-IF(C711=1,LN(W711),LN(1-W711))</f>
        <v/>
      </c>
      <c r="Y711" s="8">
        <f>1</f>
        <v/>
      </c>
      <c r="Z711" s="9">
        <f>Y711*X711</f>
        <v/>
      </c>
      <c r="AA711" s="10">
        <f>IF(W711&gt;$AE$32,1,0)</f>
        <v/>
      </c>
      <c r="AB711">
        <f>IF(AA711=C711,1,0)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$AE$12+D712*$AE$13+E712*$AE$14+F712*$AE$15+G712*$AE$16+H712*$AE$17+I712*$AE$18+J712*$AE$19+K712*$AE$20+L712*$AE$21+M712*$AE$22+N712*$AE$23+O712*$AE$24+P712*$AE$25+Q712*$AE$26+R712*$AE$27+S712*$AE$28+T712*$AE$29+U712*$AE$30</f>
        <v/>
      </c>
      <c r="W712" s="8">
        <f>1/(1+EXP(-V712))</f>
        <v/>
      </c>
      <c r="X712" s="9">
        <f>-IF(C712=1,LN(W712),LN(1-W712))</f>
        <v/>
      </c>
      <c r="Y712" s="8">
        <f>1</f>
        <v/>
      </c>
      <c r="Z712" s="9">
        <f>Y712*X712</f>
        <v/>
      </c>
      <c r="AA712" s="10">
        <f>IF(W712&gt;$AE$32,1,0)</f>
        <v/>
      </c>
      <c r="AB712">
        <f>IF(AA712=C712,1,0)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$AE$12+D713*$AE$13+E713*$AE$14+F713*$AE$15+G713*$AE$16+H713*$AE$17+I713*$AE$18+J713*$AE$19+K713*$AE$20+L713*$AE$21+M713*$AE$22+N713*$AE$23+O713*$AE$24+P713*$AE$25+Q713*$AE$26+R713*$AE$27+S713*$AE$28+T713*$AE$29+U713*$AE$30</f>
        <v/>
      </c>
      <c r="W713" s="8">
        <f>1/(1+EXP(-V713))</f>
        <v/>
      </c>
      <c r="X713" s="9">
        <f>-IF(C713=1,LN(W713),LN(1-W713))</f>
        <v/>
      </c>
      <c r="Y713" s="8">
        <f>1</f>
        <v/>
      </c>
      <c r="Z713" s="9">
        <f>Y713*X713</f>
        <v/>
      </c>
      <c r="AA713" s="10">
        <f>IF(W713&gt;$AE$32,1,0)</f>
        <v/>
      </c>
      <c r="AB713">
        <f>IF(AA713=C713,1,0)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$AE$12+D714*$AE$13+E714*$AE$14+F714*$AE$15+G714*$AE$16+H714*$AE$17+I714*$AE$18+J714*$AE$19+K714*$AE$20+L714*$AE$21+M714*$AE$22+N714*$AE$23+O714*$AE$24+P714*$AE$25+Q714*$AE$26+R714*$AE$27+S714*$AE$28+T714*$AE$29+U714*$AE$30</f>
        <v/>
      </c>
      <c r="W714" s="8">
        <f>1/(1+EXP(-V714))</f>
        <v/>
      </c>
      <c r="X714" s="9">
        <f>-IF(C714=1,LN(W714),LN(1-W714))</f>
        <v/>
      </c>
      <c r="Y714" s="8">
        <f>1</f>
        <v/>
      </c>
      <c r="Z714" s="9">
        <f>Y714*X714</f>
        <v/>
      </c>
      <c r="AA714" s="10">
        <f>IF(W714&gt;$AE$32,1,0)</f>
        <v/>
      </c>
      <c r="AB714">
        <f>IF(AA714=C714,1,0)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$AE$12+D715*$AE$13+E715*$AE$14+F715*$AE$15+G715*$AE$16+H715*$AE$17+I715*$AE$18+J715*$AE$19+K715*$AE$20+L715*$AE$21+M715*$AE$22+N715*$AE$23+O715*$AE$24+P715*$AE$25+Q715*$AE$26+R715*$AE$27+S715*$AE$28+T715*$AE$29+U715*$AE$30</f>
        <v/>
      </c>
      <c r="W715" s="8">
        <f>1/(1+EXP(-V715))</f>
        <v/>
      </c>
      <c r="X715" s="9">
        <f>-IF(C715=1,LN(W715),LN(1-W715))</f>
        <v/>
      </c>
      <c r="Y715" s="8">
        <f>1</f>
        <v/>
      </c>
      <c r="Z715" s="9">
        <f>Y715*X715</f>
        <v/>
      </c>
      <c r="AA715" s="10">
        <f>IF(W715&gt;$AE$32,1,0)</f>
        <v/>
      </c>
      <c r="AB715">
        <f>IF(AA715=C715,1,0)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$AE$12+D716*$AE$13+E716*$AE$14+F716*$AE$15+G716*$AE$16+H716*$AE$17+I716*$AE$18+J716*$AE$19+K716*$AE$20+L716*$AE$21+M716*$AE$22+N716*$AE$23+O716*$AE$24+P716*$AE$25+Q716*$AE$26+R716*$AE$27+S716*$AE$28+T716*$AE$29+U716*$AE$30</f>
        <v/>
      </c>
      <c r="W716" s="8">
        <f>1/(1+EXP(-V716))</f>
        <v/>
      </c>
      <c r="X716" s="9">
        <f>-IF(C716=1,LN(W716),LN(1-W716))</f>
        <v/>
      </c>
      <c r="Y716" s="8">
        <f>1</f>
        <v/>
      </c>
      <c r="Z716" s="9">
        <f>Y716*X716</f>
        <v/>
      </c>
      <c r="AA716" s="10">
        <f>IF(W716&gt;$AE$32,1,0)</f>
        <v/>
      </c>
      <c r="AB716">
        <f>IF(AA716=C716,1,0)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$AE$12+D717*$AE$13+E717*$AE$14+F717*$AE$15+G717*$AE$16+H717*$AE$17+I717*$AE$18+J717*$AE$19+K717*$AE$20+L717*$AE$21+M717*$AE$22+N717*$AE$23+O717*$AE$24+P717*$AE$25+Q717*$AE$26+R717*$AE$27+S717*$AE$28+T717*$AE$29+U717*$AE$30</f>
        <v/>
      </c>
      <c r="W717" s="8">
        <f>1/(1+EXP(-V717))</f>
        <v/>
      </c>
      <c r="X717" s="9">
        <f>-IF(C717=1,LN(W717),LN(1-W717))</f>
        <v/>
      </c>
      <c r="Y717" s="8">
        <f>1</f>
        <v/>
      </c>
      <c r="Z717" s="9">
        <f>Y717*X717</f>
        <v/>
      </c>
      <c r="AA717" s="10">
        <f>IF(W717&gt;$AE$32,1,0)</f>
        <v/>
      </c>
      <c r="AB717">
        <f>IF(AA717=C717,1,0)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$AE$12+D718*$AE$13+E718*$AE$14+F718*$AE$15+G718*$AE$16+H718*$AE$17+I718*$AE$18+J718*$AE$19+K718*$AE$20+L718*$AE$21+M718*$AE$22+N718*$AE$23+O718*$AE$24+P718*$AE$25+Q718*$AE$26+R718*$AE$27+S718*$AE$28+T718*$AE$29+U718*$AE$30</f>
        <v/>
      </c>
      <c r="W718" s="8">
        <f>1/(1+EXP(-V718))</f>
        <v/>
      </c>
      <c r="X718" s="9">
        <f>-IF(C718=1,LN(W718),LN(1-W718))</f>
        <v/>
      </c>
      <c r="Y718" s="8">
        <f>1</f>
        <v/>
      </c>
      <c r="Z718" s="9">
        <f>Y718*X718</f>
        <v/>
      </c>
      <c r="AA718" s="10">
        <f>IF(W718&gt;$AE$32,1,0)</f>
        <v/>
      </c>
      <c r="AB718">
        <f>IF(AA718=C718,1,0)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$AE$12+D719*$AE$13+E719*$AE$14+F719*$AE$15+G719*$AE$16+H719*$AE$17+I719*$AE$18+J719*$AE$19+K719*$AE$20+L719*$AE$21+M719*$AE$22+N719*$AE$23+O719*$AE$24+P719*$AE$25+Q719*$AE$26+R719*$AE$27+S719*$AE$28+T719*$AE$29+U719*$AE$30</f>
        <v/>
      </c>
      <c r="W719" s="8">
        <f>1/(1+EXP(-V719))</f>
        <v/>
      </c>
      <c r="X719" s="9">
        <f>-IF(C719=1,LN(W719),LN(1-W719))</f>
        <v/>
      </c>
      <c r="Y719" s="8">
        <f>1</f>
        <v/>
      </c>
      <c r="Z719" s="9">
        <f>Y719*X719</f>
        <v/>
      </c>
      <c r="AA719" s="10">
        <f>IF(W719&gt;$AE$32,1,0)</f>
        <v/>
      </c>
      <c r="AB719">
        <f>IF(AA719=C719,1,0)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$AE$12+D720*$AE$13+E720*$AE$14+F720*$AE$15+G720*$AE$16+H720*$AE$17+I720*$AE$18+J720*$AE$19+K720*$AE$20+L720*$AE$21+M720*$AE$22+N720*$AE$23+O720*$AE$24+P720*$AE$25+Q720*$AE$26+R720*$AE$27+S720*$AE$28+T720*$AE$29+U720*$AE$30</f>
        <v/>
      </c>
      <c r="W720" s="8">
        <f>1/(1+EXP(-V720))</f>
        <v/>
      </c>
      <c r="X720" s="9">
        <f>-IF(C720=1,LN(W720),LN(1-W720))</f>
        <v/>
      </c>
      <c r="Y720" s="8">
        <f>1</f>
        <v/>
      </c>
      <c r="Z720" s="9">
        <f>Y720*X720</f>
        <v/>
      </c>
      <c r="AA720" s="10">
        <f>IF(W720&gt;$AE$32,1,0)</f>
        <v/>
      </c>
      <c r="AB720">
        <f>IF(AA720=C720,1,0)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$AE$12+D721*$AE$13+E721*$AE$14+F721*$AE$15+G721*$AE$16+H721*$AE$17+I721*$AE$18+J721*$AE$19+K721*$AE$20+L721*$AE$21+M721*$AE$22+N721*$AE$23+O721*$AE$24+P721*$AE$25+Q721*$AE$26+R721*$AE$27+S721*$AE$28+T721*$AE$29+U721*$AE$30</f>
        <v/>
      </c>
      <c r="W721" s="8">
        <f>1/(1+EXP(-V721))</f>
        <v/>
      </c>
      <c r="X721" s="9">
        <f>-IF(C721=1,LN(W721),LN(1-W721))</f>
        <v/>
      </c>
      <c r="Y721" s="8">
        <f>1</f>
        <v/>
      </c>
      <c r="Z721" s="9">
        <f>Y721*X721</f>
        <v/>
      </c>
      <c r="AA721" s="10">
        <f>IF(W721&gt;$AE$32,1,0)</f>
        <v/>
      </c>
      <c r="AB721">
        <f>IF(AA721=C721,1,0)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$AE$12+D722*$AE$13+E722*$AE$14+F722*$AE$15+G722*$AE$16+H722*$AE$17+I722*$AE$18+J722*$AE$19+K722*$AE$20+L722*$AE$21+M722*$AE$22+N722*$AE$23+O722*$AE$24+P722*$AE$25+Q722*$AE$26+R722*$AE$27+S722*$AE$28+T722*$AE$29+U722*$AE$30</f>
        <v/>
      </c>
      <c r="W722" s="8">
        <f>1/(1+EXP(-V722))</f>
        <v/>
      </c>
      <c r="X722" s="9">
        <f>-IF(C722=1,LN(W722),LN(1-W722))</f>
        <v/>
      </c>
      <c r="Y722" s="8">
        <f>1</f>
        <v/>
      </c>
      <c r="Z722" s="9">
        <f>Y722*X722</f>
        <v/>
      </c>
      <c r="AA722" s="10">
        <f>IF(W722&gt;$AE$32,1,0)</f>
        <v/>
      </c>
      <c r="AB722">
        <f>IF(AA722=C722,1,0)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$AE$12+D723*$AE$13+E723*$AE$14+F723*$AE$15+G723*$AE$16+H723*$AE$17+I723*$AE$18+J723*$AE$19+K723*$AE$20+L723*$AE$21+M723*$AE$22+N723*$AE$23+O723*$AE$24+P723*$AE$25+Q723*$AE$26+R723*$AE$27+S723*$AE$28+T723*$AE$29+U723*$AE$30</f>
        <v/>
      </c>
      <c r="W723" s="8">
        <f>1/(1+EXP(-V723))</f>
        <v/>
      </c>
      <c r="X723" s="9">
        <f>-IF(C723=1,LN(W723),LN(1-W723))</f>
        <v/>
      </c>
      <c r="Y723" s="8">
        <f>1</f>
        <v/>
      </c>
      <c r="Z723" s="9">
        <f>Y723*X723</f>
        <v/>
      </c>
      <c r="AA723" s="10">
        <f>IF(W723&gt;$AE$32,1,0)</f>
        <v/>
      </c>
      <c r="AB723">
        <f>IF(AA723=C723,1,0)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$AE$12+D724*$AE$13+E724*$AE$14+F724*$AE$15+G724*$AE$16+H724*$AE$17+I724*$AE$18+J724*$AE$19+K724*$AE$20+L724*$AE$21+M724*$AE$22+N724*$AE$23+O724*$AE$24+P724*$AE$25+Q724*$AE$26+R724*$AE$27+S724*$AE$28+T724*$AE$29+U724*$AE$30</f>
        <v/>
      </c>
      <c r="W724" s="8">
        <f>1/(1+EXP(-V724))</f>
        <v/>
      </c>
      <c r="X724" s="9">
        <f>-IF(C724=1,LN(W724),LN(1-W724))</f>
        <v/>
      </c>
      <c r="Y724" s="8">
        <f>1</f>
        <v/>
      </c>
      <c r="Z724" s="9">
        <f>Y724*X724</f>
        <v/>
      </c>
      <c r="AA724" s="10">
        <f>IF(W724&gt;$AE$32,1,0)</f>
        <v/>
      </c>
      <c r="AB724">
        <f>IF(AA724=C724,1,0)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$AE$12+D725*$AE$13+E725*$AE$14+F725*$AE$15+G725*$AE$16+H725*$AE$17+I725*$AE$18+J725*$AE$19+K725*$AE$20+L725*$AE$21+M725*$AE$22+N725*$AE$23+O725*$AE$24+P725*$AE$25+Q725*$AE$26+R725*$AE$27+S725*$AE$28+T725*$AE$29+U725*$AE$30</f>
        <v/>
      </c>
      <c r="W725" s="8">
        <f>1/(1+EXP(-V725))</f>
        <v/>
      </c>
      <c r="X725" s="9">
        <f>-IF(C725=1,LN(W725),LN(1-W725))</f>
        <v/>
      </c>
      <c r="Y725" s="8">
        <f>1</f>
        <v/>
      </c>
      <c r="Z725" s="9">
        <f>Y725*X725</f>
        <v/>
      </c>
      <c r="AA725" s="10">
        <f>IF(W725&gt;$AE$32,1,0)</f>
        <v/>
      </c>
      <c r="AB725">
        <f>IF(AA725=C725,1,0)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$AE$12+D726*$AE$13+E726*$AE$14+F726*$AE$15+G726*$AE$16+H726*$AE$17+I726*$AE$18+J726*$AE$19+K726*$AE$20+L726*$AE$21+M726*$AE$22+N726*$AE$23+O726*$AE$24+P726*$AE$25+Q726*$AE$26+R726*$AE$27+S726*$AE$28+T726*$AE$29+U726*$AE$30</f>
        <v/>
      </c>
      <c r="W726" s="8">
        <f>1/(1+EXP(-V726))</f>
        <v/>
      </c>
      <c r="X726" s="9">
        <f>-IF(C726=1,LN(W726),LN(1-W726))</f>
        <v/>
      </c>
      <c r="Y726" s="8">
        <f>1</f>
        <v/>
      </c>
      <c r="Z726" s="9">
        <f>Y726*X726</f>
        <v/>
      </c>
      <c r="AA726" s="10">
        <f>IF(W726&gt;$AE$32,1,0)</f>
        <v/>
      </c>
      <c r="AB726">
        <f>IF(AA726=C726,1,0)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$AE$12+D727*$AE$13+E727*$AE$14+F727*$AE$15+G727*$AE$16+H727*$AE$17+I727*$AE$18+J727*$AE$19+K727*$AE$20+L727*$AE$21+M727*$AE$22+N727*$AE$23+O727*$AE$24+P727*$AE$25+Q727*$AE$26+R727*$AE$27+S727*$AE$28+T727*$AE$29+U727*$AE$30</f>
        <v/>
      </c>
      <c r="W727" s="8">
        <f>1/(1+EXP(-V727))</f>
        <v/>
      </c>
      <c r="X727" s="9">
        <f>-IF(C727=1,LN(W727),LN(1-W727))</f>
        <v/>
      </c>
      <c r="Y727" s="8">
        <f>1</f>
        <v/>
      </c>
      <c r="Z727" s="9">
        <f>Y727*X727</f>
        <v/>
      </c>
      <c r="AA727" s="10">
        <f>IF(W727&gt;$AE$32,1,0)</f>
        <v/>
      </c>
      <c r="AB727">
        <f>IF(AA727=C727,1,0)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$AE$12+D728*$AE$13+E728*$AE$14+F728*$AE$15+G728*$AE$16+H728*$AE$17+I728*$AE$18+J728*$AE$19+K728*$AE$20+L728*$AE$21+M728*$AE$22+N728*$AE$23+O728*$AE$24+P728*$AE$25+Q728*$AE$26+R728*$AE$27+S728*$AE$28+T728*$AE$29+U728*$AE$30</f>
        <v/>
      </c>
      <c r="W728" s="8">
        <f>1/(1+EXP(-V728))</f>
        <v/>
      </c>
      <c r="X728" s="9">
        <f>-IF(C728=1,LN(W728),LN(1-W728))</f>
        <v/>
      </c>
      <c r="Y728" s="8">
        <f>1</f>
        <v/>
      </c>
      <c r="Z728" s="9">
        <f>Y728*X728</f>
        <v/>
      </c>
      <c r="AA728" s="10">
        <f>IF(W728&gt;$AE$32,1,0)</f>
        <v/>
      </c>
      <c r="AB728">
        <f>IF(AA728=C728,1,0)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$AE$12+D729*$AE$13+E729*$AE$14+F729*$AE$15+G729*$AE$16+H729*$AE$17+I729*$AE$18+J729*$AE$19+K729*$AE$20+L729*$AE$21+M729*$AE$22+N729*$AE$23+O729*$AE$24+P729*$AE$25+Q729*$AE$26+R729*$AE$27+S729*$AE$28+T729*$AE$29+U729*$AE$30</f>
        <v/>
      </c>
      <c r="W729" s="8">
        <f>1/(1+EXP(-V729))</f>
        <v/>
      </c>
      <c r="X729" s="9">
        <f>-IF(C729=1,LN(W729),LN(1-W729))</f>
        <v/>
      </c>
      <c r="Y729" s="8">
        <f>1</f>
        <v/>
      </c>
      <c r="Z729" s="9">
        <f>Y729*X729</f>
        <v/>
      </c>
      <c r="AA729" s="10">
        <f>IF(W729&gt;$AE$32,1,0)</f>
        <v/>
      </c>
      <c r="AB729">
        <f>IF(AA729=C729,1,0)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$AE$12+D730*$AE$13+E730*$AE$14+F730*$AE$15+G730*$AE$16+H730*$AE$17+I730*$AE$18+J730*$AE$19+K730*$AE$20+L730*$AE$21+M730*$AE$22+N730*$AE$23+O730*$AE$24+P730*$AE$25+Q730*$AE$26+R730*$AE$27+S730*$AE$28+T730*$AE$29+U730*$AE$30</f>
        <v/>
      </c>
      <c r="W730" s="8">
        <f>1/(1+EXP(-V730))</f>
        <v/>
      </c>
      <c r="X730" s="9">
        <f>-IF(C730=1,LN(W730),LN(1-W730))</f>
        <v/>
      </c>
      <c r="Y730" s="8">
        <f>1</f>
        <v/>
      </c>
      <c r="Z730" s="9">
        <f>Y730*X730</f>
        <v/>
      </c>
      <c r="AA730" s="10">
        <f>IF(W730&gt;$AE$32,1,0)</f>
        <v/>
      </c>
      <c r="AB730">
        <f>IF(AA730=C730,1,0)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$AE$12+D731*$AE$13+E731*$AE$14+F731*$AE$15+G731*$AE$16+H731*$AE$17+I731*$AE$18+J731*$AE$19+K731*$AE$20+L731*$AE$21+M731*$AE$22+N731*$AE$23+O731*$AE$24+P731*$AE$25+Q731*$AE$26+R731*$AE$27+S731*$AE$28+T731*$AE$29+U731*$AE$30</f>
        <v/>
      </c>
      <c r="W731" s="8">
        <f>1/(1+EXP(-V731))</f>
        <v/>
      </c>
      <c r="X731" s="9">
        <f>-IF(C731=1,LN(W731),LN(1-W731))</f>
        <v/>
      </c>
      <c r="Y731" s="8">
        <f>1</f>
        <v/>
      </c>
      <c r="Z731" s="9">
        <f>Y731*X731</f>
        <v/>
      </c>
      <c r="AA731" s="10">
        <f>IF(W731&gt;$AE$32,1,0)</f>
        <v/>
      </c>
      <c r="AB731">
        <f>IF(AA731=C731,1,0)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$AE$12+D732*$AE$13+E732*$AE$14+F732*$AE$15+G732*$AE$16+H732*$AE$17+I732*$AE$18+J732*$AE$19+K732*$AE$20+L732*$AE$21+M732*$AE$22+N732*$AE$23+O732*$AE$24+P732*$AE$25+Q732*$AE$26+R732*$AE$27+S732*$AE$28+T732*$AE$29+U732*$AE$30</f>
        <v/>
      </c>
      <c r="W732" s="8">
        <f>1/(1+EXP(-V732))</f>
        <v/>
      </c>
      <c r="X732" s="9">
        <f>-IF(C732=1,LN(W732),LN(1-W732))</f>
        <v/>
      </c>
      <c r="Y732" s="8">
        <f>1</f>
        <v/>
      </c>
      <c r="Z732" s="9">
        <f>Y732*X732</f>
        <v/>
      </c>
      <c r="AA732" s="10">
        <f>IF(W732&gt;$AE$32,1,0)</f>
        <v/>
      </c>
      <c r="AB732">
        <f>IF(AA732=C732,1,0)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$AE$12+D733*$AE$13+E733*$AE$14+F733*$AE$15+G733*$AE$16+H733*$AE$17+I733*$AE$18+J733*$AE$19+K733*$AE$20+L733*$AE$21+M733*$AE$22+N733*$AE$23+O733*$AE$24+P733*$AE$25+Q733*$AE$26+R733*$AE$27+S733*$AE$28+T733*$AE$29+U733*$AE$30</f>
        <v/>
      </c>
      <c r="W733" s="8">
        <f>1/(1+EXP(-V733))</f>
        <v/>
      </c>
      <c r="X733" s="9">
        <f>-IF(C733=1,LN(W733),LN(1-W733))</f>
        <v/>
      </c>
      <c r="Y733" s="8">
        <f>1</f>
        <v/>
      </c>
      <c r="Z733" s="9">
        <f>Y733*X733</f>
        <v/>
      </c>
      <c r="AA733" s="10">
        <f>IF(W733&gt;$AE$32,1,0)</f>
        <v/>
      </c>
      <c r="AB733">
        <f>IF(AA733=C733,1,0)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$AE$12+D734*$AE$13+E734*$AE$14+F734*$AE$15+G734*$AE$16+H734*$AE$17+I734*$AE$18+J734*$AE$19+K734*$AE$20+L734*$AE$21+M734*$AE$22+N734*$AE$23+O734*$AE$24+P734*$AE$25+Q734*$AE$26+R734*$AE$27+S734*$AE$28+T734*$AE$29+U734*$AE$30</f>
        <v/>
      </c>
      <c r="W734" s="8">
        <f>1/(1+EXP(-V734))</f>
        <v/>
      </c>
      <c r="X734" s="9">
        <f>-IF(C734=1,LN(W734),LN(1-W734))</f>
        <v/>
      </c>
      <c r="Y734" s="8">
        <f>1</f>
        <v/>
      </c>
      <c r="Z734" s="9">
        <f>Y734*X734</f>
        <v/>
      </c>
      <c r="AA734" s="10">
        <f>IF(W734&gt;$AE$32,1,0)</f>
        <v/>
      </c>
      <c r="AB734">
        <f>IF(AA734=C734,1,0)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$AE$12+D735*$AE$13+E735*$AE$14+F735*$AE$15+G735*$AE$16+H735*$AE$17+I735*$AE$18+J735*$AE$19+K735*$AE$20+L735*$AE$21+M735*$AE$22+N735*$AE$23+O735*$AE$24+P735*$AE$25+Q735*$AE$26+R735*$AE$27+S735*$AE$28+T735*$AE$29+U735*$AE$30</f>
        <v/>
      </c>
      <c r="W735" s="8">
        <f>1/(1+EXP(-V735))</f>
        <v/>
      </c>
      <c r="X735" s="9">
        <f>-IF(C735=1,LN(W735),LN(1-W735))</f>
        <v/>
      </c>
      <c r="Y735" s="8">
        <f>1</f>
        <v/>
      </c>
      <c r="Z735" s="9">
        <f>Y735*X735</f>
        <v/>
      </c>
      <c r="AA735" s="10">
        <f>IF(W735&gt;$AE$32,1,0)</f>
        <v/>
      </c>
      <c r="AB735">
        <f>IF(AA735=C735,1,0)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$AE$12+D736*$AE$13+E736*$AE$14+F736*$AE$15+G736*$AE$16+H736*$AE$17+I736*$AE$18+J736*$AE$19+K736*$AE$20+L736*$AE$21+M736*$AE$22+N736*$AE$23+O736*$AE$24+P736*$AE$25+Q736*$AE$26+R736*$AE$27+S736*$AE$28+T736*$AE$29+U736*$AE$30</f>
        <v/>
      </c>
      <c r="W736" s="8">
        <f>1/(1+EXP(-V736))</f>
        <v/>
      </c>
      <c r="X736" s="9">
        <f>-IF(C736=1,LN(W736),LN(1-W736))</f>
        <v/>
      </c>
      <c r="Y736" s="8">
        <f>1</f>
        <v/>
      </c>
      <c r="Z736" s="9">
        <f>Y736*X736</f>
        <v/>
      </c>
      <c r="AA736" s="10">
        <f>IF(W736&gt;$AE$32,1,0)</f>
        <v/>
      </c>
      <c r="AB736">
        <f>IF(AA736=C736,1,0)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$AE$12+D737*$AE$13+E737*$AE$14+F737*$AE$15+G737*$AE$16+H737*$AE$17+I737*$AE$18+J737*$AE$19+K737*$AE$20+L737*$AE$21+M737*$AE$22+N737*$AE$23+O737*$AE$24+P737*$AE$25+Q737*$AE$26+R737*$AE$27+S737*$AE$28+T737*$AE$29+U737*$AE$30</f>
        <v/>
      </c>
      <c r="W737" s="8">
        <f>1/(1+EXP(-V737))</f>
        <v/>
      </c>
      <c r="X737" s="9">
        <f>-IF(C737=1,LN(W737),LN(1-W737))</f>
        <v/>
      </c>
      <c r="Y737" s="8">
        <f>1</f>
        <v/>
      </c>
      <c r="Z737" s="9">
        <f>Y737*X737</f>
        <v/>
      </c>
      <c r="AA737" s="10">
        <f>IF(W737&gt;$AE$32,1,0)</f>
        <v/>
      </c>
      <c r="AB737">
        <f>IF(AA737=C737,1,0)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$AE$12+D738*$AE$13+E738*$AE$14+F738*$AE$15+G738*$AE$16+H738*$AE$17+I738*$AE$18+J738*$AE$19+K738*$AE$20+L738*$AE$21+M738*$AE$22+N738*$AE$23+O738*$AE$24+P738*$AE$25+Q738*$AE$26+R738*$AE$27+S738*$AE$28+T738*$AE$29+U738*$AE$30</f>
        <v/>
      </c>
      <c r="W738" s="8">
        <f>1/(1+EXP(-V738))</f>
        <v/>
      </c>
      <c r="X738" s="9">
        <f>-IF(C738=1,LN(W738),LN(1-W738))</f>
        <v/>
      </c>
      <c r="Y738" s="8">
        <f>1</f>
        <v/>
      </c>
      <c r="Z738" s="9">
        <f>Y738*X738</f>
        <v/>
      </c>
      <c r="AA738" s="10">
        <f>IF(W738&gt;$AE$32,1,0)</f>
        <v/>
      </c>
      <c r="AB738">
        <f>IF(AA738=C738,1,0)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$AE$12+D739*$AE$13+E739*$AE$14+F739*$AE$15+G739*$AE$16+H739*$AE$17+I739*$AE$18+J739*$AE$19+K739*$AE$20+L739*$AE$21+M739*$AE$22+N739*$AE$23+O739*$AE$24+P739*$AE$25+Q739*$AE$26+R739*$AE$27+S739*$AE$28+T739*$AE$29+U739*$AE$30</f>
        <v/>
      </c>
      <c r="W739" s="8">
        <f>1/(1+EXP(-V739))</f>
        <v/>
      </c>
      <c r="X739" s="9">
        <f>-IF(C739=1,LN(W739),LN(1-W739))</f>
        <v/>
      </c>
      <c r="Y739" s="8">
        <f>1</f>
        <v/>
      </c>
      <c r="Z739" s="9">
        <f>Y739*X739</f>
        <v/>
      </c>
      <c r="AA739" s="10">
        <f>IF(W739&gt;$AE$32,1,0)</f>
        <v/>
      </c>
      <c r="AB739">
        <f>IF(AA739=C739,1,0)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$AE$12+D740*$AE$13+E740*$AE$14+F740*$AE$15+G740*$AE$16+H740*$AE$17+I740*$AE$18+J740*$AE$19+K740*$AE$20+L740*$AE$21+M740*$AE$22+N740*$AE$23+O740*$AE$24+P740*$AE$25+Q740*$AE$26+R740*$AE$27+S740*$AE$28+T740*$AE$29+U740*$AE$30</f>
        <v/>
      </c>
      <c r="W740" s="8">
        <f>1/(1+EXP(-V740))</f>
        <v/>
      </c>
      <c r="X740" s="9">
        <f>-IF(C740=1,LN(W740),LN(1-W740))</f>
        <v/>
      </c>
      <c r="Y740" s="8">
        <f>1</f>
        <v/>
      </c>
      <c r="Z740" s="9">
        <f>Y740*X740</f>
        <v/>
      </c>
      <c r="AA740" s="10">
        <f>IF(W740&gt;$AE$32,1,0)</f>
        <v/>
      </c>
      <c r="AB740">
        <f>IF(AA740=C740,1,0)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$AE$12+D741*$AE$13+E741*$AE$14+F741*$AE$15+G741*$AE$16+H741*$AE$17+I741*$AE$18+J741*$AE$19+K741*$AE$20+L741*$AE$21+M741*$AE$22+N741*$AE$23+O741*$AE$24+P741*$AE$25+Q741*$AE$26+R741*$AE$27+S741*$AE$28+T741*$AE$29+U741*$AE$30</f>
        <v/>
      </c>
      <c r="W741" s="8">
        <f>1/(1+EXP(-V741))</f>
        <v/>
      </c>
      <c r="X741" s="9">
        <f>-IF(C741=1,LN(W741),LN(1-W741))</f>
        <v/>
      </c>
      <c r="Y741" s="8">
        <f>1</f>
        <v/>
      </c>
      <c r="Z741" s="9">
        <f>Y741*X741</f>
        <v/>
      </c>
      <c r="AA741" s="10">
        <f>IF(W741&gt;$AE$32,1,0)</f>
        <v/>
      </c>
      <c r="AB741">
        <f>IF(AA741=C741,1,0)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$AE$12+D742*$AE$13+E742*$AE$14+F742*$AE$15+G742*$AE$16+H742*$AE$17+I742*$AE$18+J742*$AE$19+K742*$AE$20+L742*$AE$21+M742*$AE$22+N742*$AE$23+O742*$AE$24+P742*$AE$25+Q742*$AE$26+R742*$AE$27+S742*$AE$28+T742*$AE$29+U742*$AE$30</f>
        <v/>
      </c>
      <c r="W742" s="8">
        <f>1/(1+EXP(-V742))</f>
        <v/>
      </c>
      <c r="X742" s="9">
        <f>-IF(C742=1,LN(W742),LN(1-W742))</f>
        <v/>
      </c>
      <c r="Y742" s="8">
        <f>1</f>
        <v/>
      </c>
      <c r="Z742" s="9">
        <f>Y742*X742</f>
        <v/>
      </c>
      <c r="AA742" s="10">
        <f>IF(W742&gt;$AE$32,1,0)</f>
        <v/>
      </c>
      <c r="AB742">
        <f>IF(AA742=C742,1,0)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$AE$12+D743*$AE$13+E743*$AE$14+F743*$AE$15+G743*$AE$16+H743*$AE$17+I743*$AE$18+J743*$AE$19+K743*$AE$20+L743*$AE$21+M743*$AE$22+N743*$AE$23+O743*$AE$24+P743*$AE$25+Q743*$AE$26+R743*$AE$27+S743*$AE$28+T743*$AE$29+U743*$AE$30</f>
        <v/>
      </c>
      <c r="W743" s="8">
        <f>1/(1+EXP(-V743))</f>
        <v/>
      </c>
      <c r="X743" s="9">
        <f>-IF(C743=1,LN(W743),LN(1-W743))</f>
        <v/>
      </c>
      <c r="Y743" s="8">
        <f>1</f>
        <v/>
      </c>
      <c r="Z743" s="9">
        <f>Y743*X743</f>
        <v/>
      </c>
      <c r="AA743" s="10">
        <f>IF(W743&gt;$AE$32,1,0)</f>
        <v/>
      </c>
      <c r="AB743">
        <f>IF(AA743=C743,1,0)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$AE$12+D744*$AE$13+E744*$AE$14+F744*$AE$15+G744*$AE$16+H744*$AE$17+I744*$AE$18+J744*$AE$19+K744*$AE$20+L744*$AE$21+M744*$AE$22+N744*$AE$23+O744*$AE$24+P744*$AE$25+Q744*$AE$26+R744*$AE$27+S744*$AE$28+T744*$AE$29+U744*$AE$30</f>
        <v/>
      </c>
      <c r="W744" s="8">
        <f>1/(1+EXP(-V744))</f>
        <v/>
      </c>
      <c r="X744" s="9">
        <f>-IF(C744=1,LN(W744),LN(1-W744))</f>
        <v/>
      </c>
      <c r="Y744" s="8">
        <f>1</f>
        <v/>
      </c>
      <c r="Z744" s="9">
        <f>Y744*X744</f>
        <v/>
      </c>
      <c r="AA744" s="10">
        <f>IF(W744&gt;$AE$32,1,0)</f>
        <v/>
      </c>
      <c r="AB744">
        <f>IF(AA744=C744,1,0)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$AE$12+D745*$AE$13+E745*$AE$14+F745*$AE$15+G745*$AE$16+H745*$AE$17+I745*$AE$18+J745*$AE$19+K745*$AE$20+L745*$AE$21+M745*$AE$22+N745*$AE$23+O745*$AE$24+P745*$AE$25+Q745*$AE$26+R745*$AE$27+S745*$AE$28+T745*$AE$29+U745*$AE$30</f>
        <v/>
      </c>
      <c r="W745" s="8">
        <f>1/(1+EXP(-V745))</f>
        <v/>
      </c>
      <c r="X745" s="9">
        <f>-IF(C745=1,LN(W745),LN(1-W745))</f>
        <v/>
      </c>
      <c r="Y745" s="8">
        <f>1</f>
        <v/>
      </c>
      <c r="Z745" s="9">
        <f>Y745*X745</f>
        <v/>
      </c>
      <c r="AA745" s="10">
        <f>IF(W745&gt;$AE$32,1,0)</f>
        <v/>
      </c>
      <c r="AB745">
        <f>IF(AA745=C745,1,0)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$AE$12+D746*$AE$13+E746*$AE$14+F746*$AE$15+G746*$AE$16+H746*$AE$17+I746*$AE$18+J746*$AE$19+K746*$AE$20+L746*$AE$21+M746*$AE$22+N746*$AE$23+O746*$AE$24+P746*$AE$25+Q746*$AE$26+R746*$AE$27+S746*$AE$28+T746*$AE$29+U746*$AE$30</f>
        <v/>
      </c>
      <c r="W746" s="8">
        <f>1/(1+EXP(-V746))</f>
        <v/>
      </c>
      <c r="X746" s="9">
        <f>-IF(C746=1,LN(W746),LN(1-W746))</f>
        <v/>
      </c>
      <c r="Y746" s="8">
        <f>1</f>
        <v/>
      </c>
      <c r="Z746" s="9">
        <f>Y746*X746</f>
        <v/>
      </c>
      <c r="AA746" s="10">
        <f>IF(W746&gt;$AE$32,1,0)</f>
        <v/>
      </c>
      <c r="AB746">
        <f>IF(AA746=C746,1,0)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$AE$12+D747*$AE$13+E747*$AE$14+F747*$AE$15+G747*$AE$16+H747*$AE$17+I747*$AE$18+J747*$AE$19+K747*$AE$20+L747*$AE$21+M747*$AE$22+N747*$AE$23+O747*$AE$24+P747*$AE$25+Q747*$AE$26+R747*$AE$27+S747*$AE$28+T747*$AE$29+U747*$AE$30</f>
        <v/>
      </c>
      <c r="W747" s="8">
        <f>1/(1+EXP(-V747))</f>
        <v/>
      </c>
      <c r="X747" s="9">
        <f>-IF(C747=1,LN(W747),LN(1-W747))</f>
        <v/>
      </c>
      <c r="Y747" s="8">
        <f>1</f>
        <v/>
      </c>
      <c r="Z747" s="9">
        <f>Y747*X747</f>
        <v/>
      </c>
      <c r="AA747" s="10">
        <f>IF(W747&gt;$AE$32,1,0)</f>
        <v/>
      </c>
      <c r="AB747">
        <f>IF(AA747=C747,1,0)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$AE$12+D748*$AE$13+E748*$AE$14+F748*$AE$15+G748*$AE$16+H748*$AE$17+I748*$AE$18+J748*$AE$19+K748*$AE$20+L748*$AE$21+M748*$AE$22+N748*$AE$23+O748*$AE$24+P748*$AE$25+Q748*$AE$26+R748*$AE$27+S748*$AE$28+T748*$AE$29+U748*$AE$30</f>
        <v/>
      </c>
      <c r="W748" s="8">
        <f>1/(1+EXP(-V748))</f>
        <v/>
      </c>
      <c r="X748" s="9">
        <f>-IF(C748=1,LN(W748),LN(1-W748))</f>
        <v/>
      </c>
      <c r="Y748" s="8">
        <f>1</f>
        <v/>
      </c>
      <c r="Z748" s="9">
        <f>Y748*X748</f>
        <v/>
      </c>
      <c r="AA748" s="10">
        <f>IF(W748&gt;$AE$32,1,0)</f>
        <v/>
      </c>
      <c r="AB748">
        <f>IF(AA748=C748,1,0)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$AE$12+D749*$AE$13+E749*$AE$14+F749*$AE$15+G749*$AE$16+H749*$AE$17+I749*$AE$18+J749*$AE$19+K749*$AE$20+L749*$AE$21+M749*$AE$22+N749*$AE$23+O749*$AE$24+P749*$AE$25+Q749*$AE$26+R749*$AE$27+S749*$AE$28+T749*$AE$29+U749*$AE$30</f>
        <v/>
      </c>
      <c r="W749" s="8">
        <f>1/(1+EXP(-V749))</f>
        <v/>
      </c>
      <c r="X749" s="9">
        <f>-IF(C749=1,LN(W749),LN(1-W749))</f>
        <v/>
      </c>
      <c r="Y749" s="8">
        <f>1</f>
        <v/>
      </c>
      <c r="Z749" s="9">
        <f>Y749*X749</f>
        <v/>
      </c>
      <c r="AA749" s="10">
        <f>IF(W749&gt;$AE$32,1,0)</f>
        <v/>
      </c>
      <c r="AB749">
        <f>IF(AA749=C749,1,0)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$AE$12+D750*$AE$13+E750*$AE$14+F750*$AE$15+G750*$AE$16+H750*$AE$17+I750*$AE$18+J750*$AE$19+K750*$AE$20+L750*$AE$21+M750*$AE$22+N750*$AE$23+O750*$AE$24+P750*$AE$25+Q750*$AE$26+R750*$AE$27+S750*$AE$28+T750*$AE$29+U750*$AE$30</f>
        <v/>
      </c>
      <c r="W750" s="8">
        <f>1/(1+EXP(-V750))</f>
        <v/>
      </c>
      <c r="X750" s="9">
        <f>-IF(C750=1,LN(W750),LN(1-W750))</f>
        <v/>
      </c>
      <c r="Y750" s="8">
        <f>1</f>
        <v/>
      </c>
      <c r="Z750" s="9">
        <f>Y750*X750</f>
        <v/>
      </c>
      <c r="AA750" s="10">
        <f>IF(W750&gt;$AE$32,1,0)</f>
        <v/>
      </c>
      <c r="AB750">
        <f>IF(AA750=C750,1,0)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$AE$12+D751*$AE$13+E751*$AE$14+F751*$AE$15+G751*$AE$16+H751*$AE$17+I751*$AE$18+J751*$AE$19+K751*$AE$20+L751*$AE$21+M751*$AE$22+N751*$AE$23+O751*$AE$24+P751*$AE$25+Q751*$AE$26+R751*$AE$27+S751*$AE$28+T751*$AE$29+U751*$AE$30</f>
        <v/>
      </c>
      <c r="W751" s="8">
        <f>1/(1+EXP(-V751))</f>
        <v/>
      </c>
      <c r="X751" s="9">
        <f>-IF(C751=1,LN(W751),LN(1-W751))</f>
        <v/>
      </c>
      <c r="Y751" s="8">
        <f>1</f>
        <v/>
      </c>
      <c r="Z751" s="9">
        <f>Y751*X751</f>
        <v/>
      </c>
      <c r="AA751" s="10">
        <f>IF(W751&gt;$AE$32,1,0)</f>
        <v/>
      </c>
      <c r="AB751">
        <f>IF(AA751=C751,1,0)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$AE$12+D752*$AE$13+E752*$AE$14+F752*$AE$15+G752*$AE$16+H752*$AE$17+I752*$AE$18+J752*$AE$19+K752*$AE$20+L752*$AE$21+M752*$AE$22+N752*$AE$23+O752*$AE$24+P752*$AE$25+Q752*$AE$26+R752*$AE$27+S752*$AE$28+T752*$AE$29+U752*$AE$30</f>
        <v/>
      </c>
      <c r="W752" s="8">
        <f>1/(1+EXP(-V752))</f>
        <v/>
      </c>
      <c r="X752" s="9">
        <f>-IF(C752=1,LN(W752),LN(1-W752))</f>
        <v/>
      </c>
      <c r="Y752" s="8">
        <f>1</f>
        <v/>
      </c>
      <c r="Z752" s="9">
        <f>Y752*X752</f>
        <v/>
      </c>
      <c r="AA752" s="10">
        <f>IF(W752&gt;$AE$32,1,0)</f>
        <v/>
      </c>
      <c r="AB752">
        <f>IF(AA752=C752,1,0)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$AE$12+D753*$AE$13+E753*$AE$14+F753*$AE$15+G753*$AE$16+H753*$AE$17+I753*$AE$18+J753*$AE$19+K753*$AE$20+L753*$AE$21+M753*$AE$22+N753*$AE$23+O753*$AE$24+P753*$AE$25+Q753*$AE$26+R753*$AE$27+S753*$AE$28+T753*$AE$29+U753*$AE$30</f>
        <v/>
      </c>
      <c r="W753" s="8">
        <f>1/(1+EXP(-V753))</f>
        <v/>
      </c>
      <c r="X753" s="9">
        <f>-IF(C753=1,LN(W753),LN(1-W753))</f>
        <v/>
      </c>
      <c r="Y753" s="8">
        <f>1</f>
        <v/>
      </c>
      <c r="Z753" s="9">
        <f>Y753*X753</f>
        <v/>
      </c>
      <c r="AA753" s="10">
        <f>IF(W753&gt;$AE$32,1,0)</f>
        <v/>
      </c>
      <c r="AB753">
        <f>IF(AA753=C753,1,0)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$AE$12+D754*$AE$13+E754*$AE$14+F754*$AE$15+G754*$AE$16+H754*$AE$17+I754*$AE$18+J754*$AE$19+K754*$AE$20+L754*$AE$21+M754*$AE$22+N754*$AE$23+O754*$AE$24+P754*$AE$25+Q754*$AE$26+R754*$AE$27+S754*$AE$28+T754*$AE$29+U754*$AE$30</f>
        <v/>
      </c>
      <c r="W754" s="8">
        <f>1/(1+EXP(-V754))</f>
        <v/>
      </c>
      <c r="X754" s="9">
        <f>-IF(C754=1,LN(W754),LN(1-W754))</f>
        <v/>
      </c>
      <c r="Y754" s="8">
        <f>1</f>
        <v/>
      </c>
      <c r="Z754" s="9">
        <f>Y754*X754</f>
        <v/>
      </c>
      <c r="AA754" s="10">
        <f>IF(W754&gt;$AE$32,1,0)</f>
        <v/>
      </c>
      <c r="AB754">
        <f>IF(AA754=C754,1,0)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$AE$12+D755*$AE$13+E755*$AE$14+F755*$AE$15+G755*$AE$16+H755*$AE$17+I755*$AE$18+J755*$AE$19+K755*$AE$20+L755*$AE$21+M755*$AE$22+N755*$AE$23+O755*$AE$24+P755*$AE$25+Q755*$AE$26+R755*$AE$27+S755*$AE$28+T755*$AE$29+U755*$AE$30</f>
        <v/>
      </c>
      <c r="W755" s="8">
        <f>1/(1+EXP(-V755))</f>
        <v/>
      </c>
      <c r="X755" s="9">
        <f>-IF(C755=1,LN(W755),LN(1-W755))</f>
        <v/>
      </c>
      <c r="Y755" s="8">
        <f>1</f>
        <v/>
      </c>
      <c r="Z755" s="9">
        <f>Y755*X755</f>
        <v/>
      </c>
      <c r="AA755" s="10">
        <f>IF(W755&gt;$AE$32,1,0)</f>
        <v/>
      </c>
      <c r="AB755">
        <f>IF(AA755=C755,1,0)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$AE$12+D756*$AE$13+E756*$AE$14+F756*$AE$15+G756*$AE$16+H756*$AE$17+I756*$AE$18+J756*$AE$19+K756*$AE$20+L756*$AE$21+M756*$AE$22+N756*$AE$23+O756*$AE$24+P756*$AE$25+Q756*$AE$26+R756*$AE$27+S756*$AE$28+T756*$AE$29+U756*$AE$30</f>
        <v/>
      </c>
      <c r="W756" s="8">
        <f>1/(1+EXP(-V756))</f>
        <v/>
      </c>
      <c r="X756" s="9">
        <f>-IF(C756=1,LN(W756),LN(1-W756))</f>
        <v/>
      </c>
      <c r="Y756" s="8">
        <f>1</f>
        <v/>
      </c>
      <c r="Z756" s="9">
        <f>Y756*X756</f>
        <v/>
      </c>
      <c r="AA756" s="10">
        <f>IF(W756&gt;$AE$32,1,0)</f>
        <v/>
      </c>
      <c r="AB756">
        <f>IF(AA756=C756,1,0)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$AE$12+D757*$AE$13+E757*$AE$14+F757*$AE$15+G757*$AE$16+H757*$AE$17+I757*$AE$18+J757*$AE$19+K757*$AE$20+L757*$AE$21+M757*$AE$22+N757*$AE$23+O757*$AE$24+P757*$AE$25+Q757*$AE$26+R757*$AE$27+S757*$AE$28+T757*$AE$29+U757*$AE$30</f>
        <v/>
      </c>
      <c r="W757" s="8">
        <f>1/(1+EXP(-V757))</f>
        <v/>
      </c>
      <c r="X757" s="9">
        <f>-IF(C757=1,LN(W757),LN(1-W757))</f>
        <v/>
      </c>
      <c r="Y757" s="8">
        <f>1</f>
        <v/>
      </c>
      <c r="Z757" s="9">
        <f>Y757*X757</f>
        <v/>
      </c>
      <c r="AA757" s="10">
        <f>IF(W757&gt;$AE$32,1,0)</f>
        <v/>
      </c>
      <c r="AB757">
        <f>IF(AA757=C757,1,0)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$AE$12+D758*$AE$13+E758*$AE$14+F758*$AE$15+G758*$AE$16+H758*$AE$17+I758*$AE$18+J758*$AE$19+K758*$AE$20+L758*$AE$21+M758*$AE$22+N758*$AE$23+O758*$AE$24+P758*$AE$25+Q758*$AE$26+R758*$AE$27+S758*$AE$28+T758*$AE$29+U758*$AE$30</f>
        <v/>
      </c>
      <c r="W758" s="8">
        <f>1/(1+EXP(-V758))</f>
        <v/>
      </c>
      <c r="X758" s="9">
        <f>-IF(C758=1,LN(W758),LN(1-W758))</f>
        <v/>
      </c>
      <c r="Y758" s="8">
        <f>1</f>
        <v/>
      </c>
      <c r="Z758" s="9">
        <f>Y758*X758</f>
        <v/>
      </c>
      <c r="AA758" s="10">
        <f>IF(W758&gt;$AE$32,1,0)</f>
        <v/>
      </c>
      <c r="AB758">
        <f>IF(AA758=C758,1,0)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$AE$12+D759*$AE$13+E759*$AE$14+F759*$AE$15+G759*$AE$16+H759*$AE$17+I759*$AE$18+J759*$AE$19+K759*$AE$20+L759*$AE$21+M759*$AE$22+N759*$AE$23+O759*$AE$24+P759*$AE$25+Q759*$AE$26+R759*$AE$27+S759*$AE$28+T759*$AE$29+U759*$AE$30</f>
        <v/>
      </c>
      <c r="W759" s="8">
        <f>1/(1+EXP(-V759))</f>
        <v/>
      </c>
      <c r="X759" s="9">
        <f>-IF(C759=1,LN(W759),LN(1-W759))</f>
        <v/>
      </c>
      <c r="Y759" s="8">
        <f>1</f>
        <v/>
      </c>
      <c r="Z759" s="9">
        <f>Y759*X759</f>
        <v/>
      </c>
      <c r="AA759" s="10">
        <f>IF(W759&gt;$AE$32,1,0)</f>
        <v/>
      </c>
      <c r="AB759">
        <f>IF(AA759=C759,1,0)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$AE$12+D760*$AE$13+E760*$AE$14+F760*$AE$15+G760*$AE$16+H760*$AE$17+I760*$AE$18+J760*$AE$19+K760*$AE$20+L760*$AE$21+M760*$AE$22+N760*$AE$23+O760*$AE$24+P760*$AE$25+Q760*$AE$26+R760*$AE$27+S760*$AE$28+T760*$AE$29+U760*$AE$30</f>
        <v/>
      </c>
      <c r="W760" s="8">
        <f>1/(1+EXP(-V760))</f>
        <v/>
      </c>
      <c r="X760" s="9">
        <f>-IF(C760=1,LN(W760),LN(1-W760))</f>
        <v/>
      </c>
      <c r="Y760" s="8">
        <f>1</f>
        <v/>
      </c>
      <c r="Z760" s="9">
        <f>Y760*X760</f>
        <v/>
      </c>
      <c r="AA760" s="10">
        <f>IF(W760&gt;$AE$32,1,0)</f>
        <v/>
      </c>
      <c r="AB760">
        <f>IF(AA760=C760,1,0)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$AE$12+D761*$AE$13+E761*$AE$14+F761*$AE$15+G761*$AE$16+H761*$AE$17+I761*$AE$18+J761*$AE$19+K761*$AE$20+L761*$AE$21+M761*$AE$22+N761*$AE$23+O761*$AE$24+P761*$AE$25+Q761*$AE$26+R761*$AE$27+S761*$AE$28+T761*$AE$29+U761*$AE$30</f>
        <v/>
      </c>
      <c r="W761" s="8">
        <f>1/(1+EXP(-V761))</f>
        <v/>
      </c>
      <c r="X761" s="9">
        <f>-IF(C761=1,LN(W761),LN(1-W761))</f>
        <v/>
      </c>
      <c r="Y761" s="8">
        <f>1</f>
        <v/>
      </c>
      <c r="Z761" s="9">
        <f>Y761*X761</f>
        <v/>
      </c>
      <c r="AA761" s="10">
        <f>IF(W761&gt;$AE$32,1,0)</f>
        <v/>
      </c>
      <c r="AB761">
        <f>IF(AA761=C761,1,0)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$AE$12+D762*$AE$13+E762*$AE$14+F762*$AE$15+G762*$AE$16+H762*$AE$17+I762*$AE$18+J762*$AE$19+K762*$AE$20+L762*$AE$21+M762*$AE$22+N762*$AE$23+O762*$AE$24+P762*$AE$25+Q762*$AE$26+R762*$AE$27+S762*$AE$28+T762*$AE$29+U762*$AE$30</f>
        <v/>
      </c>
      <c r="W762" s="8">
        <f>1/(1+EXP(-V762))</f>
        <v/>
      </c>
      <c r="X762" s="9">
        <f>-IF(C762=1,LN(W762),LN(1-W762))</f>
        <v/>
      </c>
      <c r="Y762" s="8">
        <f>1</f>
        <v/>
      </c>
      <c r="Z762" s="9">
        <f>Y762*X762</f>
        <v/>
      </c>
      <c r="AA762" s="10">
        <f>IF(W762&gt;$AE$32,1,0)</f>
        <v/>
      </c>
      <c r="AB762">
        <f>IF(AA762=C762,1,0)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$AE$12+D763*$AE$13+E763*$AE$14+F763*$AE$15+G763*$AE$16+H763*$AE$17+I763*$AE$18+J763*$AE$19+K763*$AE$20+L763*$AE$21+M763*$AE$22+N763*$AE$23+O763*$AE$24+P763*$AE$25+Q763*$AE$26+R763*$AE$27+S763*$AE$28+T763*$AE$29+U763*$AE$30</f>
        <v/>
      </c>
      <c r="W763" s="8">
        <f>1/(1+EXP(-V763))</f>
        <v/>
      </c>
      <c r="X763" s="9">
        <f>-IF(C763=1,LN(W763),LN(1-W763))</f>
        <v/>
      </c>
      <c r="Y763" s="8">
        <f>1</f>
        <v/>
      </c>
      <c r="Z763" s="9">
        <f>Y763*X763</f>
        <v/>
      </c>
      <c r="AA763" s="10">
        <f>IF(W763&gt;$AE$32,1,0)</f>
        <v/>
      </c>
      <c r="AB763">
        <f>IF(AA763=C763,1,0)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$AE$12+D764*$AE$13+E764*$AE$14+F764*$AE$15+G764*$AE$16+H764*$AE$17+I764*$AE$18+J764*$AE$19+K764*$AE$20+L764*$AE$21+M764*$AE$22+N764*$AE$23+O764*$AE$24+P764*$AE$25+Q764*$AE$26+R764*$AE$27+S764*$AE$28+T764*$AE$29+U764*$AE$30</f>
        <v/>
      </c>
      <c r="W764" s="8">
        <f>1/(1+EXP(-V764))</f>
        <v/>
      </c>
      <c r="X764" s="9">
        <f>-IF(C764=1,LN(W764),LN(1-W764))</f>
        <v/>
      </c>
      <c r="Y764" s="8">
        <f>1</f>
        <v/>
      </c>
      <c r="Z764" s="9">
        <f>Y764*X764</f>
        <v/>
      </c>
      <c r="AA764" s="10">
        <f>IF(W764&gt;$AE$32,1,0)</f>
        <v/>
      </c>
      <c r="AB764">
        <f>IF(AA764=C764,1,0)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$AE$12+D765*$AE$13+E765*$AE$14+F765*$AE$15+G765*$AE$16+H765*$AE$17+I765*$AE$18+J765*$AE$19+K765*$AE$20+L765*$AE$21+M765*$AE$22+N765*$AE$23+O765*$AE$24+P765*$AE$25+Q765*$AE$26+R765*$AE$27+S765*$AE$28+T765*$AE$29+U765*$AE$30</f>
        <v/>
      </c>
      <c r="W765" s="8">
        <f>1/(1+EXP(-V765))</f>
        <v/>
      </c>
      <c r="X765" s="9">
        <f>-IF(C765=1,LN(W765),LN(1-W765))</f>
        <v/>
      </c>
      <c r="Y765" s="8">
        <f>1</f>
        <v/>
      </c>
      <c r="Z765" s="9">
        <f>Y765*X765</f>
        <v/>
      </c>
      <c r="AA765" s="10">
        <f>IF(W765&gt;$AE$32,1,0)</f>
        <v/>
      </c>
      <c r="AB765">
        <f>IF(AA765=C765,1,0)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$AE$12+D766*$AE$13+E766*$AE$14+F766*$AE$15+G766*$AE$16+H766*$AE$17+I766*$AE$18+J766*$AE$19+K766*$AE$20+L766*$AE$21+M766*$AE$22+N766*$AE$23+O766*$AE$24+P766*$AE$25+Q766*$AE$26+R766*$AE$27+S766*$AE$28+T766*$AE$29+U766*$AE$30</f>
        <v/>
      </c>
      <c r="W766" s="8">
        <f>1/(1+EXP(-V766))</f>
        <v/>
      </c>
      <c r="X766" s="9">
        <f>-IF(C766=1,LN(W766),LN(1-W766))</f>
        <v/>
      </c>
      <c r="Y766" s="8">
        <f>1</f>
        <v/>
      </c>
      <c r="Z766" s="9">
        <f>Y766*X766</f>
        <v/>
      </c>
      <c r="AA766" s="10">
        <f>IF(W766&gt;$AE$32,1,0)</f>
        <v/>
      </c>
      <c r="AB766">
        <f>IF(AA766=C766,1,0)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$AE$12+D767*$AE$13+E767*$AE$14+F767*$AE$15+G767*$AE$16+H767*$AE$17+I767*$AE$18+J767*$AE$19+K767*$AE$20+L767*$AE$21+M767*$AE$22+N767*$AE$23+O767*$AE$24+P767*$AE$25+Q767*$AE$26+R767*$AE$27+S767*$AE$28+T767*$AE$29+U767*$AE$30</f>
        <v/>
      </c>
      <c r="W767" s="8">
        <f>1/(1+EXP(-V767))</f>
        <v/>
      </c>
      <c r="X767" s="9">
        <f>-IF(C767=1,LN(W767),LN(1-W767))</f>
        <v/>
      </c>
      <c r="Y767" s="8">
        <f>1</f>
        <v/>
      </c>
      <c r="Z767" s="9">
        <f>Y767*X767</f>
        <v/>
      </c>
      <c r="AA767" s="10">
        <f>IF(W767&gt;$AE$32,1,0)</f>
        <v/>
      </c>
      <c r="AB767">
        <f>IF(AA767=C767,1,0)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$AE$12+D768*$AE$13+E768*$AE$14+F768*$AE$15+G768*$AE$16+H768*$AE$17+I768*$AE$18+J768*$AE$19+K768*$AE$20+L768*$AE$21+M768*$AE$22+N768*$AE$23+O768*$AE$24+P768*$AE$25+Q768*$AE$26+R768*$AE$27+S768*$AE$28+T768*$AE$29+U768*$AE$30</f>
        <v/>
      </c>
      <c r="W768" s="8">
        <f>1/(1+EXP(-V768))</f>
        <v/>
      </c>
      <c r="X768" s="9">
        <f>-IF(C768=1,LN(W768),LN(1-W768))</f>
        <v/>
      </c>
      <c r="Y768" s="8">
        <f>1</f>
        <v/>
      </c>
      <c r="Z768" s="9">
        <f>Y768*X768</f>
        <v/>
      </c>
      <c r="AA768" s="10">
        <f>IF(W768&gt;$AE$32,1,0)</f>
        <v/>
      </c>
      <c r="AB768">
        <f>IF(AA768=C768,1,0)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$AE$12+D769*$AE$13+E769*$AE$14+F769*$AE$15+G769*$AE$16+H769*$AE$17+I769*$AE$18+J769*$AE$19+K769*$AE$20+L769*$AE$21+M769*$AE$22+N769*$AE$23+O769*$AE$24+P769*$AE$25+Q769*$AE$26+R769*$AE$27+S769*$AE$28+T769*$AE$29+U769*$AE$30</f>
        <v/>
      </c>
      <c r="W769" s="8">
        <f>1/(1+EXP(-V769))</f>
        <v/>
      </c>
      <c r="X769" s="9">
        <f>-IF(C769=1,LN(W769),LN(1-W769))</f>
        <v/>
      </c>
      <c r="Y769" s="8">
        <f>1</f>
        <v/>
      </c>
      <c r="Z769" s="9">
        <f>Y769*X769</f>
        <v/>
      </c>
      <c r="AA769" s="10">
        <f>IF(W769&gt;$AE$32,1,0)</f>
        <v/>
      </c>
      <c r="AB769">
        <f>IF(AA769=C769,1,0)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$AE$12+D770*$AE$13+E770*$AE$14+F770*$AE$15+G770*$AE$16+H770*$AE$17+I770*$AE$18+J770*$AE$19+K770*$AE$20+L770*$AE$21+M770*$AE$22+N770*$AE$23+O770*$AE$24+P770*$AE$25+Q770*$AE$26+R770*$AE$27+S770*$AE$28+T770*$AE$29+U770*$AE$30</f>
        <v/>
      </c>
      <c r="W770" s="8">
        <f>1/(1+EXP(-V770))</f>
        <v/>
      </c>
      <c r="X770" s="9">
        <f>-IF(C770=1,LN(W770),LN(1-W770))</f>
        <v/>
      </c>
      <c r="Y770" s="8">
        <f>1</f>
        <v/>
      </c>
      <c r="Z770" s="9">
        <f>Y770*X770</f>
        <v/>
      </c>
      <c r="AA770" s="10">
        <f>IF(W770&gt;$AE$32,1,0)</f>
        <v/>
      </c>
      <c r="AB770">
        <f>IF(AA770=C770,1,0)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$AE$12+D771*$AE$13+E771*$AE$14+F771*$AE$15+G771*$AE$16+H771*$AE$17+I771*$AE$18+J771*$AE$19+K771*$AE$20+L771*$AE$21+M771*$AE$22+N771*$AE$23+O771*$AE$24+P771*$AE$25+Q771*$AE$26+R771*$AE$27+S771*$AE$28+T771*$AE$29+U771*$AE$30</f>
        <v/>
      </c>
      <c r="W771" s="8">
        <f>1/(1+EXP(-V771))</f>
        <v/>
      </c>
      <c r="X771" s="9">
        <f>-IF(C771=1,LN(W771),LN(1-W771))</f>
        <v/>
      </c>
      <c r="Y771" s="8">
        <f>1</f>
        <v/>
      </c>
      <c r="Z771" s="9">
        <f>Y771*X771</f>
        <v/>
      </c>
      <c r="AA771" s="10">
        <f>IF(W771&gt;$AE$32,1,0)</f>
        <v/>
      </c>
      <c r="AB771">
        <f>IF(AA771=C771,1,0)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$AE$12+D772*$AE$13+E772*$AE$14+F772*$AE$15+G772*$AE$16+H772*$AE$17+I772*$AE$18+J772*$AE$19+K772*$AE$20+L772*$AE$21+M772*$AE$22+N772*$AE$23+O772*$AE$24+P772*$AE$25+Q772*$AE$26+R772*$AE$27+S772*$AE$28+T772*$AE$29+U772*$AE$30</f>
        <v/>
      </c>
      <c r="W772" s="8">
        <f>1/(1+EXP(-V772))</f>
        <v/>
      </c>
      <c r="X772" s="9">
        <f>-IF(C772=1,LN(W772),LN(1-W772))</f>
        <v/>
      </c>
      <c r="Y772" s="8">
        <f>1</f>
        <v/>
      </c>
      <c r="Z772" s="9">
        <f>Y772*X772</f>
        <v/>
      </c>
      <c r="AA772" s="10">
        <f>IF(W772&gt;$AE$32,1,0)</f>
        <v/>
      </c>
      <c r="AB772">
        <f>IF(AA772=C772,1,0)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$AE$12+D773*$AE$13+E773*$AE$14+F773*$AE$15+G773*$AE$16+H773*$AE$17+I773*$AE$18+J773*$AE$19+K773*$AE$20+L773*$AE$21+M773*$AE$22+N773*$AE$23+O773*$AE$24+P773*$AE$25+Q773*$AE$26+R773*$AE$27+S773*$AE$28+T773*$AE$29+U773*$AE$30</f>
        <v/>
      </c>
      <c r="W773" s="8">
        <f>1/(1+EXP(-V773))</f>
        <v/>
      </c>
      <c r="X773" s="9">
        <f>-IF(C773=1,LN(W773),LN(1-W773))</f>
        <v/>
      </c>
      <c r="Y773" s="8">
        <f>1</f>
        <v/>
      </c>
      <c r="Z773" s="9">
        <f>Y773*X773</f>
        <v/>
      </c>
      <c r="AA773" s="10">
        <f>IF(W773&gt;$AE$32,1,0)</f>
        <v/>
      </c>
      <c r="AB773">
        <f>IF(AA773=C773,1,0)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$AE$12+D774*$AE$13+E774*$AE$14+F774*$AE$15+G774*$AE$16+H774*$AE$17+I774*$AE$18+J774*$AE$19+K774*$AE$20+L774*$AE$21+M774*$AE$22+N774*$AE$23+O774*$AE$24+P774*$AE$25+Q774*$AE$26+R774*$AE$27+S774*$AE$28+T774*$AE$29+U774*$AE$30</f>
        <v/>
      </c>
      <c r="W774" s="8">
        <f>1/(1+EXP(-V774))</f>
        <v/>
      </c>
      <c r="X774" s="9">
        <f>-IF(C774=1,LN(W774),LN(1-W774))</f>
        <v/>
      </c>
      <c r="Y774" s="8">
        <f>1</f>
        <v/>
      </c>
      <c r="Z774" s="9">
        <f>Y774*X774</f>
        <v/>
      </c>
      <c r="AA774" s="10">
        <f>IF(W774&gt;$AE$32,1,0)</f>
        <v/>
      </c>
      <c r="AB774">
        <f>IF(AA774=C774,1,0)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$AE$12+D775*$AE$13+E775*$AE$14+F775*$AE$15+G775*$AE$16+H775*$AE$17+I775*$AE$18+J775*$AE$19+K775*$AE$20+L775*$AE$21+M775*$AE$22+N775*$AE$23+O775*$AE$24+P775*$AE$25+Q775*$AE$26+R775*$AE$27+S775*$AE$28+T775*$AE$29+U775*$AE$30</f>
        <v/>
      </c>
      <c r="W775" s="8">
        <f>1/(1+EXP(-V775))</f>
        <v/>
      </c>
      <c r="X775" s="9">
        <f>-IF(C775=1,LN(W775),LN(1-W775))</f>
        <v/>
      </c>
      <c r="Y775" s="8">
        <f>1</f>
        <v/>
      </c>
      <c r="Z775" s="9">
        <f>Y775*X775</f>
        <v/>
      </c>
      <c r="AA775" s="10">
        <f>IF(W775&gt;$AE$32,1,0)</f>
        <v/>
      </c>
      <c r="AB775">
        <f>IF(AA775=C775,1,0)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$AE$12+D776*$AE$13+E776*$AE$14+F776*$AE$15+G776*$AE$16+H776*$AE$17+I776*$AE$18+J776*$AE$19+K776*$AE$20+L776*$AE$21+M776*$AE$22+N776*$AE$23+O776*$AE$24+P776*$AE$25+Q776*$AE$26+R776*$AE$27+S776*$AE$28+T776*$AE$29+U776*$AE$30</f>
        <v/>
      </c>
      <c r="W776" s="8">
        <f>1/(1+EXP(-V776))</f>
        <v/>
      </c>
      <c r="X776" s="9">
        <f>-IF(C776=1,LN(W776),LN(1-W776))</f>
        <v/>
      </c>
      <c r="Y776" s="8">
        <f>1</f>
        <v/>
      </c>
      <c r="Z776" s="9">
        <f>Y776*X776</f>
        <v/>
      </c>
      <c r="AA776" s="10">
        <f>IF(W776&gt;$AE$32,1,0)</f>
        <v/>
      </c>
      <c r="AB776">
        <f>IF(AA776=C776,1,0)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$AE$12+D777*$AE$13+E777*$AE$14+F777*$AE$15+G777*$AE$16+H777*$AE$17+I777*$AE$18+J777*$AE$19+K777*$AE$20+L777*$AE$21+M777*$AE$22+N777*$AE$23+O777*$AE$24+P777*$AE$25+Q777*$AE$26+R777*$AE$27+S777*$AE$28+T777*$AE$29+U777*$AE$30</f>
        <v/>
      </c>
      <c r="W777" s="8">
        <f>1/(1+EXP(-V777))</f>
        <v/>
      </c>
      <c r="X777" s="9">
        <f>-IF(C777=1,LN(W777),LN(1-W777))</f>
        <v/>
      </c>
      <c r="Y777" s="8">
        <f>1</f>
        <v/>
      </c>
      <c r="Z777" s="9">
        <f>Y777*X777</f>
        <v/>
      </c>
      <c r="AA777" s="10">
        <f>IF(W777&gt;$AE$32,1,0)</f>
        <v/>
      </c>
      <c r="AB777">
        <f>IF(AA777=C777,1,0)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$AE$12+D778*$AE$13+E778*$AE$14+F778*$AE$15+G778*$AE$16+H778*$AE$17+I778*$AE$18+J778*$AE$19+K778*$AE$20+L778*$AE$21+M778*$AE$22+N778*$AE$23+O778*$AE$24+P778*$AE$25+Q778*$AE$26+R778*$AE$27+S778*$AE$28+T778*$AE$29+U778*$AE$30</f>
        <v/>
      </c>
      <c r="W778" s="8">
        <f>1/(1+EXP(-V778))</f>
        <v/>
      </c>
      <c r="X778" s="9">
        <f>-IF(C778=1,LN(W778),LN(1-W778))</f>
        <v/>
      </c>
      <c r="Y778" s="8">
        <f>1</f>
        <v/>
      </c>
      <c r="Z778" s="9">
        <f>Y778*X778</f>
        <v/>
      </c>
      <c r="AA778" s="10">
        <f>IF(W778&gt;$AE$32,1,0)</f>
        <v/>
      </c>
      <c r="AB778">
        <f>IF(AA778=C778,1,0)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$AE$12+D779*$AE$13+E779*$AE$14+F779*$AE$15+G779*$AE$16+H779*$AE$17+I779*$AE$18+J779*$AE$19+K779*$AE$20+L779*$AE$21+M779*$AE$22+N779*$AE$23+O779*$AE$24+P779*$AE$25+Q779*$AE$26+R779*$AE$27+S779*$AE$28+T779*$AE$29+U779*$AE$30</f>
        <v/>
      </c>
      <c r="W779" s="8">
        <f>1/(1+EXP(-V779))</f>
        <v/>
      </c>
      <c r="X779" s="9">
        <f>-IF(C779=1,LN(W779),LN(1-W779))</f>
        <v/>
      </c>
      <c r="Y779" s="8">
        <f>1</f>
        <v/>
      </c>
      <c r="Z779" s="9">
        <f>Y779*X779</f>
        <v/>
      </c>
      <c r="AA779" s="10">
        <f>IF(W779&gt;$AE$32,1,0)</f>
        <v/>
      </c>
      <c r="AB779">
        <f>IF(AA779=C779,1,0)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$AE$12+D780*$AE$13+E780*$AE$14+F780*$AE$15+G780*$AE$16+H780*$AE$17+I780*$AE$18+J780*$AE$19+K780*$AE$20+L780*$AE$21+M780*$AE$22+N780*$AE$23+O780*$AE$24+P780*$AE$25+Q780*$AE$26+R780*$AE$27+S780*$AE$28+T780*$AE$29+U780*$AE$30</f>
        <v/>
      </c>
      <c r="W780" s="8">
        <f>1/(1+EXP(-V780))</f>
        <v/>
      </c>
      <c r="X780" s="9">
        <f>-IF(C780=1,LN(W780),LN(1-W780))</f>
        <v/>
      </c>
      <c r="Y780" s="8">
        <f>1</f>
        <v/>
      </c>
      <c r="Z780" s="9">
        <f>Y780*X780</f>
        <v/>
      </c>
      <c r="AA780" s="10">
        <f>IF(W780&gt;$AE$32,1,0)</f>
        <v/>
      </c>
      <c r="AB780">
        <f>IF(AA780=C780,1,0)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$AE$12+D781*$AE$13+E781*$AE$14+F781*$AE$15+G781*$AE$16+H781*$AE$17+I781*$AE$18+J781*$AE$19+K781*$AE$20+L781*$AE$21+M781*$AE$22+N781*$AE$23+O781*$AE$24+P781*$AE$25+Q781*$AE$26+R781*$AE$27+S781*$AE$28+T781*$AE$29+U781*$AE$30</f>
        <v/>
      </c>
      <c r="W781" s="8">
        <f>1/(1+EXP(-V781))</f>
        <v/>
      </c>
      <c r="X781" s="9">
        <f>-IF(C781=1,LN(W781),LN(1-W781))</f>
        <v/>
      </c>
      <c r="Y781" s="8">
        <f>1</f>
        <v/>
      </c>
      <c r="Z781" s="9">
        <f>Y781*X781</f>
        <v/>
      </c>
      <c r="AA781" s="10">
        <f>IF(W781&gt;$AE$32,1,0)</f>
        <v/>
      </c>
      <c r="AB781">
        <f>IF(AA781=C781,1,0)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$AE$12+D782*$AE$13+E782*$AE$14+F782*$AE$15+G782*$AE$16+H782*$AE$17+I782*$AE$18+J782*$AE$19+K782*$AE$20+L782*$AE$21+M782*$AE$22+N782*$AE$23+O782*$AE$24+P782*$AE$25+Q782*$AE$26+R782*$AE$27+S782*$AE$28+T782*$AE$29+U782*$AE$30</f>
        <v/>
      </c>
      <c r="W782" s="8">
        <f>1/(1+EXP(-V782))</f>
        <v/>
      </c>
      <c r="X782" s="9">
        <f>-IF(C782=1,LN(W782),LN(1-W782))</f>
        <v/>
      </c>
      <c r="Y782" s="8">
        <f>1</f>
        <v/>
      </c>
      <c r="Z782" s="9">
        <f>Y782*X782</f>
        <v/>
      </c>
      <c r="AA782" s="10">
        <f>IF(W782&gt;$AE$32,1,0)</f>
        <v/>
      </c>
      <c r="AB782">
        <f>IF(AA782=C782,1,0)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$AE$12+D783*$AE$13+E783*$AE$14+F783*$AE$15+G783*$AE$16+H783*$AE$17+I783*$AE$18+J783*$AE$19+K783*$AE$20+L783*$AE$21+M783*$AE$22+N783*$AE$23+O783*$AE$24+P783*$AE$25+Q783*$AE$26+R783*$AE$27+S783*$AE$28+T783*$AE$29+U783*$AE$30</f>
        <v/>
      </c>
      <c r="W783" s="8">
        <f>1/(1+EXP(-V783))</f>
        <v/>
      </c>
      <c r="X783" s="9">
        <f>-IF(C783=1,LN(W783),LN(1-W783))</f>
        <v/>
      </c>
      <c r="Y783" s="8">
        <f>1</f>
        <v/>
      </c>
      <c r="Z783" s="9">
        <f>Y783*X783</f>
        <v/>
      </c>
      <c r="AA783" s="10">
        <f>IF(W783&gt;$AE$32,1,0)</f>
        <v/>
      </c>
      <c r="AB783">
        <f>IF(AA783=C783,1,0)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$AE$12+D784*$AE$13+E784*$AE$14+F784*$AE$15+G784*$AE$16+H784*$AE$17+I784*$AE$18+J784*$AE$19+K784*$AE$20+L784*$AE$21+M784*$AE$22+N784*$AE$23+O784*$AE$24+P784*$AE$25+Q784*$AE$26+R784*$AE$27+S784*$AE$28+T784*$AE$29+U784*$AE$30</f>
        <v/>
      </c>
      <c r="W784" s="8">
        <f>1/(1+EXP(-V784))</f>
        <v/>
      </c>
      <c r="X784" s="9">
        <f>-IF(C784=1,LN(W784),LN(1-W784))</f>
        <v/>
      </c>
      <c r="Y784" s="8">
        <f>1</f>
        <v/>
      </c>
      <c r="Z784" s="9">
        <f>Y784*X784</f>
        <v/>
      </c>
      <c r="AA784" s="10">
        <f>IF(W784&gt;$AE$32,1,0)</f>
        <v/>
      </c>
      <c r="AB784">
        <f>IF(AA784=C784,1,0)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$AE$12+D785*$AE$13+E785*$AE$14+F785*$AE$15+G785*$AE$16+H785*$AE$17+I785*$AE$18+J785*$AE$19+K785*$AE$20+L785*$AE$21+M785*$AE$22+N785*$AE$23+O785*$AE$24+P785*$AE$25+Q785*$AE$26+R785*$AE$27+S785*$AE$28+T785*$AE$29+U785*$AE$30</f>
        <v/>
      </c>
      <c r="W785" s="8">
        <f>1/(1+EXP(-V785))</f>
        <v/>
      </c>
      <c r="X785" s="9">
        <f>-IF(C785=1,LN(W785),LN(1-W785))</f>
        <v/>
      </c>
      <c r="Y785" s="8">
        <f>1</f>
        <v/>
      </c>
      <c r="Z785" s="9">
        <f>Y785*X785</f>
        <v/>
      </c>
      <c r="AA785" s="10">
        <f>IF(W785&gt;$AE$32,1,0)</f>
        <v/>
      </c>
      <c r="AB785">
        <f>IF(AA785=C785,1,0)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$AE$12+D786*$AE$13+E786*$AE$14+F786*$AE$15+G786*$AE$16+H786*$AE$17+I786*$AE$18+J786*$AE$19+K786*$AE$20+L786*$AE$21+M786*$AE$22+N786*$AE$23+O786*$AE$24+P786*$AE$25+Q786*$AE$26+R786*$AE$27+S786*$AE$28+T786*$AE$29+U786*$AE$30</f>
        <v/>
      </c>
      <c r="W786" s="8">
        <f>1/(1+EXP(-V786))</f>
        <v/>
      </c>
      <c r="X786" s="9">
        <f>-IF(C786=1,LN(W786),LN(1-W786))</f>
        <v/>
      </c>
      <c r="Y786" s="8">
        <f>1</f>
        <v/>
      </c>
      <c r="Z786" s="9">
        <f>Y786*X786</f>
        <v/>
      </c>
      <c r="AA786" s="10">
        <f>IF(W786&gt;$AE$32,1,0)</f>
        <v/>
      </c>
      <c r="AB786">
        <f>IF(AA786=C786,1,0)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$AE$12+D787*$AE$13+E787*$AE$14+F787*$AE$15+G787*$AE$16+H787*$AE$17+I787*$AE$18+J787*$AE$19+K787*$AE$20+L787*$AE$21+M787*$AE$22+N787*$AE$23+O787*$AE$24+P787*$AE$25+Q787*$AE$26+R787*$AE$27+S787*$AE$28+T787*$AE$29+U787*$AE$30</f>
        <v/>
      </c>
      <c r="W787" s="8">
        <f>1/(1+EXP(-V787))</f>
        <v/>
      </c>
      <c r="X787" s="9">
        <f>-IF(C787=1,LN(W787),LN(1-W787))</f>
        <v/>
      </c>
      <c r="Y787" s="8">
        <f>1</f>
        <v/>
      </c>
      <c r="Z787" s="9">
        <f>Y787*X787</f>
        <v/>
      </c>
      <c r="AA787" s="10">
        <f>IF(W787&gt;$AE$32,1,0)</f>
        <v/>
      </c>
      <c r="AB787">
        <f>IF(AA787=C787,1,0)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$AE$12+D788*$AE$13+E788*$AE$14+F788*$AE$15+G788*$AE$16+H788*$AE$17+I788*$AE$18+J788*$AE$19+K788*$AE$20+L788*$AE$21+M788*$AE$22+N788*$AE$23+O788*$AE$24+P788*$AE$25+Q788*$AE$26+R788*$AE$27+S788*$AE$28+T788*$AE$29+U788*$AE$30</f>
        <v/>
      </c>
      <c r="W788" s="8">
        <f>1/(1+EXP(-V788))</f>
        <v/>
      </c>
      <c r="X788" s="9">
        <f>-IF(C788=1,LN(W788),LN(1-W788))</f>
        <v/>
      </c>
      <c r="Y788" s="8">
        <f>1</f>
        <v/>
      </c>
      <c r="Z788" s="9">
        <f>Y788*X788</f>
        <v/>
      </c>
      <c r="AA788" s="10">
        <f>IF(W788&gt;$AE$32,1,0)</f>
        <v/>
      </c>
      <c r="AB788">
        <f>IF(AA788=C788,1,0)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$AE$12+D789*$AE$13+E789*$AE$14+F789*$AE$15+G789*$AE$16+H789*$AE$17+I789*$AE$18+J789*$AE$19+K789*$AE$20+L789*$AE$21+M789*$AE$22+N789*$AE$23+O789*$AE$24+P789*$AE$25+Q789*$AE$26+R789*$AE$27+S789*$AE$28+T789*$AE$29+U789*$AE$30</f>
        <v/>
      </c>
      <c r="W789" s="8">
        <f>1/(1+EXP(-V789))</f>
        <v/>
      </c>
      <c r="X789" s="9">
        <f>-IF(C789=1,LN(W789),LN(1-W789))</f>
        <v/>
      </c>
      <c r="Y789" s="8">
        <f>1</f>
        <v/>
      </c>
      <c r="Z789" s="9">
        <f>Y789*X789</f>
        <v/>
      </c>
      <c r="AA789" s="10">
        <f>IF(W789&gt;$AE$32,1,0)</f>
        <v/>
      </c>
      <c r="AB789">
        <f>IF(AA789=C789,1,0)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$AE$12+D790*$AE$13+E790*$AE$14+F790*$AE$15+G790*$AE$16+H790*$AE$17+I790*$AE$18+J790*$AE$19+K790*$AE$20+L790*$AE$21+M790*$AE$22+N790*$AE$23+O790*$AE$24+P790*$AE$25+Q790*$AE$26+R790*$AE$27+S790*$AE$28+T790*$AE$29+U790*$AE$30</f>
        <v/>
      </c>
      <c r="W790" s="8">
        <f>1/(1+EXP(-V790))</f>
        <v/>
      </c>
      <c r="X790" s="9">
        <f>-IF(C790=1,LN(W790),LN(1-W790))</f>
        <v/>
      </c>
      <c r="Y790" s="8">
        <f>1</f>
        <v/>
      </c>
      <c r="Z790" s="9">
        <f>Y790*X790</f>
        <v/>
      </c>
      <c r="AA790" s="10">
        <f>IF(W790&gt;$AE$32,1,0)</f>
        <v/>
      </c>
      <c r="AB790">
        <f>IF(AA790=C790,1,0)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$AE$12+D791*$AE$13+E791*$AE$14+F791*$AE$15+G791*$AE$16+H791*$AE$17+I791*$AE$18+J791*$AE$19+K791*$AE$20+L791*$AE$21+M791*$AE$22+N791*$AE$23+O791*$AE$24+P791*$AE$25+Q791*$AE$26+R791*$AE$27+S791*$AE$28+T791*$AE$29+U791*$AE$30</f>
        <v/>
      </c>
      <c r="W791" s="8">
        <f>1/(1+EXP(-V791))</f>
        <v/>
      </c>
      <c r="X791" s="9">
        <f>-IF(C791=1,LN(W791),LN(1-W791))</f>
        <v/>
      </c>
      <c r="Y791" s="8">
        <f>1</f>
        <v/>
      </c>
      <c r="Z791" s="9">
        <f>Y791*X791</f>
        <v/>
      </c>
      <c r="AA791" s="10">
        <f>IF(W791&gt;$AE$32,1,0)</f>
        <v/>
      </c>
      <c r="AB791">
        <f>IF(AA791=C791,1,0)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$AE$12+D792*$AE$13+E792*$AE$14+F792*$AE$15+G792*$AE$16+H792*$AE$17+I792*$AE$18+J792*$AE$19+K792*$AE$20+L792*$AE$21+M792*$AE$22+N792*$AE$23+O792*$AE$24+P792*$AE$25+Q792*$AE$26+R792*$AE$27+S792*$AE$28+T792*$AE$29+U792*$AE$30</f>
        <v/>
      </c>
      <c r="W792" s="8">
        <f>1/(1+EXP(-V792))</f>
        <v/>
      </c>
      <c r="X792" s="9">
        <f>-IF(C792=1,LN(W792),LN(1-W792))</f>
        <v/>
      </c>
      <c r="Y792" s="8">
        <f>1</f>
        <v/>
      </c>
      <c r="Z792" s="9">
        <f>Y792*X792</f>
        <v/>
      </c>
      <c r="AA792" s="10">
        <f>IF(W792&gt;$AE$32,1,0)</f>
        <v/>
      </c>
      <c r="AB792">
        <f>IF(AA792=C792,1,0)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$AE$12+D793*$AE$13+E793*$AE$14+F793*$AE$15+G793*$AE$16+H793*$AE$17+I793*$AE$18+J793*$AE$19+K793*$AE$20+L793*$AE$21+M793*$AE$22+N793*$AE$23+O793*$AE$24+P793*$AE$25+Q793*$AE$26+R793*$AE$27+S793*$AE$28+T793*$AE$29+U793*$AE$30</f>
        <v/>
      </c>
      <c r="W793" s="8">
        <f>1/(1+EXP(-V793))</f>
        <v/>
      </c>
      <c r="X793" s="9">
        <f>-IF(C793=1,LN(W793),LN(1-W793))</f>
        <v/>
      </c>
      <c r="Y793" s="8">
        <f>1</f>
        <v/>
      </c>
      <c r="Z793" s="9">
        <f>Y793*X793</f>
        <v/>
      </c>
      <c r="AA793" s="10">
        <f>IF(W793&gt;$AE$32,1,0)</f>
        <v/>
      </c>
      <c r="AB793">
        <f>IF(AA793=C793,1,0)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$AE$12+D794*$AE$13+E794*$AE$14+F794*$AE$15+G794*$AE$16+H794*$AE$17+I794*$AE$18+J794*$AE$19+K794*$AE$20+L794*$AE$21+M794*$AE$22+N794*$AE$23+O794*$AE$24+P794*$AE$25+Q794*$AE$26+R794*$AE$27+S794*$AE$28+T794*$AE$29+U794*$AE$30</f>
        <v/>
      </c>
      <c r="W794" s="8">
        <f>1/(1+EXP(-V794))</f>
        <v/>
      </c>
      <c r="X794" s="9">
        <f>-IF(C794=1,LN(W794),LN(1-W794))</f>
        <v/>
      </c>
      <c r="Y794" s="8">
        <f>1</f>
        <v/>
      </c>
      <c r="Z794" s="9">
        <f>Y794*X794</f>
        <v/>
      </c>
      <c r="AA794" s="10">
        <f>IF(W794&gt;$AE$32,1,0)</f>
        <v/>
      </c>
      <c r="AB794">
        <f>IF(AA794=C794,1,0)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$AE$12+D795*$AE$13+E795*$AE$14+F795*$AE$15+G795*$AE$16+H795*$AE$17+I795*$AE$18+J795*$AE$19+K795*$AE$20+L795*$AE$21+M795*$AE$22+N795*$AE$23+O795*$AE$24+P795*$AE$25+Q795*$AE$26+R795*$AE$27+S795*$AE$28+T795*$AE$29+U795*$AE$30</f>
        <v/>
      </c>
      <c r="W795" s="8">
        <f>1/(1+EXP(-V795))</f>
        <v/>
      </c>
      <c r="X795" s="9">
        <f>-IF(C795=1,LN(W795),LN(1-W795))</f>
        <v/>
      </c>
      <c r="Y795" s="8">
        <f>1</f>
        <v/>
      </c>
      <c r="Z795" s="9">
        <f>Y795*X795</f>
        <v/>
      </c>
      <c r="AA795" s="10">
        <f>IF(W795&gt;$AE$32,1,0)</f>
        <v/>
      </c>
      <c r="AB795">
        <f>IF(AA795=C795,1,0)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$AE$12+D796*$AE$13+E796*$AE$14+F796*$AE$15+G796*$AE$16+H796*$AE$17+I796*$AE$18+J796*$AE$19+K796*$AE$20+L796*$AE$21+M796*$AE$22+N796*$AE$23+O796*$AE$24+P796*$AE$25+Q796*$AE$26+R796*$AE$27+S796*$AE$28+T796*$AE$29+U796*$AE$30</f>
        <v/>
      </c>
      <c r="W796" s="8">
        <f>1/(1+EXP(-V796))</f>
        <v/>
      </c>
      <c r="X796" s="9">
        <f>-IF(C796=1,LN(W796),LN(1-W796))</f>
        <v/>
      </c>
      <c r="Y796" s="8">
        <f>1</f>
        <v/>
      </c>
      <c r="Z796" s="9">
        <f>Y796*X796</f>
        <v/>
      </c>
      <c r="AA796" s="10">
        <f>IF(W796&gt;$AE$32,1,0)</f>
        <v/>
      </c>
      <c r="AB796">
        <f>IF(AA796=C796,1,0)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$AE$12+D797*$AE$13+E797*$AE$14+F797*$AE$15+G797*$AE$16+H797*$AE$17+I797*$AE$18+J797*$AE$19+K797*$AE$20+L797*$AE$21+M797*$AE$22+N797*$AE$23+O797*$AE$24+P797*$AE$25+Q797*$AE$26+R797*$AE$27+S797*$AE$28+T797*$AE$29+U797*$AE$30</f>
        <v/>
      </c>
      <c r="W797" s="8">
        <f>1/(1+EXP(-V797))</f>
        <v/>
      </c>
      <c r="X797" s="9">
        <f>-IF(C797=1,LN(W797),LN(1-W797))</f>
        <v/>
      </c>
      <c r="Y797" s="8">
        <f>1</f>
        <v/>
      </c>
      <c r="Z797" s="9">
        <f>Y797*X797</f>
        <v/>
      </c>
      <c r="AA797" s="10">
        <f>IF(W797&gt;$AE$32,1,0)</f>
        <v/>
      </c>
      <c r="AB797">
        <f>IF(AA797=C797,1,0)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$AE$12+D798*$AE$13+E798*$AE$14+F798*$AE$15+G798*$AE$16+H798*$AE$17+I798*$AE$18+J798*$AE$19+K798*$AE$20+L798*$AE$21+M798*$AE$22+N798*$AE$23+O798*$AE$24+P798*$AE$25+Q798*$AE$26+R798*$AE$27+S798*$AE$28+T798*$AE$29+U798*$AE$30</f>
        <v/>
      </c>
      <c r="W798" s="8">
        <f>1/(1+EXP(-V798))</f>
        <v/>
      </c>
      <c r="X798" s="9">
        <f>-IF(C798=1,LN(W798),LN(1-W798))</f>
        <v/>
      </c>
      <c r="Y798" s="8">
        <f>1</f>
        <v/>
      </c>
      <c r="Z798" s="9">
        <f>Y798*X798</f>
        <v/>
      </c>
      <c r="AA798" s="10">
        <f>IF(W798&gt;$AE$32,1,0)</f>
        <v/>
      </c>
      <c r="AB798">
        <f>IF(AA798=C798,1,0)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$AE$12+D799*$AE$13+E799*$AE$14+F799*$AE$15+G799*$AE$16+H799*$AE$17+I799*$AE$18+J799*$AE$19+K799*$AE$20+L799*$AE$21+M799*$AE$22+N799*$AE$23+O799*$AE$24+P799*$AE$25+Q799*$AE$26+R799*$AE$27+S799*$AE$28+T799*$AE$29+U799*$AE$30</f>
        <v/>
      </c>
      <c r="W799" s="8">
        <f>1/(1+EXP(-V799))</f>
        <v/>
      </c>
      <c r="X799" s="9">
        <f>-IF(C799=1,LN(W799),LN(1-W799))</f>
        <v/>
      </c>
      <c r="Y799" s="8">
        <f>1</f>
        <v/>
      </c>
      <c r="Z799" s="9">
        <f>Y799*X799</f>
        <v/>
      </c>
      <c r="AA799" s="10">
        <f>IF(W799&gt;$AE$32,1,0)</f>
        <v/>
      </c>
      <c r="AB799">
        <f>IF(AA799=C799,1,0)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$AE$12+D800*$AE$13+E800*$AE$14+F800*$AE$15+G800*$AE$16+H800*$AE$17+I800*$AE$18+J800*$AE$19+K800*$AE$20+L800*$AE$21+M800*$AE$22+N800*$AE$23+O800*$AE$24+P800*$AE$25+Q800*$AE$26+R800*$AE$27+S800*$AE$28+T800*$AE$29+U800*$AE$30</f>
        <v/>
      </c>
      <c r="W800" s="8">
        <f>1/(1+EXP(-V800))</f>
        <v/>
      </c>
      <c r="X800" s="9">
        <f>-IF(C800=1,LN(W800),LN(1-W800))</f>
        <v/>
      </c>
      <c r="Y800" s="8">
        <f>1</f>
        <v/>
      </c>
      <c r="Z800" s="9">
        <f>Y800*X800</f>
        <v/>
      </c>
      <c r="AA800" s="10">
        <f>IF(W800&gt;$AE$32,1,0)</f>
        <v/>
      </c>
      <c r="AB800">
        <f>IF(AA800=C800,1,0)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$AE$12+D801*$AE$13+E801*$AE$14+F801*$AE$15+G801*$AE$16+H801*$AE$17+I801*$AE$18+J801*$AE$19+K801*$AE$20+L801*$AE$21+M801*$AE$22+N801*$AE$23+O801*$AE$24+P801*$AE$25+Q801*$AE$26+R801*$AE$27+S801*$AE$28+T801*$AE$29+U801*$AE$30</f>
        <v/>
      </c>
      <c r="W801" s="8">
        <f>1/(1+EXP(-V801))</f>
        <v/>
      </c>
      <c r="X801" s="9">
        <f>-IF(C801=1,LN(W801),LN(1-W801))</f>
        <v/>
      </c>
      <c r="Y801" s="8">
        <f>1</f>
        <v/>
      </c>
      <c r="Z801" s="9">
        <f>Y801*X801</f>
        <v/>
      </c>
      <c r="AA801" s="10">
        <f>IF(W801&gt;$AE$32,1,0)</f>
        <v/>
      </c>
      <c r="AB801">
        <f>IF(AA801=C801,1,0)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$AE$12+D802*$AE$13+E802*$AE$14+F802*$AE$15+G802*$AE$16+H802*$AE$17+I802*$AE$18+J802*$AE$19+K802*$AE$20+L802*$AE$21+M802*$AE$22+N802*$AE$23+O802*$AE$24+P802*$AE$25+Q802*$AE$26+R802*$AE$27+S802*$AE$28+T802*$AE$29+U802*$AE$30</f>
        <v/>
      </c>
      <c r="W802" s="8">
        <f>1/(1+EXP(-V802))</f>
        <v/>
      </c>
      <c r="X802" s="9">
        <f>-IF(C802=1,LN(W802),LN(1-W802))</f>
        <v/>
      </c>
      <c r="Y802" s="8">
        <f>1</f>
        <v/>
      </c>
      <c r="Z802" s="9">
        <f>Y802*X802</f>
        <v/>
      </c>
      <c r="AA802" s="10">
        <f>IF(W802&gt;$AE$32,1,0)</f>
        <v/>
      </c>
      <c r="AB802">
        <f>IF(AA802=C802,1,0)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$AE$12+D803*$AE$13+E803*$AE$14+F803*$AE$15+G803*$AE$16+H803*$AE$17+I803*$AE$18+J803*$AE$19+K803*$AE$20+L803*$AE$21+M803*$AE$22+N803*$AE$23+O803*$AE$24+P803*$AE$25+Q803*$AE$26+R803*$AE$27+S803*$AE$28+T803*$AE$29+U803*$AE$30</f>
        <v/>
      </c>
      <c r="W803" s="8">
        <f>1/(1+EXP(-V803))</f>
        <v/>
      </c>
      <c r="X803" s="9">
        <f>-IF(C803=1,LN(W803),LN(1-W803))</f>
        <v/>
      </c>
      <c r="Y803" s="8">
        <f>1</f>
        <v/>
      </c>
      <c r="Z803" s="9">
        <f>Y803*X803</f>
        <v/>
      </c>
      <c r="AA803" s="10">
        <f>IF(W803&gt;$AE$32,1,0)</f>
        <v/>
      </c>
      <c r="AB803">
        <f>IF(AA803=C803,1,0)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$AE$12+D804*$AE$13+E804*$AE$14+F804*$AE$15+G804*$AE$16+H804*$AE$17+I804*$AE$18+J804*$AE$19+K804*$AE$20+L804*$AE$21+M804*$AE$22+N804*$AE$23+O804*$AE$24+P804*$AE$25+Q804*$AE$26+R804*$AE$27+S804*$AE$28+T804*$AE$29+U804*$AE$30</f>
        <v/>
      </c>
      <c r="W804" s="8">
        <f>1/(1+EXP(-V804))</f>
        <v/>
      </c>
      <c r="X804" s="9">
        <f>-IF(C804=1,LN(W804),LN(1-W804))</f>
        <v/>
      </c>
      <c r="Y804" s="8">
        <f>1</f>
        <v/>
      </c>
      <c r="Z804" s="9">
        <f>Y804*X804</f>
        <v/>
      </c>
      <c r="AA804" s="10">
        <f>IF(W804&gt;$AE$32,1,0)</f>
        <v/>
      </c>
      <c r="AB804">
        <f>IF(AA804=C804,1,0)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$AE$12+D805*$AE$13+E805*$AE$14+F805*$AE$15+G805*$AE$16+H805*$AE$17+I805*$AE$18+J805*$AE$19+K805*$AE$20+L805*$AE$21+M805*$AE$22+N805*$AE$23+O805*$AE$24+P805*$AE$25+Q805*$AE$26+R805*$AE$27+S805*$AE$28+T805*$AE$29+U805*$AE$30</f>
        <v/>
      </c>
      <c r="W805" s="8">
        <f>1/(1+EXP(-V805))</f>
        <v/>
      </c>
      <c r="X805" s="9">
        <f>-IF(C805=1,LN(W805),LN(1-W805))</f>
        <v/>
      </c>
      <c r="Y805" s="8">
        <f>1</f>
        <v/>
      </c>
      <c r="Z805" s="9">
        <f>Y805*X805</f>
        <v/>
      </c>
      <c r="AA805" s="10">
        <f>IF(W805&gt;$AE$32,1,0)</f>
        <v/>
      </c>
      <c r="AB805">
        <f>IF(AA805=C805,1,0)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$AE$12+D806*$AE$13+E806*$AE$14+F806*$AE$15+G806*$AE$16+H806*$AE$17+I806*$AE$18+J806*$AE$19+K806*$AE$20+L806*$AE$21+M806*$AE$22+N806*$AE$23+O806*$AE$24+P806*$AE$25+Q806*$AE$26+R806*$AE$27+S806*$AE$28+T806*$AE$29+U806*$AE$30</f>
        <v/>
      </c>
      <c r="W806" s="8">
        <f>1/(1+EXP(-V806))</f>
        <v/>
      </c>
      <c r="X806" s="9">
        <f>-IF(C806=1,LN(W806),LN(1-W806))</f>
        <v/>
      </c>
      <c r="Y806" s="8">
        <f>1</f>
        <v/>
      </c>
      <c r="Z806" s="9">
        <f>Y806*X806</f>
        <v/>
      </c>
      <c r="AA806" s="10">
        <f>IF(W806&gt;$AE$32,1,0)</f>
        <v/>
      </c>
      <c r="AB806">
        <f>IF(AA806=C806,1,0)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$AE$12+D807*$AE$13+E807*$AE$14+F807*$AE$15+G807*$AE$16+H807*$AE$17+I807*$AE$18+J807*$AE$19+K807*$AE$20+L807*$AE$21+M807*$AE$22+N807*$AE$23+O807*$AE$24+P807*$AE$25+Q807*$AE$26+R807*$AE$27+S807*$AE$28+T807*$AE$29+U807*$AE$30</f>
        <v/>
      </c>
      <c r="W807" s="8">
        <f>1/(1+EXP(-V807))</f>
        <v/>
      </c>
      <c r="X807" s="9">
        <f>-IF(C807=1,LN(W807),LN(1-W807))</f>
        <v/>
      </c>
      <c r="Y807" s="8">
        <f>1</f>
        <v/>
      </c>
      <c r="Z807" s="9">
        <f>Y807*X807</f>
        <v/>
      </c>
      <c r="AA807" s="10">
        <f>IF(W807&gt;$AE$32,1,0)</f>
        <v/>
      </c>
      <c r="AB807">
        <f>IF(AA807=C807,1,0)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$AE$12+D808*$AE$13+E808*$AE$14+F808*$AE$15+G808*$AE$16+H808*$AE$17+I808*$AE$18+J808*$AE$19+K808*$AE$20+L808*$AE$21+M808*$AE$22+N808*$AE$23+O808*$AE$24+P808*$AE$25+Q808*$AE$26+R808*$AE$27+S808*$AE$28+T808*$AE$29+U808*$AE$30</f>
        <v/>
      </c>
      <c r="W808" s="8">
        <f>1/(1+EXP(-V808))</f>
        <v/>
      </c>
      <c r="X808" s="9">
        <f>-IF(C808=1,LN(W808),LN(1-W808))</f>
        <v/>
      </c>
      <c r="Y808" s="8">
        <f>1</f>
        <v/>
      </c>
      <c r="Z808" s="9">
        <f>Y808*X808</f>
        <v/>
      </c>
      <c r="AA808" s="10">
        <f>IF(W808&gt;$AE$32,1,0)</f>
        <v/>
      </c>
      <c r="AB808">
        <f>IF(AA808=C808,1,0)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$AE$12+D809*$AE$13+E809*$AE$14+F809*$AE$15+G809*$AE$16+H809*$AE$17+I809*$AE$18+J809*$AE$19+K809*$AE$20+L809*$AE$21+M809*$AE$22+N809*$AE$23+O809*$AE$24+P809*$AE$25+Q809*$AE$26+R809*$AE$27+S809*$AE$28+T809*$AE$29+U809*$AE$30</f>
        <v/>
      </c>
      <c r="W809" s="8">
        <f>1/(1+EXP(-V809))</f>
        <v/>
      </c>
      <c r="X809" s="9">
        <f>-IF(C809=1,LN(W809),LN(1-W809))</f>
        <v/>
      </c>
      <c r="Y809" s="8">
        <f>1</f>
        <v/>
      </c>
      <c r="Z809" s="9">
        <f>Y809*X809</f>
        <v/>
      </c>
      <c r="AA809" s="10">
        <f>IF(W809&gt;$AE$32,1,0)</f>
        <v/>
      </c>
      <c r="AB809">
        <f>IF(AA809=C809,1,0)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$AE$12+D810*$AE$13+E810*$AE$14+F810*$AE$15+G810*$AE$16+H810*$AE$17+I810*$AE$18+J810*$AE$19+K810*$AE$20+L810*$AE$21+M810*$AE$22+N810*$AE$23+O810*$AE$24+P810*$AE$25+Q810*$AE$26+R810*$AE$27+S810*$AE$28+T810*$AE$29+U810*$AE$30</f>
        <v/>
      </c>
      <c r="W810" s="8">
        <f>1/(1+EXP(-V810))</f>
        <v/>
      </c>
      <c r="X810" s="9">
        <f>-IF(C810=1,LN(W810),LN(1-W810))</f>
        <v/>
      </c>
      <c r="Y810" s="8">
        <f>1</f>
        <v/>
      </c>
      <c r="Z810" s="9">
        <f>Y810*X810</f>
        <v/>
      </c>
      <c r="AA810" s="10">
        <f>IF(W810&gt;$AE$32,1,0)</f>
        <v/>
      </c>
      <c r="AB810">
        <f>IF(AA810=C810,1,0)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$AE$12+D811*$AE$13+E811*$AE$14+F811*$AE$15+G811*$AE$16+H811*$AE$17+I811*$AE$18+J811*$AE$19+K811*$AE$20+L811*$AE$21+M811*$AE$22+N811*$AE$23+O811*$AE$24+P811*$AE$25+Q811*$AE$26+R811*$AE$27+S811*$AE$28+T811*$AE$29+U811*$AE$30</f>
        <v/>
      </c>
      <c r="W811" s="8">
        <f>1/(1+EXP(-V811))</f>
        <v/>
      </c>
      <c r="X811" s="9">
        <f>-IF(C811=1,LN(W811),LN(1-W811))</f>
        <v/>
      </c>
      <c r="Y811" s="8">
        <f>1</f>
        <v/>
      </c>
      <c r="Z811" s="9">
        <f>Y811*X811</f>
        <v/>
      </c>
      <c r="AA811" s="10">
        <f>IF(W811&gt;$AE$32,1,0)</f>
        <v/>
      </c>
      <c r="AB811">
        <f>IF(AA811=C811,1,0)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$AE$12+D812*$AE$13+E812*$AE$14+F812*$AE$15+G812*$AE$16+H812*$AE$17+I812*$AE$18+J812*$AE$19+K812*$AE$20+L812*$AE$21+M812*$AE$22+N812*$AE$23+O812*$AE$24+P812*$AE$25+Q812*$AE$26+R812*$AE$27+S812*$AE$28+T812*$AE$29+U812*$AE$30</f>
        <v/>
      </c>
      <c r="W812" s="8">
        <f>1/(1+EXP(-V812))</f>
        <v/>
      </c>
      <c r="X812" s="9">
        <f>-IF(C812=1,LN(W812),LN(1-W812))</f>
        <v/>
      </c>
      <c r="Y812" s="8">
        <f>1</f>
        <v/>
      </c>
      <c r="Z812" s="9">
        <f>Y812*X812</f>
        <v/>
      </c>
      <c r="AA812" s="10">
        <f>IF(W812&gt;$AE$32,1,0)</f>
        <v/>
      </c>
      <c r="AB812">
        <f>IF(AA812=C812,1,0)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$AE$12+D813*$AE$13+E813*$AE$14+F813*$AE$15+G813*$AE$16+H813*$AE$17+I813*$AE$18+J813*$AE$19+K813*$AE$20+L813*$AE$21+M813*$AE$22+N813*$AE$23+O813*$AE$24+P813*$AE$25+Q813*$AE$26+R813*$AE$27+S813*$AE$28+T813*$AE$29+U813*$AE$30</f>
        <v/>
      </c>
      <c r="W813" s="8">
        <f>1/(1+EXP(-V813))</f>
        <v/>
      </c>
      <c r="X813" s="9">
        <f>-IF(C813=1,LN(W813),LN(1-W813))</f>
        <v/>
      </c>
      <c r="Y813" s="8">
        <f>1</f>
        <v/>
      </c>
      <c r="Z813" s="9">
        <f>Y813*X813</f>
        <v/>
      </c>
      <c r="AA813" s="10">
        <f>IF(W813&gt;$AE$32,1,0)</f>
        <v/>
      </c>
      <c r="AB813">
        <f>IF(AA813=C813,1,0)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$AE$12+D814*$AE$13+E814*$AE$14+F814*$AE$15+G814*$AE$16+H814*$AE$17+I814*$AE$18+J814*$AE$19+K814*$AE$20+L814*$AE$21+M814*$AE$22+N814*$AE$23+O814*$AE$24+P814*$AE$25+Q814*$AE$26+R814*$AE$27+S814*$AE$28+T814*$AE$29+U814*$AE$30</f>
        <v/>
      </c>
      <c r="W814" s="8">
        <f>1/(1+EXP(-V814))</f>
        <v/>
      </c>
      <c r="X814" s="9">
        <f>-IF(C814=1,LN(W814),LN(1-W814))</f>
        <v/>
      </c>
      <c r="Y814" s="8">
        <f>1</f>
        <v/>
      </c>
      <c r="Z814" s="9">
        <f>Y814*X814</f>
        <v/>
      </c>
      <c r="AA814" s="10">
        <f>IF(W814&gt;$AE$32,1,0)</f>
        <v/>
      </c>
      <c r="AB814">
        <f>IF(AA814=C814,1,0)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$AE$12+D815*$AE$13+E815*$AE$14+F815*$AE$15+G815*$AE$16+H815*$AE$17+I815*$AE$18+J815*$AE$19+K815*$AE$20+L815*$AE$21+M815*$AE$22+N815*$AE$23+O815*$AE$24+P815*$AE$25+Q815*$AE$26+R815*$AE$27+S815*$AE$28+T815*$AE$29+U815*$AE$30</f>
        <v/>
      </c>
      <c r="W815" s="8">
        <f>1/(1+EXP(-V815))</f>
        <v/>
      </c>
      <c r="X815" s="9">
        <f>-IF(C815=1,LN(W815),LN(1-W815))</f>
        <v/>
      </c>
      <c r="Y815" s="8">
        <f>1</f>
        <v/>
      </c>
      <c r="Z815" s="9">
        <f>Y815*X815</f>
        <v/>
      </c>
      <c r="AA815" s="10">
        <f>IF(W815&gt;$AE$32,1,0)</f>
        <v/>
      </c>
      <c r="AB815">
        <f>IF(AA815=C815,1,0)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$AE$12+D816*$AE$13+E816*$AE$14+F816*$AE$15+G816*$AE$16+H816*$AE$17+I816*$AE$18+J816*$AE$19+K816*$AE$20+L816*$AE$21+M816*$AE$22+N816*$AE$23+O816*$AE$24+P816*$AE$25+Q816*$AE$26+R816*$AE$27+S816*$AE$28+T816*$AE$29+U816*$AE$30</f>
        <v/>
      </c>
      <c r="W816" s="8">
        <f>1/(1+EXP(-V816))</f>
        <v/>
      </c>
      <c r="X816" s="9">
        <f>-IF(C816=1,LN(W816),LN(1-W816))</f>
        <v/>
      </c>
      <c r="Y816" s="8">
        <f>1</f>
        <v/>
      </c>
      <c r="Z816" s="9">
        <f>Y816*X816</f>
        <v/>
      </c>
      <c r="AA816" s="10">
        <f>IF(W816&gt;$AE$32,1,0)</f>
        <v/>
      </c>
      <c r="AB816">
        <f>IF(AA816=C816,1,0)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$AE$12+D817*$AE$13+E817*$AE$14+F817*$AE$15+G817*$AE$16+H817*$AE$17+I817*$AE$18+J817*$AE$19+K817*$AE$20+L817*$AE$21+M817*$AE$22+N817*$AE$23+O817*$AE$24+P817*$AE$25+Q817*$AE$26+R817*$AE$27+S817*$AE$28+T817*$AE$29+U817*$AE$30</f>
        <v/>
      </c>
      <c r="W817" s="8">
        <f>1/(1+EXP(-V817))</f>
        <v/>
      </c>
      <c r="X817" s="9">
        <f>-IF(C817=1,LN(W817),LN(1-W817))</f>
        <v/>
      </c>
      <c r="Y817" s="8">
        <f>1</f>
        <v/>
      </c>
      <c r="Z817" s="9">
        <f>Y817*X817</f>
        <v/>
      </c>
      <c r="AA817" s="10">
        <f>IF(W817&gt;$AE$32,1,0)</f>
        <v/>
      </c>
      <c r="AB817">
        <f>IF(AA817=C817,1,0)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$AE$12+D818*$AE$13+E818*$AE$14+F818*$AE$15+G818*$AE$16+H818*$AE$17+I818*$AE$18+J818*$AE$19+K818*$AE$20+L818*$AE$21+M818*$AE$22+N818*$AE$23+O818*$AE$24+P818*$AE$25+Q818*$AE$26+R818*$AE$27+S818*$AE$28+T818*$AE$29+U818*$AE$30</f>
        <v/>
      </c>
      <c r="W818" s="8">
        <f>1/(1+EXP(-V818))</f>
        <v/>
      </c>
      <c r="X818" s="9">
        <f>-IF(C818=1,LN(W818),LN(1-W818))</f>
        <v/>
      </c>
      <c r="Y818" s="8">
        <f>1</f>
        <v/>
      </c>
      <c r="Z818" s="9">
        <f>Y818*X818</f>
        <v/>
      </c>
      <c r="AA818" s="10">
        <f>IF(W818&gt;$AE$32,1,0)</f>
        <v/>
      </c>
      <c r="AB818">
        <f>IF(AA818=C818,1,0)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$AE$12+D819*$AE$13+E819*$AE$14+F819*$AE$15+G819*$AE$16+H819*$AE$17+I819*$AE$18+J819*$AE$19+K819*$AE$20+L819*$AE$21+M819*$AE$22+N819*$AE$23+O819*$AE$24+P819*$AE$25+Q819*$AE$26+R819*$AE$27+S819*$AE$28+T819*$AE$29+U819*$AE$30</f>
        <v/>
      </c>
      <c r="W819" s="8">
        <f>1/(1+EXP(-V819))</f>
        <v/>
      </c>
      <c r="X819" s="9">
        <f>-IF(C819=1,LN(W819),LN(1-W819))</f>
        <v/>
      </c>
      <c r="Y819" s="8">
        <f>1</f>
        <v/>
      </c>
      <c r="Z819" s="9">
        <f>Y819*X819</f>
        <v/>
      </c>
      <c r="AA819" s="10">
        <f>IF(W819&gt;$AE$32,1,0)</f>
        <v/>
      </c>
      <c r="AB819">
        <f>IF(AA819=C819,1,0)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$AE$12+D820*$AE$13+E820*$AE$14+F820*$AE$15+G820*$AE$16+H820*$AE$17+I820*$AE$18+J820*$AE$19+K820*$AE$20+L820*$AE$21+M820*$AE$22+N820*$AE$23+O820*$AE$24+P820*$AE$25+Q820*$AE$26+R820*$AE$27+S820*$AE$28+T820*$AE$29+U820*$AE$30</f>
        <v/>
      </c>
      <c r="W820" s="8">
        <f>1/(1+EXP(-V820))</f>
        <v/>
      </c>
      <c r="X820" s="9">
        <f>-IF(C820=1,LN(W820),LN(1-W820))</f>
        <v/>
      </c>
      <c r="Y820" s="8">
        <f>1</f>
        <v/>
      </c>
      <c r="Z820" s="9">
        <f>Y820*X820</f>
        <v/>
      </c>
      <c r="AA820" s="10">
        <f>IF(W820&gt;$AE$32,1,0)</f>
        <v/>
      </c>
      <c r="AB820">
        <f>IF(AA820=C820,1,0)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$AE$12+D821*$AE$13+E821*$AE$14+F821*$AE$15+G821*$AE$16+H821*$AE$17+I821*$AE$18+J821*$AE$19+K821*$AE$20+L821*$AE$21+M821*$AE$22+N821*$AE$23+O821*$AE$24+P821*$AE$25+Q821*$AE$26+R821*$AE$27+S821*$AE$28+T821*$AE$29+U821*$AE$30</f>
        <v/>
      </c>
      <c r="W821" s="8">
        <f>1/(1+EXP(-V821))</f>
        <v/>
      </c>
      <c r="X821" s="9">
        <f>-IF(C821=1,LN(W821),LN(1-W821))</f>
        <v/>
      </c>
      <c r="Y821" s="8">
        <f>1</f>
        <v/>
      </c>
      <c r="Z821" s="9">
        <f>Y821*X821</f>
        <v/>
      </c>
      <c r="AA821" s="10">
        <f>IF(W821&gt;$AE$32,1,0)</f>
        <v/>
      </c>
      <c r="AB821">
        <f>IF(AA821=C821,1,0)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$AE$12+D822*$AE$13+E822*$AE$14+F822*$AE$15+G822*$AE$16+H822*$AE$17+I822*$AE$18+J822*$AE$19+K822*$AE$20+L822*$AE$21+M822*$AE$22+N822*$AE$23+O822*$AE$24+P822*$AE$25+Q822*$AE$26+R822*$AE$27+S822*$AE$28+T822*$AE$29+U822*$AE$30</f>
        <v/>
      </c>
      <c r="W822" s="8">
        <f>1/(1+EXP(-V822))</f>
        <v/>
      </c>
      <c r="X822" s="9">
        <f>-IF(C822=1,LN(W822),LN(1-W822))</f>
        <v/>
      </c>
      <c r="Y822" s="8">
        <f>1</f>
        <v/>
      </c>
      <c r="Z822" s="9">
        <f>Y822*X822</f>
        <v/>
      </c>
      <c r="AA822" s="10">
        <f>IF(W822&gt;$AE$32,1,0)</f>
        <v/>
      </c>
      <c r="AB822">
        <f>IF(AA822=C822,1,0)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$AE$12+D823*$AE$13+E823*$AE$14+F823*$AE$15+G823*$AE$16+H823*$AE$17+I823*$AE$18+J823*$AE$19+K823*$AE$20+L823*$AE$21+M823*$AE$22+N823*$AE$23+O823*$AE$24+P823*$AE$25+Q823*$AE$26+R823*$AE$27+S823*$AE$28+T823*$AE$29+U823*$AE$30</f>
        <v/>
      </c>
      <c r="W823" s="8">
        <f>1/(1+EXP(-V823))</f>
        <v/>
      </c>
      <c r="X823" s="9">
        <f>-IF(C823=1,LN(W823),LN(1-W823))</f>
        <v/>
      </c>
      <c r="Y823" s="8">
        <f>1</f>
        <v/>
      </c>
      <c r="Z823" s="9">
        <f>Y823*X823</f>
        <v/>
      </c>
      <c r="AA823" s="10">
        <f>IF(W823&gt;$AE$32,1,0)</f>
        <v/>
      </c>
      <c r="AB823">
        <f>IF(AA823=C823,1,0)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$AE$12+D824*$AE$13+E824*$AE$14+F824*$AE$15+G824*$AE$16+H824*$AE$17+I824*$AE$18+J824*$AE$19+K824*$AE$20+L824*$AE$21+M824*$AE$22+N824*$AE$23+O824*$AE$24+P824*$AE$25+Q824*$AE$26+R824*$AE$27+S824*$AE$28+T824*$AE$29+U824*$AE$30</f>
        <v/>
      </c>
      <c r="W824" s="8">
        <f>1/(1+EXP(-V824))</f>
        <v/>
      </c>
      <c r="X824" s="9">
        <f>-IF(C824=1,LN(W824),LN(1-W824))</f>
        <v/>
      </c>
      <c r="Y824" s="8">
        <f>1</f>
        <v/>
      </c>
      <c r="Z824" s="9">
        <f>Y824*X824</f>
        <v/>
      </c>
      <c r="AA824" s="10">
        <f>IF(W824&gt;$AE$32,1,0)</f>
        <v/>
      </c>
      <c r="AB824">
        <f>IF(AA824=C824,1,0)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$AE$12+D825*$AE$13+E825*$AE$14+F825*$AE$15+G825*$AE$16+H825*$AE$17+I825*$AE$18+J825*$AE$19+K825*$AE$20+L825*$AE$21+M825*$AE$22+N825*$AE$23+O825*$AE$24+P825*$AE$25+Q825*$AE$26+R825*$AE$27+S825*$AE$28+T825*$AE$29+U825*$AE$30</f>
        <v/>
      </c>
      <c r="W825" s="8">
        <f>1/(1+EXP(-V825))</f>
        <v/>
      </c>
      <c r="X825" s="9">
        <f>-IF(C825=1,LN(W825),LN(1-W825))</f>
        <v/>
      </c>
      <c r="Y825" s="8">
        <f>1</f>
        <v/>
      </c>
      <c r="Z825" s="9">
        <f>Y825*X825</f>
        <v/>
      </c>
      <c r="AA825" s="10">
        <f>IF(W825&gt;$AE$32,1,0)</f>
        <v/>
      </c>
      <c r="AB825">
        <f>IF(AA825=C825,1,0)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$AE$12+D826*$AE$13+E826*$AE$14+F826*$AE$15+G826*$AE$16+H826*$AE$17+I826*$AE$18+J826*$AE$19+K826*$AE$20+L826*$AE$21+M826*$AE$22+N826*$AE$23+O826*$AE$24+P826*$AE$25+Q826*$AE$26+R826*$AE$27+S826*$AE$28+T826*$AE$29+U826*$AE$30</f>
        <v/>
      </c>
      <c r="W826" s="8">
        <f>1/(1+EXP(-V826))</f>
        <v/>
      </c>
      <c r="X826" s="9">
        <f>-IF(C826=1,LN(W826),LN(1-W826))</f>
        <v/>
      </c>
      <c r="Y826" s="8">
        <f>1</f>
        <v/>
      </c>
      <c r="Z826" s="9">
        <f>Y826*X826</f>
        <v/>
      </c>
      <c r="AA826" s="10">
        <f>IF(W826&gt;$AE$32,1,0)</f>
        <v/>
      </c>
      <c r="AB826">
        <f>IF(AA826=C826,1,0)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$AE$12+D827*$AE$13+E827*$AE$14+F827*$AE$15+G827*$AE$16+H827*$AE$17+I827*$AE$18+J827*$AE$19+K827*$AE$20+L827*$AE$21+M827*$AE$22+N827*$AE$23+O827*$AE$24+P827*$AE$25+Q827*$AE$26+R827*$AE$27+S827*$AE$28+T827*$AE$29+U827*$AE$30</f>
        <v/>
      </c>
      <c r="W827" s="8">
        <f>1/(1+EXP(-V827))</f>
        <v/>
      </c>
      <c r="X827" s="9">
        <f>-IF(C827=1,LN(W827),LN(1-W827))</f>
        <v/>
      </c>
      <c r="Y827" s="8">
        <f>1</f>
        <v/>
      </c>
      <c r="Z827" s="9">
        <f>Y827*X827</f>
        <v/>
      </c>
      <c r="AA827" s="10">
        <f>IF(W827&gt;$AE$32,1,0)</f>
        <v/>
      </c>
      <c r="AB827">
        <f>IF(AA827=C827,1,0)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$AE$12+D828*$AE$13+E828*$AE$14+F828*$AE$15+G828*$AE$16+H828*$AE$17+I828*$AE$18+J828*$AE$19+K828*$AE$20+L828*$AE$21+M828*$AE$22+N828*$AE$23+O828*$AE$24+P828*$AE$25+Q828*$AE$26+R828*$AE$27+S828*$AE$28+T828*$AE$29+U828*$AE$30</f>
        <v/>
      </c>
      <c r="W828" s="8">
        <f>1/(1+EXP(-V828))</f>
        <v/>
      </c>
      <c r="X828" s="9">
        <f>-IF(C828=1,LN(W828),LN(1-W828))</f>
        <v/>
      </c>
      <c r="Y828" s="8">
        <f>1</f>
        <v/>
      </c>
      <c r="Z828" s="9">
        <f>Y828*X828</f>
        <v/>
      </c>
      <c r="AA828" s="10">
        <f>IF(W828&gt;$AE$32,1,0)</f>
        <v/>
      </c>
      <c r="AB828">
        <f>IF(AA828=C828,1,0)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$AE$12+D829*$AE$13+E829*$AE$14+F829*$AE$15+G829*$AE$16+H829*$AE$17+I829*$AE$18+J829*$AE$19+K829*$AE$20+L829*$AE$21+M829*$AE$22+N829*$AE$23+O829*$AE$24+P829*$AE$25+Q829*$AE$26+R829*$AE$27+S829*$AE$28+T829*$AE$29+U829*$AE$30</f>
        <v/>
      </c>
      <c r="W829" s="8">
        <f>1/(1+EXP(-V829))</f>
        <v/>
      </c>
      <c r="X829" s="9">
        <f>-IF(C829=1,LN(W829),LN(1-W829))</f>
        <v/>
      </c>
      <c r="Y829" s="8">
        <f>1</f>
        <v/>
      </c>
      <c r="Z829" s="9">
        <f>Y829*X829</f>
        <v/>
      </c>
      <c r="AA829" s="10">
        <f>IF(W829&gt;$AE$32,1,0)</f>
        <v/>
      </c>
      <c r="AB829">
        <f>IF(AA829=C829,1,0)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$AE$12+D830*$AE$13+E830*$AE$14+F830*$AE$15+G830*$AE$16+H830*$AE$17+I830*$AE$18+J830*$AE$19+K830*$AE$20+L830*$AE$21+M830*$AE$22+N830*$AE$23+O830*$AE$24+P830*$AE$25+Q830*$AE$26+R830*$AE$27+S830*$AE$28+T830*$AE$29+U830*$AE$30</f>
        <v/>
      </c>
      <c r="W830" s="8">
        <f>1/(1+EXP(-V830))</f>
        <v/>
      </c>
      <c r="X830" s="9">
        <f>-IF(C830=1,LN(W830),LN(1-W830))</f>
        <v/>
      </c>
      <c r="Y830" s="8">
        <f>1</f>
        <v/>
      </c>
      <c r="Z830" s="9">
        <f>Y830*X830</f>
        <v/>
      </c>
      <c r="AA830" s="10">
        <f>IF(W830&gt;$AE$32,1,0)</f>
        <v/>
      </c>
      <c r="AB830">
        <f>IF(AA830=C830,1,0)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$AE$12+D831*$AE$13+E831*$AE$14+F831*$AE$15+G831*$AE$16+H831*$AE$17+I831*$AE$18+J831*$AE$19+K831*$AE$20+L831*$AE$21+M831*$AE$22+N831*$AE$23+O831*$AE$24+P831*$AE$25+Q831*$AE$26+R831*$AE$27+S831*$AE$28+T831*$AE$29+U831*$AE$30</f>
        <v/>
      </c>
      <c r="W831" s="8">
        <f>1/(1+EXP(-V831))</f>
        <v/>
      </c>
      <c r="X831" s="9">
        <f>-IF(C831=1,LN(W831),LN(1-W831))</f>
        <v/>
      </c>
      <c r="Y831" s="8">
        <f>1</f>
        <v/>
      </c>
      <c r="Z831" s="9">
        <f>Y831*X831</f>
        <v/>
      </c>
      <c r="AA831" s="10">
        <f>IF(W831&gt;$AE$32,1,0)</f>
        <v/>
      </c>
      <c r="AB831">
        <f>IF(AA831=C831,1,0)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$AE$12+D832*$AE$13+E832*$AE$14+F832*$AE$15+G832*$AE$16+H832*$AE$17+I832*$AE$18+J832*$AE$19+K832*$AE$20+L832*$AE$21+M832*$AE$22+N832*$AE$23+O832*$AE$24+P832*$AE$25+Q832*$AE$26+R832*$AE$27+S832*$AE$28+T832*$AE$29+U832*$AE$30</f>
        <v/>
      </c>
      <c r="W832" s="8">
        <f>1/(1+EXP(-V832))</f>
        <v/>
      </c>
      <c r="X832" s="9">
        <f>-IF(C832=1,LN(W832),LN(1-W832))</f>
        <v/>
      </c>
      <c r="Y832" s="8">
        <f>1</f>
        <v/>
      </c>
      <c r="Z832" s="9">
        <f>Y832*X832</f>
        <v/>
      </c>
      <c r="AA832" s="10">
        <f>IF(W832&gt;$AE$32,1,0)</f>
        <v/>
      </c>
      <c r="AB832">
        <f>IF(AA832=C832,1,0)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$AE$12+D833*$AE$13+E833*$AE$14+F833*$AE$15+G833*$AE$16+H833*$AE$17+I833*$AE$18+J833*$AE$19+K833*$AE$20+L833*$AE$21+M833*$AE$22+N833*$AE$23+O833*$AE$24+P833*$AE$25+Q833*$AE$26+R833*$AE$27+S833*$AE$28+T833*$AE$29+U833*$AE$30</f>
        <v/>
      </c>
      <c r="W833" s="8">
        <f>1/(1+EXP(-V833))</f>
        <v/>
      </c>
      <c r="X833" s="9">
        <f>-IF(C833=1,LN(W833),LN(1-W833))</f>
        <v/>
      </c>
      <c r="Y833" s="8">
        <f>1</f>
        <v/>
      </c>
      <c r="Z833" s="9">
        <f>Y833*X833</f>
        <v/>
      </c>
      <c r="AA833" s="10">
        <f>IF(W833&gt;$AE$32,1,0)</f>
        <v/>
      </c>
      <c r="AB833">
        <f>IF(AA833=C833,1,0)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$AE$12+D834*$AE$13+E834*$AE$14+F834*$AE$15+G834*$AE$16+H834*$AE$17+I834*$AE$18+J834*$AE$19+K834*$AE$20+L834*$AE$21+M834*$AE$22+N834*$AE$23+O834*$AE$24+P834*$AE$25+Q834*$AE$26+R834*$AE$27+S834*$AE$28+T834*$AE$29+U834*$AE$30</f>
        <v/>
      </c>
      <c r="W834" s="8">
        <f>1/(1+EXP(-V834))</f>
        <v/>
      </c>
      <c r="X834" s="9">
        <f>-IF(C834=1,LN(W834),LN(1-W834))</f>
        <v/>
      </c>
      <c r="Y834" s="8">
        <f>1</f>
        <v/>
      </c>
      <c r="Z834" s="9">
        <f>Y834*X834</f>
        <v/>
      </c>
      <c r="AA834" s="10">
        <f>IF(W834&gt;$AE$32,1,0)</f>
        <v/>
      </c>
      <c r="AB834">
        <f>IF(AA834=C834,1,0)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$AE$12+D835*$AE$13+E835*$AE$14+F835*$AE$15+G835*$AE$16+H835*$AE$17+I835*$AE$18+J835*$AE$19+K835*$AE$20+L835*$AE$21+M835*$AE$22+N835*$AE$23+O835*$AE$24+P835*$AE$25+Q835*$AE$26+R835*$AE$27+S835*$AE$28+T835*$AE$29+U835*$AE$30</f>
        <v/>
      </c>
      <c r="W835" s="8">
        <f>1/(1+EXP(-V835))</f>
        <v/>
      </c>
      <c r="X835" s="9">
        <f>-IF(C835=1,LN(W835),LN(1-W835))</f>
        <v/>
      </c>
      <c r="Y835" s="8">
        <f>1</f>
        <v/>
      </c>
      <c r="Z835" s="9">
        <f>Y835*X835</f>
        <v/>
      </c>
      <c r="AA835" s="10">
        <f>IF(W835&gt;$AE$32,1,0)</f>
        <v/>
      </c>
      <c r="AB835">
        <f>IF(AA835=C835,1,0)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$AE$12+D836*$AE$13+E836*$AE$14+F836*$AE$15+G836*$AE$16+H836*$AE$17+I836*$AE$18+J836*$AE$19+K836*$AE$20+L836*$AE$21+M836*$AE$22+N836*$AE$23+O836*$AE$24+P836*$AE$25+Q836*$AE$26+R836*$AE$27+S836*$AE$28+T836*$AE$29+U836*$AE$30</f>
        <v/>
      </c>
      <c r="W836" s="8">
        <f>1/(1+EXP(-V836))</f>
        <v/>
      </c>
      <c r="X836" s="9">
        <f>-IF(C836=1,LN(W836),LN(1-W836))</f>
        <v/>
      </c>
      <c r="Y836" s="8">
        <f>1</f>
        <v/>
      </c>
      <c r="Z836" s="9">
        <f>Y836*X836</f>
        <v/>
      </c>
      <c r="AA836" s="10">
        <f>IF(W836&gt;$AE$32,1,0)</f>
        <v/>
      </c>
      <c r="AB836">
        <f>IF(AA836=C836,1,0)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$AE$12+D837*$AE$13+E837*$AE$14+F837*$AE$15+G837*$AE$16+H837*$AE$17+I837*$AE$18+J837*$AE$19+K837*$AE$20+L837*$AE$21+M837*$AE$22+N837*$AE$23+O837*$AE$24+P837*$AE$25+Q837*$AE$26+R837*$AE$27+S837*$AE$28+T837*$AE$29+U837*$AE$30</f>
        <v/>
      </c>
      <c r="W837" s="8">
        <f>1/(1+EXP(-V837))</f>
        <v/>
      </c>
      <c r="X837" s="9">
        <f>-IF(C837=1,LN(W837),LN(1-W837))</f>
        <v/>
      </c>
      <c r="Y837" s="8">
        <f>1</f>
        <v/>
      </c>
      <c r="Z837" s="9">
        <f>Y837*X837</f>
        <v/>
      </c>
      <c r="AA837" s="10">
        <f>IF(W837&gt;$AE$32,1,0)</f>
        <v/>
      </c>
      <c r="AB837">
        <f>IF(AA837=C837,1,0)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$AE$12+D838*$AE$13+E838*$AE$14+F838*$AE$15+G838*$AE$16+H838*$AE$17+I838*$AE$18+J838*$AE$19+K838*$AE$20+L838*$AE$21+M838*$AE$22+N838*$AE$23+O838*$AE$24+P838*$AE$25+Q838*$AE$26+R838*$AE$27+S838*$AE$28+T838*$AE$29+U838*$AE$30</f>
        <v/>
      </c>
      <c r="W838" s="8">
        <f>1/(1+EXP(-V838))</f>
        <v/>
      </c>
      <c r="X838" s="9">
        <f>-IF(C838=1,LN(W838),LN(1-W838))</f>
        <v/>
      </c>
      <c r="Y838" s="8">
        <f>1</f>
        <v/>
      </c>
      <c r="Z838" s="9">
        <f>Y838*X838</f>
        <v/>
      </c>
      <c r="AA838" s="10">
        <f>IF(W838&gt;$AE$32,1,0)</f>
        <v/>
      </c>
      <c r="AB838">
        <f>IF(AA838=C838,1,0)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$AE$12+D839*$AE$13+E839*$AE$14+F839*$AE$15+G839*$AE$16+H839*$AE$17+I839*$AE$18+J839*$AE$19+K839*$AE$20+L839*$AE$21+M839*$AE$22+N839*$AE$23+O839*$AE$24+P839*$AE$25+Q839*$AE$26+R839*$AE$27+S839*$AE$28+T839*$AE$29+U839*$AE$30</f>
        <v/>
      </c>
      <c r="W839" s="8">
        <f>1/(1+EXP(-V839))</f>
        <v/>
      </c>
      <c r="X839" s="9">
        <f>-IF(C839=1,LN(W839),LN(1-W839))</f>
        <v/>
      </c>
      <c r="Y839" s="8">
        <f>1</f>
        <v/>
      </c>
      <c r="Z839" s="9">
        <f>Y839*X839</f>
        <v/>
      </c>
      <c r="AA839" s="10">
        <f>IF(W839&gt;$AE$32,1,0)</f>
        <v/>
      </c>
      <c r="AB839">
        <f>IF(AA839=C839,1,0)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$AE$12+D840*$AE$13+E840*$AE$14+F840*$AE$15+G840*$AE$16+H840*$AE$17+I840*$AE$18+J840*$AE$19+K840*$AE$20+L840*$AE$21+M840*$AE$22+N840*$AE$23+O840*$AE$24+P840*$AE$25+Q840*$AE$26+R840*$AE$27+S840*$AE$28+T840*$AE$29+U840*$AE$30</f>
        <v/>
      </c>
      <c r="W840" s="8">
        <f>1/(1+EXP(-V840))</f>
        <v/>
      </c>
      <c r="X840" s="9">
        <f>-IF(C840=1,LN(W840),LN(1-W840))</f>
        <v/>
      </c>
      <c r="Y840" s="8">
        <f>1</f>
        <v/>
      </c>
      <c r="Z840" s="9">
        <f>Y840*X840</f>
        <v/>
      </c>
      <c r="AA840" s="10">
        <f>IF(W840&gt;$AE$32,1,0)</f>
        <v/>
      </c>
      <c r="AB840">
        <f>IF(AA840=C840,1,0)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$AE$12+D841*$AE$13+E841*$AE$14+F841*$AE$15+G841*$AE$16+H841*$AE$17+I841*$AE$18+J841*$AE$19+K841*$AE$20+L841*$AE$21+M841*$AE$22+N841*$AE$23+O841*$AE$24+P841*$AE$25+Q841*$AE$26+R841*$AE$27+S841*$AE$28+T841*$AE$29+U841*$AE$30</f>
        <v/>
      </c>
      <c r="W841" s="8">
        <f>1/(1+EXP(-V841))</f>
        <v/>
      </c>
      <c r="X841" s="9">
        <f>-IF(C841=1,LN(W841),LN(1-W841))</f>
        <v/>
      </c>
      <c r="Y841" s="8">
        <f>1</f>
        <v/>
      </c>
      <c r="Z841" s="9">
        <f>Y841*X841</f>
        <v/>
      </c>
      <c r="AA841" s="10">
        <f>IF(W841&gt;$AE$32,1,0)</f>
        <v/>
      </c>
      <c r="AB841">
        <f>IF(AA841=C841,1,0)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$AE$12+D842*$AE$13+E842*$AE$14+F842*$AE$15+G842*$AE$16+H842*$AE$17+I842*$AE$18+J842*$AE$19+K842*$AE$20+L842*$AE$21+M842*$AE$22+N842*$AE$23+O842*$AE$24+P842*$AE$25+Q842*$AE$26+R842*$AE$27+S842*$AE$28+T842*$AE$29+U842*$AE$30</f>
        <v/>
      </c>
      <c r="W842" s="8">
        <f>1/(1+EXP(-V842))</f>
        <v/>
      </c>
      <c r="X842" s="9">
        <f>-IF(C842=1,LN(W842),LN(1-W842))</f>
        <v/>
      </c>
      <c r="Y842" s="8">
        <f>1</f>
        <v/>
      </c>
      <c r="Z842" s="9">
        <f>Y842*X842</f>
        <v/>
      </c>
      <c r="AA842" s="10">
        <f>IF(W842&gt;$AE$32,1,0)</f>
        <v/>
      </c>
      <c r="AB842">
        <f>IF(AA842=C842,1,0)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$AE$12+D843*$AE$13+E843*$AE$14+F843*$AE$15+G843*$AE$16+H843*$AE$17+I843*$AE$18+J843*$AE$19+K843*$AE$20+L843*$AE$21+M843*$AE$22+N843*$AE$23+O843*$AE$24+P843*$AE$25+Q843*$AE$26+R843*$AE$27+S843*$AE$28+T843*$AE$29+U843*$AE$30</f>
        <v/>
      </c>
      <c r="W843" s="8">
        <f>1/(1+EXP(-V843))</f>
        <v/>
      </c>
      <c r="X843" s="9">
        <f>-IF(C843=1,LN(W843),LN(1-W843))</f>
        <v/>
      </c>
      <c r="Y843" s="8">
        <f>1</f>
        <v/>
      </c>
      <c r="Z843" s="9">
        <f>Y843*X843</f>
        <v/>
      </c>
      <c r="AA843" s="10">
        <f>IF(W843&gt;$AE$32,1,0)</f>
        <v/>
      </c>
      <c r="AB843">
        <f>IF(AA843=C843,1,0)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$AE$12+D844*$AE$13+E844*$AE$14+F844*$AE$15+G844*$AE$16+H844*$AE$17+I844*$AE$18+J844*$AE$19+K844*$AE$20+L844*$AE$21+M844*$AE$22+N844*$AE$23+O844*$AE$24+P844*$AE$25+Q844*$AE$26+R844*$AE$27+S844*$AE$28+T844*$AE$29+U844*$AE$30</f>
        <v/>
      </c>
      <c r="W844" s="8">
        <f>1/(1+EXP(-V844))</f>
        <v/>
      </c>
      <c r="X844" s="9">
        <f>-IF(C844=1,LN(W844),LN(1-W844))</f>
        <v/>
      </c>
      <c r="Y844" s="8">
        <f>1</f>
        <v/>
      </c>
      <c r="Z844" s="9">
        <f>Y844*X844</f>
        <v/>
      </c>
      <c r="AA844" s="10">
        <f>IF(W844&gt;$AE$32,1,0)</f>
        <v/>
      </c>
      <c r="AB844">
        <f>IF(AA844=C844,1,0)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$AE$12+D845*$AE$13+E845*$AE$14+F845*$AE$15+G845*$AE$16+H845*$AE$17+I845*$AE$18+J845*$AE$19+K845*$AE$20+L845*$AE$21+M845*$AE$22+N845*$AE$23+O845*$AE$24+P845*$AE$25+Q845*$AE$26+R845*$AE$27+S845*$AE$28+T845*$AE$29+U845*$AE$30</f>
        <v/>
      </c>
      <c r="W845" s="8">
        <f>1/(1+EXP(-V845))</f>
        <v/>
      </c>
      <c r="X845" s="9">
        <f>-IF(C845=1,LN(W845),LN(1-W845))</f>
        <v/>
      </c>
      <c r="Y845" s="8">
        <f>1</f>
        <v/>
      </c>
      <c r="Z845" s="9">
        <f>Y845*X845</f>
        <v/>
      </c>
      <c r="AA845" s="10">
        <f>IF(W845&gt;$AE$32,1,0)</f>
        <v/>
      </c>
      <c r="AB845">
        <f>IF(AA845=C845,1,0)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$AE$12+D846*$AE$13+E846*$AE$14+F846*$AE$15+G846*$AE$16+H846*$AE$17+I846*$AE$18+J846*$AE$19+K846*$AE$20+L846*$AE$21+M846*$AE$22+N846*$AE$23+O846*$AE$24+P846*$AE$25+Q846*$AE$26+R846*$AE$27+S846*$AE$28+T846*$AE$29+U846*$AE$30</f>
        <v/>
      </c>
      <c r="W846" s="8">
        <f>1/(1+EXP(-V846))</f>
        <v/>
      </c>
      <c r="X846" s="9">
        <f>-IF(C846=1,LN(W846),LN(1-W846))</f>
        <v/>
      </c>
      <c r="Y846" s="8">
        <f>1</f>
        <v/>
      </c>
      <c r="Z846" s="9">
        <f>Y846*X846</f>
        <v/>
      </c>
      <c r="AA846" s="10">
        <f>IF(W846&gt;$AE$32,1,0)</f>
        <v/>
      </c>
      <c r="AB846">
        <f>IF(AA846=C846,1,0)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$AE$12+D847*$AE$13+E847*$AE$14+F847*$AE$15+G847*$AE$16+H847*$AE$17+I847*$AE$18+J847*$AE$19+K847*$AE$20+L847*$AE$21+M847*$AE$22+N847*$AE$23+O847*$AE$24+P847*$AE$25+Q847*$AE$26+R847*$AE$27+S847*$AE$28+T847*$AE$29+U847*$AE$30</f>
        <v/>
      </c>
      <c r="W847" s="8">
        <f>1/(1+EXP(-V847))</f>
        <v/>
      </c>
      <c r="X847" s="9">
        <f>-IF(C847=1,LN(W847),LN(1-W847))</f>
        <v/>
      </c>
      <c r="Y847" s="8">
        <f>1</f>
        <v/>
      </c>
      <c r="Z847" s="9">
        <f>Y847*X847</f>
        <v/>
      </c>
      <c r="AA847" s="10">
        <f>IF(W847&gt;$AE$32,1,0)</f>
        <v/>
      </c>
      <c r="AB847">
        <f>IF(AA847=C847,1,0)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$AE$12+D848*$AE$13+E848*$AE$14+F848*$AE$15+G848*$AE$16+H848*$AE$17+I848*$AE$18+J848*$AE$19+K848*$AE$20+L848*$AE$21+M848*$AE$22+N848*$AE$23+O848*$AE$24+P848*$AE$25+Q848*$AE$26+R848*$AE$27+S848*$AE$28+T848*$AE$29+U848*$AE$30</f>
        <v/>
      </c>
      <c r="W848" s="8">
        <f>1/(1+EXP(-V848))</f>
        <v/>
      </c>
      <c r="X848" s="9">
        <f>-IF(C848=1,LN(W848),LN(1-W848))</f>
        <v/>
      </c>
      <c r="Y848" s="8">
        <f>1</f>
        <v/>
      </c>
      <c r="Z848" s="9">
        <f>Y848*X848</f>
        <v/>
      </c>
      <c r="AA848" s="10">
        <f>IF(W848&gt;$AE$32,1,0)</f>
        <v/>
      </c>
      <c r="AB848">
        <f>IF(AA848=C848,1,0)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$AE$12+D849*$AE$13+E849*$AE$14+F849*$AE$15+G849*$AE$16+H849*$AE$17+I849*$AE$18+J849*$AE$19+K849*$AE$20+L849*$AE$21+M849*$AE$22+N849*$AE$23+O849*$AE$24+P849*$AE$25+Q849*$AE$26+R849*$AE$27+S849*$AE$28+T849*$AE$29+U849*$AE$30</f>
        <v/>
      </c>
      <c r="W849" s="8">
        <f>1/(1+EXP(-V849))</f>
        <v/>
      </c>
      <c r="X849" s="9">
        <f>-IF(C849=1,LN(W849),LN(1-W849))</f>
        <v/>
      </c>
      <c r="Y849" s="8">
        <f>1</f>
        <v/>
      </c>
      <c r="Z849" s="9">
        <f>Y849*X849</f>
        <v/>
      </c>
      <c r="AA849" s="10">
        <f>IF(W849&gt;$AE$32,1,0)</f>
        <v/>
      </c>
      <c r="AB849">
        <f>IF(AA849=C849,1,0)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$AE$12+D850*$AE$13+E850*$AE$14+F850*$AE$15+G850*$AE$16+H850*$AE$17+I850*$AE$18+J850*$AE$19+K850*$AE$20+L850*$AE$21+M850*$AE$22+N850*$AE$23+O850*$AE$24+P850*$AE$25+Q850*$AE$26+R850*$AE$27+S850*$AE$28+T850*$AE$29+U850*$AE$30</f>
        <v/>
      </c>
      <c r="W850" s="8">
        <f>1/(1+EXP(-V850))</f>
        <v/>
      </c>
      <c r="X850" s="9">
        <f>-IF(C850=1,LN(W850),LN(1-W850))</f>
        <v/>
      </c>
      <c r="Y850" s="8">
        <f>1</f>
        <v/>
      </c>
      <c r="Z850" s="9">
        <f>Y850*X850</f>
        <v/>
      </c>
      <c r="AA850" s="10">
        <f>IF(W850&gt;$AE$32,1,0)</f>
        <v/>
      </c>
      <c r="AB850">
        <f>IF(AA850=C850,1,0)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$AE$12+D851*$AE$13+E851*$AE$14+F851*$AE$15+G851*$AE$16+H851*$AE$17+I851*$AE$18+J851*$AE$19+K851*$AE$20+L851*$AE$21+M851*$AE$22+N851*$AE$23+O851*$AE$24+P851*$AE$25+Q851*$AE$26+R851*$AE$27+S851*$AE$28+T851*$AE$29+U851*$AE$30</f>
        <v/>
      </c>
      <c r="W851" s="8">
        <f>1/(1+EXP(-V851))</f>
        <v/>
      </c>
      <c r="X851" s="9">
        <f>-IF(C851=1,LN(W851),LN(1-W851))</f>
        <v/>
      </c>
      <c r="Y851" s="8">
        <f>1</f>
        <v/>
      </c>
      <c r="Z851" s="9">
        <f>Y851*X851</f>
        <v/>
      </c>
      <c r="AA851" s="10">
        <f>IF(W851&gt;$AE$32,1,0)</f>
        <v/>
      </c>
      <c r="AB851">
        <f>IF(AA851=C851,1,0)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$AE$12+D852*$AE$13+E852*$AE$14+F852*$AE$15+G852*$AE$16+H852*$AE$17+I852*$AE$18+J852*$AE$19+K852*$AE$20+L852*$AE$21+M852*$AE$22+N852*$AE$23+O852*$AE$24+P852*$AE$25+Q852*$AE$26+R852*$AE$27+S852*$AE$28+T852*$AE$29+U852*$AE$30</f>
        <v/>
      </c>
      <c r="W852" s="8">
        <f>1/(1+EXP(-V852))</f>
        <v/>
      </c>
      <c r="X852" s="9">
        <f>-IF(C852=1,LN(W852),LN(1-W852))</f>
        <v/>
      </c>
      <c r="Y852" s="8">
        <f>1</f>
        <v/>
      </c>
      <c r="Z852" s="9">
        <f>Y852*X852</f>
        <v/>
      </c>
      <c r="AA852" s="10">
        <f>IF(W852&gt;$AE$32,1,0)</f>
        <v/>
      </c>
      <c r="AB852">
        <f>IF(AA852=C852,1,0)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$AE$12+D853*$AE$13+E853*$AE$14+F853*$AE$15+G853*$AE$16+H853*$AE$17+I853*$AE$18+J853*$AE$19+K853*$AE$20+L853*$AE$21+M853*$AE$22+N853*$AE$23+O853*$AE$24+P853*$AE$25+Q853*$AE$26+R853*$AE$27+S853*$AE$28+T853*$AE$29+U853*$AE$30</f>
        <v/>
      </c>
      <c r="W853" s="8">
        <f>1/(1+EXP(-V853))</f>
        <v/>
      </c>
      <c r="X853" s="9">
        <f>-IF(C853=1,LN(W853),LN(1-W853))</f>
        <v/>
      </c>
      <c r="Y853" s="8">
        <f>1</f>
        <v/>
      </c>
      <c r="Z853" s="9">
        <f>Y853*X853</f>
        <v/>
      </c>
      <c r="AA853" s="10">
        <f>IF(W853&gt;$AE$32,1,0)</f>
        <v/>
      </c>
      <c r="AB853">
        <f>IF(AA853=C853,1,0)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$AE$12+D854*$AE$13+E854*$AE$14+F854*$AE$15+G854*$AE$16+H854*$AE$17+I854*$AE$18+J854*$AE$19+K854*$AE$20+L854*$AE$21+M854*$AE$22+N854*$AE$23+O854*$AE$24+P854*$AE$25+Q854*$AE$26+R854*$AE$27+S854*$AE$28+T854*$AE$29+U854*$AE$30</f>
        <v/>
      </c>
      <c r="W854" s="8">
        <f>1/(1+EXP(-V854))</f>
        <v/>
      </c>
      <c r="X854" s="9">
        <f>-IF(C854=1,LN(W854),LN(1-W854))</f>
        <v/>
      </c>
      <c r="Y854" s="8">
        <f>1</f>
        <v/>
      </c>
      <c r="Z854" s="9">
        <f>Y854*X854</f>
        <v/>
      </c>
      <c r="AA854" s="10">
        <f>IF(W854&gt;$AE$32,1,0)</f>
        <v/>
      </c>
      <c r="AB854">
        <f>IF(AA854=C854,1,0)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$AE$12+D855*$AE$13+E855*$AE$14+F855*$AE$15+G855*$AE$16+H855*$AE$17+I855*$AE$18+J855*$AE$19+K855*$AE$20+L855*$AE$21+M855*$AE$22+N855*$AE$23+O855*$AE$24+P855*$AE$25+Q855*$AE$26+R855*$AE$27+S855*$AE$28+T855*$AE$29+U855*$AE$30</f>
        <v/>
      </c>
      <c r="W855" s="8">
        <f>1/(1+EXP(-V855))</f>
        <v/>
      </c>
      <c r="X855" s="9">
        <f>-IF(C855=1,LN(W855),LN(1-W855))</f>
        <v/>
      </c>
      <c r="Y855" s="8">
        <f>1</f>
        <v/>
      </c>
      <c r="Z855" s="9">
        <f>Y855*X855</f>
        <v/>
      </c>
      <c r="AA855" s="10">
        <f>IF(W855&gt;$AE$32,1,0)</f>
        <v/>
      </c>
      <c r="AB855">
        <f>IF(AA855=C855,1,0)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$AE$12+D856*$AE$13+E856*$AE$14+F856*$AE$15+G856*$AE$16+H856*$AE$17+I856*$AE$18+J856*$AE$19+K856*$AE$20+L856*$AE$21+M856*$AE$22+N856*$AE$23+O856*$AE$24+P856*$AE$25+Q856*$AE$26+R856*$AE$27+S856*$AE$28+T856*$AE$29+U856*$AE$30</f>
        <v/>
      </c>
      <c r="W856" s="8">
        <f>1/(1+EXP(-V856))</f>
        <v/>
      </c>
      <c r="X856" s="9">
        <f>-IF(C856=1,LN(W856),LN(1-W856))</f>
        <v/>
      </c>
      <c r="Y856" s="8">
        <f>1</f>
        <v/>
      </c>
      <c r="Z856" s="9">
        <f>Y856*X856</f>
        <v/>
      </c>
      <c r="AA856" s="10">
        <f>IF(W856&gt;$AE$32,1,0)</f>
        <v/>
      </c>
      <c r="AB856">
        <f>IF(AA856=C856,1,0)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$AE$12+D857*$AE$13+E857*$AE$14+F857*$AE$15+G857*$AE$16+H857*$AE$17+I857*$AE$18+J857*$AE$19+K857*$AE$20+L857*$AE$21+M857*$AE$22+N857*$AE$23+O857*$AE$24+P857*$AE$25+Q857*$AE$26+R857*$AE$27+S857*$AE$28+T857*$AE$29+U857*$AE$30</f>
        <v/>
      </c>
      <c r="W857" s="8">
        <f>1/(1+EXP(-V857))</f>
        <v/>
      </c>
      <c r="X857" s="9">
        <f>-IF(C857=1,LN(W857),LN(1-W857))</f>
        <v/>
      </c>
      <c r="Y857" s="8">
        <f>1</f>
        <v/>
      </c>
      <c r="Z857" s="9">
        <f>Y857*X857</f>
        <v/>
      </c>
      <c r="AA857" s="10">
        <f>IF(W857&gt;$AE$32,1,0)</f>
        <v/>
      </c>
      <c r="AB857">
        <f>IF(AA857=C857,1,0)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$AE$12+D858*$AE$13+E858*$AE$14+F858*$AE$15+G858*$AE$16+H858*$AE$17+I858*$AE$18+J858*$AE$19+K858*$AE$20+L858*$AE$21+M858*$AE$22+N858*$AE$23+O858*$AE$24+P858*$AE$25+Q858*$AE$26+R858*$AE$27+S858*$AE$28+T858*$AE$29+U858*$AE$30</f>
        <v/>
      </c>
      <c r="W858" s="8">
        <f>1/(1+EXP(-V858))</f>
        <v/>
      </c>
      <c r="X858" s="9">
        <f>-IF(C858=1,LN(W858),LN(1-W858))</f>
        <v/>
      </c>
      <c r="Y858" s="8">
        <f>1</f>
        <v/>
      </c>
      <c r="Z858" s="9">
        <f>Y858*X858</f>
        <v/>
      </c>
      <c r="AA858" s="10">
        <f>IF(W858&gt;$AE$32,1,0)</f>
        <v/>
      </c>
      <c r="AB858">
        <f>IF(AA858=C858,1,0)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$AE$12+D859*$AE$13+E859*$AE$14+F859*$AE$15+G859*$AE$16+H859*$AE$17+I859*$AE$18+J859*$AE$19+K859*$AE$20+L859*$AE$21+M859*$AE$22+N859*$AE$23+O859*$AE$24+P859*$AE$25+Q859*$AE$26+R859*$AE$27+S859*$AE$28+T859*$AE$29+U859*$AE$30</f>
        <v/>
      </c>
      <c r="W859" s="8">
        <f>1/(1+EXP(-V859))</f>
        <v/>
      </c>
      <c r="X859" s="9">
        <f>-IF(C859=1,LN(W859),LN(1-W859))</f>
        <v/>
      </c>
      <c r="Y859" s="8">
        <f>1</f>
        <v/>
      </c>
      <c r="Z859" s="9">
        <f>Y859*X859</f>
        <v/>
      </c>
      <c r="AA859" s="10">
        <f>IF(W859&gt;$AE$32,1,0)</f>
        <v/>
      </c>
      <c r="AB859">
        <f>IF(AA859=C859,1,0)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$AE$12+D860*$AE$13+E860*$AE$14+F860*$AE$15+G860*$AE$16+H860*$AE$17+I860*$AE$18+J860*$AE$19+K860*$AE$20+L860*$AE$21+M860*$AE$22+N860*$AE$23+O860*$AE$24+P860*$AE$25+Q860*$AE$26+R860*$AE$27+S860*$AE$28+T860*$AE$29+U860*$AE$30</f>
        <v/>
      </c>
      <c r="W860" s="8">
        <f>1/(1+EXP(-V860))</f>
        <v/>
      </c>
      <c r="X860" s="9">
        <f>-IF(C860=1,LN(W860),LN(1-W860))</f>
        <v/>
      </c>
      <c r="Y860" s="8">
        <f>1</f>
        <v/>
      </c>
      <c r="Z860" s="9">
        <f>Y860*X860</f>
        <v/>
      </c>
      <c r="AA860" s="10">
        <f>IF(W860&gt;$AE$32,1,0)</f>
        <v/>
      </c>
      <c r="AB860">
        <f>IF(AA860=C860,1,0)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$AE$12+D861*$AE$13+E861*$AE$14+F861*$AE$15+G861*$AE$16+H861*$AE$17+I861*$AE$18+J861*$AE$19+K861*$AE$20+L861*$AE$21+M861*$AE$22+N861*$AE$23+O861*$AE$24+P861*$AE$25+Q861*$AE$26+R861*$AE$27+S861*$AE$28+T861*$AE$29+U861*$AE$30</f>
        <v/>
      </c>
      <c r="W861" s="8">
        <f>1/(1+EXP(-V861))</f>
        <v/>
      </c>
      <c r="X861" s="9">
        <f>-IF(C861=1,LN(W861),LN(1-W861))</f>
        <v/>
      </c>
      <c r="Y861" s="8">
        <f>1</f>
        <v/>
      </c>
      <c r="Z861" s="9">
        <f>Y861*X861</f>
        <v/>
      </c>
      <c r="AA861" s="10">
        <f>IF(W861&gt;$AE$32,1,0)</f>
        <v/>
      </c>
      <c r="AB861">
        <f>IF(AA861=C861,1,0)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$AE$12+D862*$AE$13+E862*$AE$14+F862*$AE$15+G862*$AE$16+H862*$AE$17+I862*$AE$18+J862*$AE$19+K862*$AE$20+L862*$AE$21+M862*$AE$22+N862*$AE$23+O862*$AE$24+P862*$AE$25+Q862*$AE$26+R862*$AE$27+S862*$AE$28+T862*$AE$29+U862*$AE$30</f>
        <v/>
      </c>
      <c r="W862" s="8">
        <f>1/(1+EXP(-V862))</f>
        <v/>
      </c>
      <c r="X862" s="9">
        <f>-IF(C862=1,LN(W862),LN(1-W862))</f>
        <v/>
      </c>
      <c r="Y862" s="8">
        <f>1</f>
        <v/>
      </c>
      <c r="Z862" s="9">
        <f>Y862*X862</f>
        <v/>
      </c>
      <c r="AA862" s="10">
        <f>IF(W862&gt;$AE$32,1,0)</f>
        <v/>
      </c>
      <c r="AB862">
        <f>IF(AA862=C862,1,0)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$AE$12+D863*$AE$13+E863*$AE$14+F863*$AE$15+G863*$AE$16+H863*$AE$17+I863*$AE$18+J863*$AE$19+K863*$AE$20+L863*$AE$21+M863*$AE$22+N863*$AE$23+O863*$AE$24+P863*$AE$25+Q863*$AE$26+R863*$AE$27+S863*$AE$28+T863*$AE$29+U863*$AE$30</f>
        <v/>
      </c>
      <c r="W863" s="8">
        <f>1/(1+EXP(-V863))</f>
        <v/>
      </c>
      <c r="X863" s="9">
        <f>-IF(C863=1,LN(W863),LN(1-W863))</f>
        <v/>
      </c>
      <c r="Y863" s="8">
        <f>1</f>
        <v/>
      </c>
      <c r="Z863" s="9">
        <f>Y863*X863</f>
        <v/>
      </c>
      <c r="AA863" s="10">
        <f>IF(W863&gt;$AE$32,1,0)</f>
        <v/>
      </c>
      <c r="AB863">
        <f>IF(AA863=C863,1,0)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$AE$12+D864*$AE$13+E864*$AE$14+F864*$AE$15+G864*$AE$16+H864*$AE$17+I864*$AE$18+J864*$AE$19+K864*$AE$20+L864*$AE$21+M864*$AE$22+N864*$AE$23+O864*$AE$24+P864*$AE$25+Q864*$AE$26+R864*$AE$27+S864*$AE$28+T864*$AE$29+U864*$AE$30</f>
        <v/>
      </c>
      <c r="W864" s="8">
        <f>1/(1+EXP(-V864))</f>
        <v/>
      </c>
      <c r="X864" s="9">
        <f>-IF(C864=1,LN(W864),LN(1-W864))</f>
        <v/>
      </c>
      <c r="Y864" s="8">
        <f>1</f>
        <v/>
      </c>
      <c r="Z864" s="9">
        <f>Y864*X864</f>
        <v/>
      </c>
      <c r="AA864" s="10">
        <f>IF(W864&gt;$AE$32,1,0)</f>
        <v/>
      </c>
      <c r="AB864">
        <f>IF(AA864=C864,1,0)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$AE$12+D865*$AE$13+E865*$AE$14+F865*$AE$15+G865*$AE$16+H865*$AE$17+I865*$AE$18+J865*$AE$19+K865*$AE$20+L865*$AE$21+M865*$AE$22+N865*$AE$23+O865*$AE$24+P865*$AE$25+Q865*$AE$26+R865*$AE$27+S865*$AE$28+T865*$AE$29+U865*$AE$30</f>
        <v/>
      </c>
      <c r="W865" s="8">
        <f>1/(1+EXP(-V865))</f>
        <v/>
      </c>
      <c r="X865" s="9">
        <f>-IF(C865=1,LN(W865),LN(1-W865))</f>
        <v/>
      </c>
      <c r="Y865" s="8">
        <f>1</f>
        <v/>
      </c>
      <c r="Z865" s="9">
        <f>Y865*X865</f>
        <v/>
      </c>
      <c r="AA865" s="10">
        <f>IF(W865&gt;$AE$32,1,0)</f>
        <v/>
      </c>
      <c r="AB865">
        <f>IF(AA865=C865,1,0)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$AE$12+D866*$AE$13+E866*$AE$14+F866*$AE$15+G866*$AE$16+H866*$AE$17+I866*$AE$18+J866*$AE$19+K866*$AE$20+L866*$AE$21+M866*$AE$22+N866*$AE$23+O866*$AE$24+P866*$AE$25+Q866*$AE$26+R866*$AE$27+S866*$AE$28+T866*$AE$29+U866*$AE$30</f>
        <v/>
      </c>
      <c r="W866" s="8">
        <f>1/(1+EXP(-V866))</f>
        <v/>
      </c>
      <c r="X866" s="9">
        <f>-IF(C866=1,LN(W866),LN(1-W866))</f>
        <v/>
      </c>
      <c r="Y866" s="8">
        <f>1</f>
        <v/>
      </c>
      <c r="Z866" s="9">
        <f>Y866*X866</f>
        <v/>
      </c>
      <c r="AA866" s="10">
        <f>IF(W866&gt;$AE$32,1,0)</f>
        <v/>
      </c>
      <c r="AB866">
        <f>IF(AA866=C866,1,0)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$AE$12+D867*$AE$13+E867*$AE$14+F867*$AE$15+G867*$AE$16+H867*$AE$17+I867*$AE$18+J867*$AE$19+K867*$AE$20+L867*$AE$21+M867*$AE$22+N867*$AE$23+O867*$AE$24+P867*$AE$25+Q867*$AE$26+R867*$AE$27+S867*$AE$28+T867*$AE$29+U867*$AE$30</f>
        <v/>
      </c>
      <c r="W867" s="8">
        <f>1/(1+EXP(-V867))</f>
        <v/>
      </c>
      <c r="X867" s="9">
        <f>-IF(C867=1,LN(W867),LN(1-W867))</f>
        <v/>
      </c>
      <c r="Y867" s="8">
        <f>1</f>
        <v/>
      </c>
      <c r="Z867" s="9">
        <f>Y867*X867</f>
        <v/>
      </c>
      <c r="AA867" s="10">
        <f>IF(W867&gt;$AE$32,1,0)</f>
        <v/>
      </c>
      <c r="AB867">
        <f>IF(AA867=C867,1,0)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$AE$12+D868*$AE$13+E868*$AE$14+F868*$AE$15+G868*$AE$16+H868*$AE$17+I868*$AE$18+J868*$AE$19+K868*$AE$20+L868*$AE$21+M868*$AE$22+N868*$AE$23+O868*$AE$24+P868*$AE$25+Q868*$AE$26+R868*$AE$27+S868*$AE$28+T868*$AE$29+U868*$AE$30</f>
        <v/>
      </c>
      <c r="W868" s="8">
        <f>1/(1+EXP(-V868))</f>
        <v/>
      </c>
      <c r="X868" s="9">
        <f>-IF(C868=1,LN(W868),LN(1-W868))</f>
        <v/>
      </c>
      <c r="Y868" s="8">
        <f>1</f>
        <v/>
      </c>
      <c r="Z868" s="9">
        <f>Y868*X868</f>
        <v/>
      </c>
      <c r="AA868" s="10">
        <f>IF(W868&gt;$AE$32,1,0)</f>
        <v/>
      </c>
      <c r="AB868">
        <f>IF(AA868=C868,1,0)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$AE$12+D869*$AE$13+E869*$AE$14+F869*$AE$15+G869*$AE$16+H869*$AE$17+I869*$AE$18+J869*$AE$19+K869*$AE$20+L869*$AE$21+M869*$AE$22+N869*$AE$23+O869*$AE$24+P869*$AE$25+Q869*$AE$26+R869*$AE$27+S869*$AE$28+T869*$AE$29+U869*$AE$30</f>
        <v/>
      </c>
      <c r="W869" s="8">
        <f>1/(1+EXP(-V869))</f>
        <v/>
      </c>
      <c r="X869" s="9">
        <f>-IF(C869=1,LN(W869),LN(1-W869))</f>
        <v/>
      </c>
      <c r="Y869" s="8">
        <f>1</f>
        <v/>
      </c>
      <c r="Z869" s="9">
        <f>Y869*X869</f>
        <v/>
      </c>
      <c r="AA869" s="10">
        <f>IF(W869&gt;$AE$32,1,0)</f>
        <v/>
      </c>
      <c r="AB869">
        <f>IF(AA869=C869,1,0)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$AE$12+D870*$AE$13+E870*$AE$14+F870*$AE$15+G870*$AE$16+H870*$AE$17+I870*$AE$18+J870*$AE$19+K870*$AE$20+L870*$AE$21+M870*$AE$22+N870*$AE$23+O870*$AE$24+P870*$AE$25+Q870*$AE$26+R870*$AE$27+S870*$AE$28+T870*$AE$29+U870*$AE$30</f>
        <v/>
      </c>
      <c r="W870" s="8">
        <f>1/(1+EXP(-V870))</f>
        <v/>
      </c>
      <c r="X870" s="9">
        <f>-IF(C870=1,LN(W870),LN(1-W870))</f>
        <v/>
      </c>
      <c r="Y870" s="8">
        <f>1</f>
        <v/>
      </c>
      <c r="Z870" s="9">
        <f>Y870*X870</f>
        <v/>
      </c>
      <c r="AA870" s="10">
        <f>IF(W870&gt;$AE$32,1,0)</f>
        <v/>
      </c>
      <c r="AB870">
        <f>IF(AA870=C870,1,0)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$AE$12+D871*$AE$13+E871*$AE$14+F871*$AE$15+G871*$AE$16+H871*$AE$17+I871*$AE$18+J871*$AE$19+K871*$AE$20+L871*$AE$21+M871*$AE$22+N871*$AE$23+O871*$AE$24+P871*$AE$25+Q871*$AE$26+R871*$AE$27+S871*$AE$28+T871*$AE$29+U871*$AE$30</f>
        <v/>
      </c>
      <c r="W871" s="8">
        <f>1/(1+EXP(-V871))</f>
        <v/>
      </c>
      <c r="X871" s="9">
        <f>-IF(C871=1,LN(W871),LN(1-W871))</f>
        <v/>
      </c>
      <c r="Y871" s="8">
        <f>1</f>
        <v/>
      </c>
      <c r="Z871" s="9">
        <f>Y871*X871</f>
        <v/>
      </c>
      <c r="AA871" s="10">
        <f>IF(W871&gt;$AE$32,1,0)</f>
        <v/>
      </c>
      <c r="AB871">
        <f>IF(AA871=C871,1,0)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$AE$12+D872*$AE$13+E872*$AE$14+F872*$AE$15+G872*$AE$16+H872*$AE$17+I872*$AE$18+J872*$AE$19+K872*$AE$20+L872*$AE$21+M872*$AE$22+N872*$AE$23+O872*$AE$24+P872*$AE$25+Q872*$AE$26+R872*$AE$27+S872*$AE$28+T872*$AE$29+U872*$AE$30</f>
        <v/>
      </c>
      <c r="W872" s="8">
        <f>1/(1+EXP(-V872))</f>
        <v/>
      </c>
      <c r="X872" s="9">
        <f>-IF(C872=1,LN(W872),LN(1-W872))</f>
        <v/>
      </c>
      <c r="Y872" s="8">
        <f>1</f>
        <v/>
      </c>
      <c r="Z872" s="9">
        <f>Y872*X872</f>
        <v/>
      </c>
      <c r="AA872" s="10">
        <f>IF(W872&gt;$AE$32,1,0)</f>
        <v/>
      </c>
      <c r="AB872">
        <f>IF(AA872=C872,1,0)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$AE$12+D873*$AE$13+E873*$AE$14+F873*$AE$15+G873*$AE$16+H873*$AE$17+I873*$AE$18+J873*$AE$19+K873*$AE$20+L873*$AE$21+M873*$AE$22+N873*$AE$23+O873*$AE$24+P873*$AE$25+Q873*$AE$26+R873*$AE$27+S873*$AE$28+T873*$AE$29+U873*$AE$30</f>
        <v/>
      </c>
      <c r="W873" s="8">
        <f>1/(1+EXP(-V873))</f>
        <v/>
      </c>
      <c r="X873" s="9">
        <f>-IF(C873=1,LN(W873),LN(1-W873))</f>
        <v/>
      </c>
      <c r="Y873" s="8">
        <f>1</f>
        <v/>
      </c>
      <c r="Z873" s="9">
        <f>Y873*X873</f>
        <v/>
      </c>
      <c r="AA873" s="10">
        <f>IF(W873&gt;$AE$32,1,0)</f>
        <v/>
      </c>
      <c r="AB873">
        <f>IF(AA873=C873,1,0)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$AE$12+D874*$AE$13+E874*$AE$14+F874*$AE$15+G874*$AE$16+H874*$AE$17+I874*$AE$18+J874*$AE$19+K874*$AE$20+L874*$AE$21+M874*$AE$22+N874*$AE$23+O874*$AE$24+P874*$AE$25+Q874*$AE$26+R874*$AE$27+S874*$AE$28+T874*$AE$29+U874*$AE$30</f>
        <v/>
      </c>
      <c r="W874" s="8">
        <f>1/(1+EXP(-V874))</f>
        <v/>
      </c>
      <c r="X874" s="9">
        <f>-IF(C874=1,LN(W874),LN(1-W874))</f>
        <v/>
      </c>
      <c r="Y874" s="8">
        <f>1</f>
        <v/>
      </c>
      <c r="Z874" s="9">
        <f>Y874*X874</f>
        <v/>
      </c>
      <c r="AA874" s="10">
        <f>IF(W874&gt;$AE$32,1,0)</f>
        <v/>
      </c>
      <c r="AB874">
        <f>IF(AA874=C874,1,0)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$AE$12+D875*$AE$13+E875*$AE$14+F875*$AE$15+G875*$AE$16+H875*$AE$17+I875*$AE$18+J875*$AE$19+K875*$AE$20+L875*$AE$21+M875*$AE$22+N875*$AE$23+O875*$AE$24+P875*$AE$25+Q875*$AE$26+R875*$AE$27+S875*$AE$28+T875*$AE$29+U875*$AE$30</f>
        <v/>
      </c>
      <c r="W875" s="8">
        <f>1/(1+EXP(-V875))</f>
        <v/>
      </c>
      <c r="X875" s="9">
        <f>-IF(C875=1,LN(W875),LN(1-W875))</f>
        <v/>
      </c>
      <c r="Y875" s="8">
        <f>1</f>
        <v/>
      </c>
      <c r="Z875" s="9">
        <f>Y875*X875</f>
        <v/>
      </c>
      <c r="AA875" s="10">
        <f>IF(W875&gt;$AE$32,1,0)</f>
        <v/>
      </c>
      <c r="AB875">
        <f>IF(AA875=C875,1,0)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$AE$12+D876*$AE$13+E876*$AE$14+F876*$AE$15+G876*$AE$16+H876*$AE$17+I876*$AE$18+J876*$AE$19+K876*$AE$20+L876*$AE$21+M876*$AE$22+N876*$AE$23+O876*$AE$24+P876*$AE$25+Q876*$AE$26+R876*$AE$27+S876*$AE$28+T876*$AE$29+U876*$AE$30</f>
        <v/>
      </c>
      <c r="W876" s="8">
        <f>1/(1+EXP(-V876))</f>
        <v/>
      </c>
      <c r="X876" s="9">
        <f>-IF(C876=1,LN(W876),LN(1-W876))</f>
        <v/>
      </c>
      <c r="Y876" s="8">
        <f>1</f>
        <v/>
      </c>
      <c r="Z876" s="9">
        <f>Y876*X876</f>
        <v/>
      </c>
      <c r="AA876" s="10">
        <f>IF(W876&gt;$AE$32,1,0)</f>
        <v/>
      </c>
      <c r="AB876">
        <f>IF(AA876=C876,1,0)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$AE$12+D877*$AE$13+E877*$AE$14+F877*$AE$15+G877*$AE$16+H877*$AE$17+I877*$AE$18+J877*$AE$19+K877*$AE$20+L877*$AE$21+M877*$AE$22+N877*$AE$23+O877*$AE$24+P877*$AE$25+Q877*$AE$26+R877*$AE$27+S877*$AE$28+T877*$AE$29+U877*$AE$30</f>
        <v/>
      </c>
      <c r="W877" s="8">
        <f>1/(1+EXP(-V877))</f>
        <v/>
      </c>
      <c r="X877" s="9">
        <f>-IF(C877=1,LN(W877),LN(1-W877))</f>
        <v/>
      </c>
      <c r="Y877" s="8">
        <f>1</f>
        <v/>
      </c>
      <c r="Z877" s="9">
        <f>Y877*X877</f>
        <v/>
      </c>
      <c r="AA877" s="10">
        <f>IF(W877&gt;$AE$32,1,0)</f>
        <v/>
      </c>
      <c r="AB877">
        <f>IF(AA877=C877,1,0)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$AE$12+D878*$AE$13+E878*$AE$14+F878*$AE$15+G878*$AE$16+H878*$AE$17+I878*$AE$18+J878*$AE$19+K878*$AE$20+L878*$AE$21+M878*$AE$22+N878*$AE$23+O878*$AE$24+P878*$AE$25+Q878*$AE$26+R878*$AE$27+S878*$AE$28+T878*$AE$29+U878*$AE$30</f>
        <v/>
      </c>
      <c r="W878" s="8">
        <f>1/(1+EXP(-V878))</f>
        <v/>
      </c>
      <c r="X878" s="9">
        <f>-IF(C878=1,LN(W878),LN(1-W878))</f>
        <v/>
      </c>
      <c r="Y878" s="8">
        <f>1</f>
        <v/>
      </c>
      <c r="Z878" s="9">
        <f>Y878*X878</f>
        <v/>
      </c>
      <c r="AA878" s="10">
        <f>IF(W878&gt;$AE$32,1,0)</f>
        <v/>
      </c>
      <c r="AB878">
        <f>IF(AA878=C878,1,0)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$AE$12+D879*$AE$13+E879*$AE$14+F879*$AE$15+G879*$AE$16+H879*$AE$17+I879*$AE$18+J879*$AE$19+K879*$AE$20+L879*$AE$21+M879*$AE$22+N879*$AE$23+O879*$AE$24+P879*$AE$25+Q879*$AE$26+R879*$AE$27+S879*$AE$28+T879*$AE$29+U879*$AE$30</f>
        <v/>
      </c>
      <c r="W879" s="8">
        <f>1/(1+EXP(-V879))</f>
        <v/>
      </c>
      <c r="X879" s="9">
        <f>-IF(C879=1,LN(W879),LN(1-W879))</f>
        <v/>
      </c>
      <c r="Y879" s="8">
        <f>1</f>
        <v/>
      </c>
      <c r="Z879" s="9">
        <f>Y879*X879</f>
        <v/>
      </c>
      <c r="AA879" s="10">
        <f>IF(W879&gt;$AE$32,1,0)</f>
        <v/>
      </c>
      <c r="AB879">
        <f>IF(AA879=C879,1,0)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$AE$12+D880*$AE$13+E880*$AE$14+F880*$AE$15+G880*$AE$16+H880*$AE$17+I880*$AE$18+J880*$AE$19+K880*$AE$20+L880*$AE$21+M880*$AE$22+N880*$AE$23+O880*$AE$24+P880*$AE$25+Q880*$AE$26+R880*$AE$27+S880*$AE$28+T880*$AE$29+U880*$AE$30</f>
        <v/>
      </c>
      <c r="W880" s="8">
        <f>1/(1+EXP(-V880))</f>
        <v/>
      </c>
      <c r="X880" s="9">
        <f>-IF(C880=1,LN(W880),LN(1-W880))</f>
        <v/>
      </c>
      <c r="Y880" s="8">
        <f>1</f>
        <v/>
      </c>
      <c r="Z880" s="9">
        <f>Y880*X880</f>
        <v/>
      </c>
      <c r="AA880" s="10">
        <f>IF(W880&gt;$AE$32,1,0)</f>
        <v/>
      </c>
      <c r="AB880">
        <f>IF(AA880=C880,1,0)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$AE$12+D881*$AE$13+E881*$AE$14+F881*$AE$15+G881*$AE$16+H881*$AE$17+I881*$AE$18+J881*$AE$19+K881*$AE$20+L881*$AE$21+M881*$AE$22+N881*$AE$23+O881*$AE$24+P881*$AE$25+Q881*$AE$26+R881*$AE$27+S881*$AE$28+T881*$AE$29+U881*$AE$30</f>
        <v/>
      </c>
      <c r="W881" s="8">
        <f>1/(1+EXP(-V881))</f>
        <v/>
      </c>
      <c r="X881" s="9">
        <f>-IF(C881=1,LN(W881),LN(1-W881))</f>
        <v/>
      </c>
      <c r="Y881" s="8">
        <f>1</f>
        <v/>
      </c>
      <c r="Z881" s="9">
        <f>Y881*X881</f>
        <v/>
      </c>
      <c r="AA881" s="10">
        <f>IF(W881&gt;$AE$32,1,0)</f>
        <v/>
      </c>
      <c r="AB881">
        <f>IF(AA881=C881,1,0)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$AE$12+D882*$AE$13+E882*$AE$14+F882*$AE$15+G882*$AE$16+H882*$AE$17+I882*$AE$18+J882*$AE$19+K882*$AE$20+L882*$AE$21+M882*$AE$22+N882*$AE$23+O882*$AE$24+P882*$AE$25+Q882*$AE$26+R882*$AE$27+S882*$AE$28+T882*$AE$29+U882*$AE$30</f>
        <v/>
      </c>
      <c r="W882" s="8">
        <f>1/(1+EXP(-V882))</f>
        <v/>
      </c>
      <c r="X882" s="9">
        <f>-IF(C882=1,LN(W882),LN(1-W882))</f>
        <v/>
      </c>
      <c r="Y882" s="8">
        <f>1</f>
        <v/>
      </c>
      <c r="Z882" s="9">
        <f>Y882*X882</f>
        <v/>
      </c>
      <c r="AA882" s="10">
        <f>IF(W882&gt;$AE$32,1,0)</f>
        <v/>
      </c>
      <c r="AB882">
        <f>IF(AA882=C882,1,0)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$AE$12+D883*$AE$13+E883*$AE$14+F883*$AE$15+G883*$AE$16+H883*$AE$17+I883*$AE$18+J883*$AE$19+K883*$AE$20+L883*$AE$21+M883*$AE$22+N883*$AE$23+O883*$AE$24+P883*$AE$25+Q883*$AE$26+R883*$AE$27+S883*$AE$28+T883*$AE$29+U883*$AE$30</f>
        <v/>
      </c>
      <c r="W883" s="8">
        <f>1/(1+EXP(-V883))</f>
        <v/>
      </c>
      <c r="X883" s="9">
        <f>-IF(C883=1,LN(W883),LN(1-W883))</f>
        <v/>
      </c>
      <c r="Y883" s="8">
        <f>1</f>
        <v/>
      </c>
      <c r="Z883" s="9">
        <f>Y883*X883</f>
        <v/>
      </c>
      <c r="AA883" s="10">
        <f>IF(W883&gt;$AE$32,1,0)</f>
        <v/>
      </c>
      <c r="AB883">
        <f>IF(AA883=C883,1,0)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$AE$12+D884*$AE$13+E884*$AE$14+F884*$AE$15+G884*$AE$16+H884*$AE$17+I884*$AE$18+J884*$AE$19+K884*$AE$20+L884*$AE$21+M884*$AE$22+N884*$AE$23+O884*$AE$24+P884*$AE$25+Q884*$AE$26+R884*$AE$27+S884*$AE$28+T884*$AE$29+U884*$AE$30</f>
        <v/>
      </c>
      <c r="W884" s="8">
        <f>1/(1+EXP(-V884))</f>
        <v/>
      </c>
      <c r="X884" s="9">
        <f>-IF(C884=1,LN(W884),LN(1-W884))</f>
        <v/>
      </c>
      <c r="Y884" s="8">
        <f>1</f>
        <v/>
      </c>
      <c r="Z884" s="9">
        <f>Y884*X884</f>
        <v/>
      </c>
      <c r="AA884" s="10">
        <f>IF(W884&gt;$AE$32,1,0)</f>
        <v/>
      </c>
      <c r="AB884">
        <f>IF(AA884=C884,1,0)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$AE$12+D885*$AE$13+E885*$AE$14+F885*$AE$15+G885*$AE$16+H885*$AE$17+I885*$AE$18+J885*$AE$19+K885*$AE$20+L885*$AE$21+M885*$AE$22+N885*$AE$23+O885*$AE$24+P885*$AE$25+Q885*$AE$26+R885*$AE$27+S885*$AE$28+T885*$AE$29+U885*$AE$30</f>
        <v/>
      </c>
      <c r="W885" s="8">
        <f>1/(1+EXP(-V885))</f>
        <v/>
      </c>
      <c r="X885" s="9">
        <f>-IF(C885=1,LN(W885),LN(1-W885))</f>
        <v/>
      </c>
      <c r="Y885" s="8">
        <f>1</f>
        <v/>
      </c>
      <c r="Z885" s="9">
        <f>Y885*X885</f>
        <v/>
      </c>
      <c r="AA885" s="10">
        <f>IF(W885&gt;$AE$32,1,0)</f>
        <v/>
      </c>
      <c r="AB885">
        <f>IF(AA885=C885,1,0)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$AE$12+D886*$AE$13+E886*$AE$14+F886*$AE$15+G886*$AE$16+H886*$AE$17+I886*$AE$18+J886*$AE$19+K886*$AE$20+L886*$AE$21+M886*$AE$22+N886*$AE$23+O886*$AE$24+P886*$AE$25+Q886*$AE$26+R886*$AE$27+S886*$AE$28+T886*$AE$29+U886*$AE$30</f>
        <v/>
      </c>
      <c r="W886" s="8">
        <f>1/(1+EXP(-V886))</f>
        <v/>
      </c>
      <c r="X886" s="9">
        <f>-IF(C886=1,LN(W886),LN(1-W886))</f>
        <v/>
      </c>
      <c r="Y886" s="8">
        <f>1</f>
        <v/>
      </c>
      <c r="Z886" s="9">
        <f>Y886*X886</f>
        <v/>
      </c>
      <c r="AA886" s="10">
        <f>IF(W886&gt;$AE$32,1,0)</f>
        <v/>
      </c>
      <c r="AB886">
        <f>IF(AA886=C886,1,0)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$AE$12+D887*$AE$13+E887*$AE$14+F887*$AE$15+G887*$AE$16+H887*$AE$17+I887*$AE$18+J887*$AE$19+K887*$AE$20+L887*$AE$21+M887*$AE$22+N887*$AE$23+O887*$AE$24+P887*$AE$25+Q887*$AE$26+R887*$AE$27+S887*$AE$28+T887*$AE$29+U887*$AE$30</f>
        <v/>
      </c>
      <c r="W887" s="8">
        <f>1/(1+EXP(-V887))</f>
        <v/>
      </c>
      <c r="X887" s="9">
        <f>-IF(C887=1,LN(W887),LN(1-W887))</f>
        <v/>
      </c>
      <c r="Y887" s="8">
        <f>1</f>
        <v/>
      </c>
      <c r="Z887" s="9">
        <f>Y887*X887</f>
        <v/>
      </c>
      <c r="AA887" s="10">
        <f>IF(W887&gt;$AE$32,1,0)</f>
        <v/>
      </c>
      <c r="AB887">
        <f>IF(AA887=C887,1,0)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$AE$12+D888*$AE$13+E888*$AE$14+F888*$AE$15+G888*$AE$16+H888*$AE$17+I888*$AE$18+J888*$AE$19+K888*$AE$20+L888*$AE$21+M888*$AE$22+N888*$AE$23+O888*$AE$24+P888*$AE$25+Q888*$AE$26+R888*$AE$27+S888*$AE$28+T888*$AE$29+U888*$AE$30</f>
        <v/>
      </c>
      <c r="W888" s="8">
        <f>1/(1+EXP(-V888))</f>
        <v/>
      </c>
      <c r="X888" s="9">
        <f>-IF(C888=1,LN(W888),LN(1-W888))</f>
        <v/>
      </c>
      <c r="Y888" s="8">
        <f>1</f>
        <v/>
      </c>
      <c r="Z888" s="9">
        <f>Y888*X888</f>
        <v/>
      </c>
      <c r="AA888" s="10">
        <f>IF(W888&gt;$AE$32,1,0)</f>
        <v/>
      </c>
      <c r="AB888">
        <f>IF(AA888=C888,1,0)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$AE$12+D889*$AE$13+E889*$AE$14+F889*$AE$15+G889*$AE$16+H889*$AE$17+I889*$AE$18+J889*$AE$19+K889*$AE$20+L889*$AE$21+M889*$AE$22+N889*$AE$23+O889*$AE$24+P889*$AE$25+Q889*$AE$26+R889*$AE$27+S889*$AE$28+T889*$AE$29+U889*$AE$30</f>
        <v/>
      </c>
      <c r="W889" s="8">
        <f>1/(1+EXP(-V889))</f>
        <v/>
      </c>
      <c r="X889" s="9">
        <f>-IF(C889=1,LN(W889),LN(1-W889))</f>
        <v/>
      </c>
      <c r="Y889" s="8">
        <f>1</f>
        <v/>
      </c>
      <c r="Z889" s="9">
        <f>Y889*X889</f>
        <v/>
      </c>
      <c r="AA889" s="10">
        <f>IF(W889&gt;$AE$32,1,0)</f>
        <v/>
      </c>
      <c r="AB889">
        <f>IF(AA889=C889,1,0)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$AE$12+D890*$AE$13+E890*$AE$14+F890*$AE$15+G890*$AE$16+H890*$AE$17+I890*$AE$18+J890*$AE$19+K890*$AE$20+L890*$AE$21+M890*$AE$22+N890*$AE$23+O890*$AE$24+P890*$AE$25+Q890*$AE$26+R890*$AE$27+S890*$AE$28+T890*$AE$29+U890*$AE$30</f>
        <v/>
      </c>
      <c r="W890" s="8">
        <f>1/(1+EXP(-V890))</f>
        <v/>
      </c>
      <c r="X890" s="9">
        <f>-IF(C890=1,LN(W890),LN(1-W890))</f>
        <v/>
      </c>
      <c r="Y890" s="8">
        <f>1</f>
        <v/>
      </c>
      <c r="Z890" s="9">
        <f>Y890*X890</f>
        <v/>
      </c>
      <c r="AA890" s="10">
        <f>IF(W890&gt;$AE$32,1,0)</f>
        <v/>
      </c>
      <c r="AB890">
        <f>IF(AA890=C890,1,0)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$AE$12+D891*$AE$13+E891*$AE$14+F891*$AE$15+G891*$AE$16+H891*$AE$17+I891*$AE$18+J891*$AE$19+K891*$AE$20+L891*$AE$21+M891*$AE$22+N891*$AE$23+O891*$AE$24+P891*$AE$25+Q891*$AE$26+R891*$AE$27+S891*$AE$28+T891*$AE$29+U891*$AE$30</f>
        <v/>
      </c>
      <c r="W891" s="8">
        <f>1/(1+EXP(-V891))</f>
        <v/>
      </c>
      <c r="X891" s="9">
        <f>-IF(C891=1,LN(W891),LN(1-W891))</f>
        <v/>
      </c>
      <c r="Y891" s="8">
        <f>1</f>
        <v/>
      </c>
      <c r="Z891" s="9">
        <f>Y891*X891</f>
        <v/>
      </c>
      <c r="AA891" s="10">
        <f>IF(W891&gt;$AE$32,1,0)</f>
        <v/>
      </c>
      <c r="AB891">
        <f>IF(AA891=C891,1,0)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$AE$12+D892*$AE$13+E892*$AE$14+F892*$AE$15+G892*$AE$16+H892*$AE$17+I892*$AE$18+J892*$AE$19+K892*$AE$20+L892*$AE$21+M892*$AE$22+N892*$AE$23+O892*$AE$24+P892*$AE$25+Q892*$AE$26+R892*$AE$27+S892*$AE$28+T892*$AE$29+U892*$AE$30</f>
        <v/>
      </c>
      <c r="W892" s="8">
        <f>1/(1+EXP(-V892))</f>
        <v/>
      </c>
      <c r="X892" s="9">
        <f>-IF(C892=1,LN(W892),LN(1-W892))</f>
        <v/>
      </c>
      <c r="Y892" s="8">
        <f>1</f>
        <v/>
      </c>
      <c r="Z892" s="9">
        <f>Y892*X892</f>
        <v/>
      </c>
      <c r="AA892" s="10">
        <f>IF(W892&gt;$AE$32,1,0)</f>
        <v/>
      </c>
      <c r="AB892">
        <f>IF(AA892=C892,1,0)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$AE$12+D893*$AE$13+E893*$AE$14+F893*$AE$15+G893*$AE$16+H893*$AE$17+I893*$AE$18+J893*$AE$19+K893*$AE$20+L893*$AE$21+M893*$AE$22+N893*$AE$23+O893*$AE$24+P893*$AE$25+Q893*$AE$26+R893*$AE$27+S893*$AE$28+T893*$AE$29+U893*$AE$30</f>
        <v/>
      </c>
      <c r="W893" s="8">
        <f>1/(1+EXP(-V893))</f>
        <v/>
      </c>
      <c r="X893" s="9">
        <f>-IF(C893=1,LN(W893),LN(1-W893))</f>
        <v/>
      </c>
      <c r="Y893" s="8">
        <f>1</f>
        <v/>
      </c>
      <c r="Z893" s="9">
        <f>Y893*X893</f>
        <v/>
      </c>
      <c r="AA893" s="10">
        <f>IF(W893&gt;$AE$32,1,0)</f>
        <v/>
      </c>
      <c r="AB893">
        <f>IF(AA893=C893,1,0)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$AE$12+D894*$AE$13+E894*$AE$14+F894*$AE$15+G894*$AE$16+H894*$AE$17+I894*$AE$18+J894*$AE$19+K894*$AE$20+L894*$AE$21+M894*$AE$22+N894*$AE$23+O894*$AE$24+P894*$AE$25+Q894*$AE$26+R894*$AE$27+S894*$AE$28+T894*$AE$29+U894*$AE$30</f>
        <v/>
      </c>
      <c r="W894" s="8">
        <f>1/(1+EXP(-V894))</f>
        <v/>
      </c>
      <c r="X894" s="9">
        <f>-IF(C894=1,LN(W894),LN(1-W894))</f>
        <v/>
      </c>
      <c r="Y894" s="8">
        <f>1</f>
        <v/>
      </c>
      <c r="Z894" s="9">
        <f>Y894*X894</f>
        <v/>
      </c>
      <c r="AA894" s="10">
        <f>IF(W894&gt;$AE$32,1,0)</f>
        <v/>
      </c>
      <c r="AB894">
        <f>IF(AA894=C894,1,0)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$AE$12+D895*$AE$13+E895*$AE$14+F895*$AE$15+G895*$AE$16+H895*$AE$17+I895*$AE$18+J895*$AE$19+K895*$AE$20+L895*$AE$21+M895*$AE$22+N895*$AE$23+O895*$AE$24+P895*$AE$25+Q895*$AE$26+R895*$AE$27+S895*$AE$28+T895*$AE$29+U895*$AE$30</f>
        <v/>
      </c>
      <c r="W895" s="8">
        <f>1/(1+EXP(-V895))</f>
        <v/>
      </c>
      <c r="X895" s="9">
        <f>-IF(C895=1,LN(W895),LN(1-W895))</f>
        <v/>
      </c>
      <c r="Y895" s="8">
        <f>1</f>
        <v/>
      </c>
      <c r="Z895" s="9">
        <f>Y895*X895</f>
        <v/>
      </c>
      <c r="AA895" s="10">
        <f>IF(W895&gt;$AE$32,1,0)</f>
        <v/>
      </c>
      <c r="AB895">
        <f>IF(AA895=C895,1,0)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$AE$12+D896*$AE$13+E896*$AE$14+F896*$AE$15+G896*$AE$16+H896*$AE$17+I896*$AE$18+J896*$AE$19+K896*$AE$20+L896*$AE$21+M896*$AE$22+N896*$AE$23+O896*$AE$24+P896*$AE$25+Q896*$AE$26+R896*$AE$27+S896*$AE$28+T896*$AE$29+U896*$AE$30</f>
        <v/>
      </c>
      <c r="W896" s="8">
        <f>1/(1+EXP(-V896))</f>
        <v/>
      </c>
      <c r="X896" s="9">
        <f>-IF(C896=1,LN(W896),LN(1-W896))</f>
        <v/>
      </c>
      <c r="Y896" s="8">
        <f>1</f>
        <v/>
      </c>
      <c r="Z896" s="9">
        <f>Y896*X896</f>
        <v/>
      </c>
      <c r="AA896" s="10">
        <f>IF(W896&gt;$AE$32,1,0)</f>
        <v/>
      </c>
      <c r="AB896">
        <f>IF(AA896=C896,1,0)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$AE$12+D897*$AE$13+E897*$AE$14+F897*$AE$15+G897*$AE$16+H897*$AE$17+I897*$AE$18+J897*$AE$19+K897*$AE$20+L897*$AE$21+M897*$AE$22+N897*$AE$23+O897*$AE$24+P897*$AE$25+Q897*$AE$26+R897*$AE$27+S897*$AE$28+T897*$AE$29+U897*$AE$30</f>
        <v/>
      </c>
      <c r="W897" s="8">
        <f>1/(1+EXP(-V897))</f>
        <v/>
      </c>
      <c r="X897" s="9">
        <f>-IF(C897=1,LN(W897),LN(1-W897))</f>
        <v/>
      </c>
      <c r="Y897" s="8">
        <f>1</f>
        <v/>
      </c>
      <c r="Z897" s="9">
        <f>Y897*X897</f>
        <v/>
      </c>
      <c r="AA897" s="10">
        <f>IF(W897&gt;$AE$32,1,0)</f>
        <v/>
      </c>
      <c r="AB897">
        <f>IF(AA897=C897,1,0)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$AE$12+D898*$AE$13+E898*$AE$14+F898*$AE$15+G898*$AE$16+H898*$AE$17+I898*$AE$18+J898*$AE$19+K898*$AE$20+L898*$AE$21+M898*$AE$22+N898*$AE$23+O898*$AE$24+P898*$AE$25+Q898*$AE$26+R898*$AE$27+S898*$AE$28+T898*$AE$29+U898*$AE$30</f>
        <v/>
      </c>
      <c r="W898" s="8">
        <f>1/(1+EXP(-V898))</f>
        <v/>
      </c>
      <c r="X898" s="9">
        <f>-IF(C898=1,LN(W898),LN(1-W898))</f>
        <v/>
      </c>
      <c r="Y898" s="8">
        <f>1</f>
        <v/>
      </c>
      <c r="Z898" s="9">
        <f>Y898*X898</f>
        <v/>
      </c>
      <c r="AA898" s="10">
        <f>IF(W898&gt;$AE$32,1,0)</f>
        <v/>
      </c>
      <c r="AB898">
        <f>IF(AA898=C898,1,0)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$AE$12+D899*$AE$13+E899*$AE$14+F899*$AE$15+G899*$AE$16+H899*$AE$17+I899*$AE$18+J899*$AE$19+K899*$AE$20+L899*$AE$21+M899*$AE$22+N899*$AE$23+O899*$AE$24+P899*$AE$25+Q899*$AE$26+R899*$AE$27+S899*$AE$28+T899*$AE$29+U899*$AE$30</f>
        <v/>
      </c>
      <c r="W899" s="8">
        <f>1/(1+EXP(-V899))</f>
        <v/>
      </c>
      <c r="X899" s="9">
        <f>-IF(C899=1,LN(W899),LN(1-W899))</f>
        <v/>
      </c>
      <c r="Y899" s="8">
        <f>1</f>
        <v/>
      </c>
      <c r="Z899" s="9">
        <f>Y899*X899</f>
        <v/>
      </c>
      <c r="AA899" s="10">
        <f>IF(W899&gt;$AE$32,1,0)</f>
        <v/>
      </c>
      <c r="AB899">
        <f>IF(AA899=C899,1,0)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$AE$12+D900*$AE$13+E900*$AE$14+F900*$AE$15+G900*$AE$16+H900*$AE$17+I900*$AE$18+J900*$AE$19+K900*$AE$20+L900*$AE$21+M900*$AE$22+N900*$AE$23+O900*$AE$24+P900*$AE$25+Q900*$AE$26+R900*$AE$27+S900*$AE$28+T900*$AE$29+U900*$AE$30</f>
        <v/>
      </c>
      <c r="W900" s="8">
        <f>1/(1+EXP(-V900))</f>
        <v/>
      </c>
      <c r="X900" s="9">
        <f>-IF(C900=1,LN(W900),LN(1-W900))</f>
        <v/>
      </c>
      <c r="Y900" s="8">
        <f>1</f>
        <v/>
      </c>
      <c r="Z900" s="9">
        <f>Y900*X900</f>
        <v/>
      </c>
      <c r="AA900" s="10">
        <f>IF(W900&gt;$AE$32,1,0)</f>
        <v/>
      </c>
      <c r="AB900">
        <f>IF(AA900=C900,1,0)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$AE$12+D901*$AE$13+E901*$AE$14+F901*$AE$15+G901*$AE$16+H901*$AE$17+I901*$AE$18+J901*$AE$19+K901*$AE$20+L901*$AE$21+M901*$AE$22+N901*$AE$23+O901*$AE$24+P901*$AE$25+Q901*$AE$26+R901*$AE$27+S901*$AE$28+T901*$AE$29+U901*$AE$30</f>
        <v/>
      </c>
      <c r="W901" s="8">
        <f>1/(1+EXP(-V901))</f>
        <v/>
      </c>
      <c r="X901" s="9">
        <f>-IF(C901=1,LN(W901),LN(1-W901))</f>
        <v/>
      </c>
      <c r="Y901" s="8">
        <f>1</f>
        <v/>
      </c>
      <c r="Z901" s="9">
        <f>Y901*X901</f>
        <v/>
      </c>
      <c r="AA901" s="10">
        <f>IF(W901&gt;$AE$32,1,0)</f>
        <v/>
      </c>
      <c r="AB901">
        <f>IF(AA901=C901,1,0)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$AE$12+D902*$AE$13+E902*$AE$14+F902*$AE$15+G902*$AE$16+H902*$AE$17+I902*$AE$18+J902*$AE$19+K902*$AE$20+L902*$AE$21+M902*$AE$22+N902*$AE$23+O902*$AE$24+P902*$AE$25+Q902*$AE$26+R902*$AE$27+S902*$AE$28+T902*$AE$29+U902*$AE$30</f>
        <v/>
      </c>
      <c r="W902" s="8">
        <f>1/(1+EXP(-V902))</f>
        <v/>
      </c>
      <c r="X902" s="9">
        <f>-IF(C902=1,LN(W902),LN(1-W902))</f>
        <v/>
      </c>
      <c r="Y902" s="8">
        <f>1</f>
        <v/>
      </c>
      <c r="Z902" s="9">
        <f>Y902*X902</f>
        <v/>
      </c>
      <c r="AA902" s="10">
        <f>IF(W902&gt;$AE$32,1,0)</f>
        <v/>
      </c>
      <c r="AB902">
        <f>IF(AA902=C902,1,0)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$AE$12+D903*$AE$13+E903*$AE$14+F903*$AE$15+G903*$AE$16+H903*$AE$17+I903*$AE$18+J903*$AE$19+K903*$AE$20+L903*$AE$21+M903*$AE$22+N903*$AE$23+O903*$AE$24+P903*$AE$25+Q903*$AE$26+R903*$AE$27+S903*$AE$28+T903*$AE$29+U903*$AE$30</f>
        <v/>
      </c>
      <c r="W903" s="8">
        <f>1/(1+EXP(-V903))</f>
        <v/>
      </c>
      <c r="X903" s="9">
        <f>-IF(C903=1,LN(W903),LN(1-W903))</f>
        <v/>
      </c>
      <c r="Y903" s="8">
        <f>1</f>
        <v/>
      </c>
      <c r="Z903" s="9">
        <f>Y903*X903</f>
        <v/>
      </c>
      <c r="AA903" s="10">
        <f>IF(W903&gt;$AE$32,1,0)</f>
        <v/>
      </c>
      <c r="AB903">
        <f>IF(AA903=C903,1,0)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$AE$12+D904*$AE$13+E904*$AE$14+F904*$AE$15+G904*$AE$16+H904*$AE$17+I904*$AE$18+J904*$AE$19+K904*$AE$20+L904*$AE$21+M904*$AE$22+N904*$AE$23+O904*$AE$24+P904*$AE$25+Q904*$AE$26+R904*$AE$27+S904*$AE$28+T904*$AE$29+U904*$AE$30</f>
        <v/>
      </c>
      <c r="W904" s="8">
        <f>1/(1+EXP(-V904))</f>
        <v/>
      </c>
      <c r="X904" s="9">
        <f>-IF(C904=1,LN(W904),LN(1-W904))</f>
        <v/>
      </c>
      <c r="Y904" s="8">
        <f>1</f>
        <v/>
      </c>
      <c r="Z904" s="9">
        <f>Y904*X904</f>
        <v/>
      </c>
      <c r="AA904" s="10">
        <f>IF(W904&gt;$AE$32,1,0)</f>
        <v/>
      </c>
      <c r="AB904">
        <f>IF(AA904=C904,1,0)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$AE$12+D905*$AE$13+E905*$AE$14+F905*$AE$15+G905*$AE$16+H905*$AE$17+I905*$AE$18+J905*$AE$19+K905*$AE$20+L905*$AE$21+M905*$AE$22+N905*$AE$23+O905*$AE$24+P905*$AE$25+Q905*$AE$26+R905*$AE$27+S905*$AE$28+T905*$AE$29+U905*$AE$30</f>
        <v/>
      </c>
      <c r="W905" s="8">
        <f>1/(1+EXP(-V905))</f>
        <v/>
      </c>
      <c r="X905" s="9">
        <f>-IF(C905=1,LN(W905),LN(1-W905))</f>
        <v/>
      </c>
      <c r="Y905" s="8">
        <f>1</f>
        <v/>
      </c>
      <c r="Z905" s="9">
        <f>Y905*X905</f>
        <v/>
      </c>
      <c r="AA905" s="10">
        <f>IF(W905&gt;$AE$32,1,0)</f>
        <v/>
      </c>
      <c r="AB905">
        <f>IF(AA905=C905,1,0)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$AE$12+D906*$AE$13+E906*$AE$14+F906*$AE$15+G906*$AE$16+H906*$AE$17+I906*$AE$18+J906*$AE$19+K906*$AE$20+L906*$AE$21+M906*$AE$22+N906*$AE$23+O906*$AE$24+P906*$AE$25+Q906*$AE$26+R906*$AE$27+S906*$AE$28+T906*$AE$29+U906*$AE$30</f>
        <v/>
      </c>
      <c r="W906" s="8">
        <f>1/(1+EXP(-V906))</f>
        <v/>
      </c>
      <c r="X906" s="9">
        <f>-IF(C906=1,LN(W906),LN(1-W906))</f>
        <v/>
      </c>
      <c r="Y906" s="8">
        <f>1</f>
        <v/>
      </c>
      <c r="Z906" s="9">
        <f>Y906*X906</f>
        <v/>
      </c>
      <c r="AA906" s="10">
        <f>IF(W906&gt;$AE$32,1,0)</f>
        <v/>
      </c>
      <c r="AB906">
        <f>IF(AA906=C906,1,0)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$AE$12+D907*$AE$13+E907*$AE$14+F907*$AE$15+G907*$AE$16+H907*$AE$17+I907*$AE$18+J907*$AE$19+K907*$AE$20+L907*$AE$21+M907*$AE$22+N907*$AE$23+O907*$AE$24+P907*$AE$25+Q907*$AE$26+R907*$AE$27+S907*$AE$28+T907*$AE$29+U907*$AE$30</f>
        <v/>
      </c>
      <c r="W907" s="8">
        <f>1/(1+EXP(-V907))</f>
        <v/>
      </c>
      <c r="X907" s="9">
        <f>-IF(C907=1,LN(W907),LN(1-W907))</f>
        <v/>
      </c>
      <c r="Y907" s="8">
        <f>1</f>
        <v/>
      </c>
      <c r="Z907" s="9">
        <f>Y907*X907</f>
        <v/>
      </c>
      <c r="AA907" s="10">
        <f>IF(W907&gt;$AE$32,1,0)</f>
        <v/>
      </c>
      <c r="AB907">
        <f>IF(AA907=C907,1,0)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$AE$12+D908*$AE$13+E908*$AE$14+F908*$AE$15+G908*$AE$16+H908*$AE$17+I908*$AE$18+J908*$AE$19+K908*$AE$20+L908*$AE$21+M908*$AE$22+N908*$AE$23+O908*$AE$24+P908*$AE$25+Q908*$AE$26+R908*$AE$27+S908*$AE$28+T908*$AE$29+U908*$AE$30</f>
        <v/>
      </c>
      <c r="W908" s="8">
        <f>1/(1+EXP(-V908))</f>
        <v/>
      </c>
      <c r="X908" s="9">
        <f>-IF(C908=1,LN(W908),LN(1-W908))</f>
        <v/>
      </c>
      <c r="Y908" s="8">
        <f>1</f>
        <v/>
      </c>
      <c r="Z908" s="9">
        <f>Y908*X908</f>
        <v/>
      </c>
      <c r="AA908" s="10">
        <f>IF(W908&gt;$AE$32,1,0)</f>
        <v/>
      </c>
      <c r="AB908">
        <f>IF(AA908=C908,1,0)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$AE$12+D909*$AE$13+E909*$AE$14+F909*$AE$15+G909*$AE$16+H909*$AE$17+I909*$AE$18+J909*$AE$19+K909*$AE$20+L909*$AE$21+M909*$AE$22+N909*$AE$23+O909*$AE$24+P909*$AE$25+Q909*$AE$26+R909*$AE$27+S909*$AE$28+T909*$AE$29+U909*$AE$30</f>
        <v/>
      </c>
      <c r="W909" s="8">
        <f>1/(1+EXP(-V909))</f>
        <v/>
      </c>
      <c r="X909" s="9">
        <f>-IF(C909=1,LN(W909),LN(1-W909))</f>
        <v/>
      </c>
      <c r="Y909" s="8">
        <f>1</f>
        <v/>
      </c>
      <c r="Z909" s="9">
        <f>Y909*X909</f>
        <v/>
      </c>
      <c r="AA909" s="10">
        <f>IF(W909&gt;$AE$32,1,0)</f>
        <v/>
      </c>
      <c r="AB909">
        <f>IF(AA909=C909,1,0)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$AE$12+D910*$AE$13+E910*$AE$14+F910*$AE$15+G910*$AE$16+H910*$AE$17+I910*$AE$18+J910*$AE$19+K910*$AE$20+L910*$AE$21+M910*$AE$22+N910*$AE$23+O910*$AE$24+P910*$AE$25+Q910*$AE$26+R910*$AE$27+S910*$AE$28+T910*$AE$29+U910*$AE$30</f>
        <v/>
      </c>
      <c r="W910" s="8">
        <f>1/(1+EXP(-V910))</f>
        <v/>
      </c>
      <c r="X910" s="9">
        <f>-IF(C910=1,LN(W910),LN(1-W910))</f>
        <v/>
      </c>
      <c r="Y910" s="8">
        <f>1</f>
        <v/>
      </c>
      <c r="Z910" s="9">
        <f>Y910*X910</f>
        <v/>
      </c>
      <c r="AA910" s="10">
        <f>IF(W910&gt;$AE$32,1,0)</f>
        <v/>
      </c>
      <c r="AB910">
        <f>IF(AA910=C910,1,0)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$AE$12+D911*$AE$13+E911*$AE$14+F911*$AE$15+G911*$AE$16+H911*$AE$17+I911*$AE$18+J911*$AE$19+K911*$AE$20+L911*$AE$21+M911*$AE$22+N911*$AE$23+O911*$AE$24+P911*$AE$25+Q911*$AE$26+R911*$AE$27+S911*$AE$28+T911*$AE$29+U911*$AE$30</f>
        <v/>
      </c>
      <c r="W911" s="8">
        <f>1/(1+EXP(-V911))</f>
        <v/>
      </c>
      <c r="X911" s="9">
        <f>-IF(C911=1,LN(W911),LN(1-W911))</f>
        <v/>
      </c>
      <c r="Y911" s="8">
        <f>1</f>
        <v/>
      </c>
      <c r="Z911" s="9">
        <f>Y911*X911</f>
        <v/>
      </c>
      <c r="AA911" s="10">
        <f>IF(W911&gt;$AE$32,1,0)</f>
        <v/>
      </c>
      <c r="AB911">
        <f>IF(AA911=C911,1,0)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$AE$12+D912*$AE$13+E912*$AE$14+F912*$AE$15+G912*$AE$16+H912*$AE$17+I912*$AE$18+J912*$AE$19+K912*$AE$20+L912*$AE$21+M912*$AE$22+N912*$AE$23+O912*$AE$24+P912*$AE$25+Q912*$AE$26+R912*$AE$27+S912*$AE$28+T912*$AE$29+U912*$AE$30</f>
        <v/>
      </c>
      <c r="W912" s="8">
        <f>1/(1+EXP(-V912))</f>
        <v/>
      </c>
      <c r="X912" s="9">
        <f>-IF(C912=1,LN(W912),LN(1-W912))</f>
        <v/>
      </c>
      <c r="Y912" s="8">
        <f>1</f>
        <v/>
      </c>
      <c r="Z912" s="9">
        <f>Y912*X912</f>
        <v/>
      </c>
      <c r="AA912" s="10">
        <f>IF(W912&gt;$AE$32,1,0)</f>
        <v/>
      </c>
      <c r="AB912">
        <f>IF(AA912=C912,1,0)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$AE$12+D913*$AE$13+E913*$AE$14+F913*$AE$15+G913*$AE$16+H913*$AE$17+I913*$AE$18+J913*$AE$19+K913*$AE$20+L913*$AE$21+M913*$AE$22+N913*$AE$23+O913*$AE$24+P913*$AE$25+Q913*$AE$26+R913*$AE$27+S913*$AE$28+T913*$AE$29+U913*$AE$30</f>
        <v/>
      </c>
      <c r="W913" s="8">
        <f>1/(1+EXP(-V913))</f>
        <v/>
      </c>
      <c r="X913" s="9">
        <f>-IF(C913=1,LN(W913),LN(1-W913))</f>
        <v/>
      </c>
      <c r="Y913" s="8">
        <f>1</f>
        <v/>
      </c>
      <c r="Z913" s="9">
        <f>Y913*X913</f>
        <v/>
      </c>
      <c r="AA913" s="10">
        <f>IF(W913&gt;$AE$32,1,0)</f>
        <v/>
      </c>
      <c r="AB913">
        <f>IF(AA913=C913,1,0)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$AE$12+D914*$AE$13+E914*$AE$14+F914*$AE$15+G914*$AE$16+H914*$AE$17+I914*$AE$18+J914*$AE$19+K914*$AE$20+L914*$AE$21+M914*$AE$22+N914*$AE$23+O914*$AE$24+P914*$AE$25+Q914*$AE$26+R914*$AE$27+S914*$AE$28+T914*$AE$29+U914*$AE$30</f>
        <v/>
      </c>
      <c r="W914" s="8">
        <f>1/(1+EXP(-V914))</f>
        <v/>
      </c>
      <c r="X914" s="9">
        <f>-IF(C914=1,LN(W914),LN(1-W914))</f>
        <v/>
      </c>
      <c r="Y914" s="8">
        <f>1</f>
        <v/>
      </c>
      <c r="Z914" s="9">
        <f>Y914*X914</f>
        <v/>
      </c>
      <c r="AA914" s="10">
        <f>IF(W914&gt;$AE$32,1,0)</f>
        <v/>
      </c>
      <c r="AB914">
        <f>IF(AA914=C914,1,0)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$AE$12+D915*$AE$13+E915*$AE$14+F915*$AE$15+G915*$AE$16+H915*$AE$17+I915*$AE$18+J915*$AE$19+K915*$AE$20+L915*$AE$21+M915*$AE$22+N915*$AE$23+O915*$AE$24+P915*$AE$25+Q915*$AE$26+R915*$AE$27+S915*$AE$28+T915*$AE$29+U915*$AE$30</f>
        <v/>
      </c>
      <c r="W915" s="8">
        <f>1/(1+EXP(-V915))</f>
        <v/>
      </c>
      <c r="X915" s="9">
        <f>-IF(C915=1,LN(W915),LN(1-W915))</f>
        <v/>
      </c>
      <c r="Y915" s="8">
        <f>1</f>
        <v/>
      </c>
      <c r="Z915" s="9">
        <f>Y915*X915</f>
        <v/>
      </c>
      <c r="AA915" s="10">
        <f>IF(W915&gt;$AE$32,1,0)</f>
        <v/>
      </c>
      <c r="AB915">
        <f>IF(AA915=C915,1,0)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$AE$12+D916*$AE$13+E916*$AE$14+F916*$AE$15+G916*$AE$16+H916*$AE$17+I916*$AE$18+J916*$AE$19+K916*$AE$20+L916*$AE$21+M916*$AE$22+N916*$AE$23+O916*$AE$24+P916*$AE$25+Q916*$AE$26+R916*$AE$27+S916*$AE$28+T916*$AE$29+U916*$AE$30</f>
        <v/>
      </c>
      <c r="W916" s="8">
        <f>1/(1+EXP(-V916))</f>
        <v/>
      </c>
      <c r="X916" s="9">
        <f>-IF(C916=1,LN(W916),LN(1-W916))</f>
        <v/>
      </c>
      <c r="Y916" s="8">
        <f>1</f>
        <v/>
      </c>
      <c r="Z916" s="9">
        <f>Y916*X916</f>
        <v/>
      </c>
      <c r="AA916" s="10">
        <f>IF(W916&gt;$AE$32,1,0)</f>
        <v/>
      </c>
      <c r="AB916">
        <f>IF(AA916=C916,1,0)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$AE$12+D917*$AE$13+E917*$AE$14+F917*$AE$15+G917*$AE$16+H917*$AE$17+I917*$AE$18+J917*$AE$19+K917*$AE$20+L917*$AE$21+M917*$AE$22+N917*$AE$23+O917*$AE$24+P917*$AE$25+Q917*$AE$26+R917*$AE$27+S917*$AE$28+T917*$AE$29+U917*$AE$30</f>
        <v/>
      </c>
      <c r="W917" s="8">
        <f>1/(1+EXP(-V917))</f>
        <v/>
      </c>
      <c r="X917" s="9">
        <f>-IF(C917=1,LN(W917),LN(1-W917))</f>
        <v/>
      </c>
      <c r="Y917" s="8">
        <f>1</f>
        <v/>
      </c>
      <c r="Z917" s="9">
        <f>Y917*X917</f>
        <v/>
      </c>
      <c r="AA917" s="10">
        <f>IF(W917&gt;$AE$32,1,0)</f>
        <v/>
      </c>
      <c r="AB917">
        <f>IF(AA917=C917,1,0)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$AE$12+D918*$AE$13+E918*$AE$14+F918*$AE$15+G918*$AE$16+H918*$AE$17+I918*$AE$18+J918*$AE$19+K918*$AE$20+L918*$AE$21+M918*$AE$22+N918*$AE$23+O918*$AE$24+P918*$AE$25+Q918*$AE$26+R918*$AE$27+S918*$AE$28+T918*$AE$29+U918*$AE$30</f>
        <v/>
      </c>
      <c r="W918" s="8">
        <f>1/(1+EXP(-V918))</f>
        <v/>
      </c>
      <c r="X918" s="9">
        <f>-IF(C918=1,LN(W918),LN(1-W918))</f>
        <v/>
      </c>
      <c r="Y918" s="8">
        <f>1</f>
        <v/>
      </c>
      <c r="Z918" s="9">
        <f>Y918*X918</f>
        <v/>
      </c>
      <c r="AA918" s="10">
        <f>IF(W918&gt;$AE$32,1,0)</f>
        <v/>
      </c>
      <c r="AB918">
        <f>IF(AA918=C918,1,0)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$AE$12+D919*$AE$13+E919*$AE$14+F919*$AE$15+G919*$AE$16+H919*$AE$17+I919*$AE$18+J919*$AE$19+K919*$AE$20+L919*$AE$21+M919*$AE$22+N919*$AE$23+O919*$AE$24+P919*$AE$25+Q919*$AE$26+R919*$AE$27+S919*$AE$28+T919*$AE$29+U919*$AE$30</f>
        <v/>
      </c>
      <c r="W919" s="8">
        <f>1/(1+EXP(-V919))</f>
        <v/>
      </c>
      <c r="X919" s="9">
        <f>-IF(C919=1,LN(W919),LN(1-W919))</f>
        <v/>
      </c>
      <c r="Y919" s="8">
        <f>1</f>
        <v/>
      </c>
      <c r="Z919" s="9">
        <f>Y919*X919</f>
        <v/>
      </c>
      <c r="AA919" s="10">
        <f>IF(W919&gt;$AE$32,1,0)</f>
        <v/>
      </c>
      <c r="AB919">
        <f>IF(AA919=C919,1,0)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$AE$12+D920*$AE$13+E920*$AE$14+F920*$AE$15+G920*$AE$16+H920*$AE$17+I920*$AE$18+J920*$AE$19+K920*$AE$20+L920*$AE$21+M920*$AE$22+N920*$AE$23+O920*$AE$24+P920*$AE$25+Q920*$AE$26+R920*$AE$27+S920*$AE$28+T920*$AE$29+U920*$AE$30</f>
        <v/>
      </c>
      <c r="W920" s="8">
        <f>1/(1+EXP(-V920))</f>
        <v/>
      </c>
      <c r="X920" s="9">
        <f>-IF(C920=1,LN(W920),LN(1-W920))</f>
        <v/>
      </c>
      <c r="Y920" s="8">
        <f>1</f>
        <v/>
      </c>
      <c r="Z920" s="9">
        <f>Y920*X920</f>
        <v/>
      </c>
      <c r="AA920" s="10">
        <f>IF(W920&gt;$AE$32,1,0)</f>
        <v/>
      </c>
      <c r="AB920">
        <f>IF(AA920=C920,1,0)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$AE$12+D921*$AE$13+E921*$AE$14+F921*$AE$15+G921*$AE$16+H921*$AE$17+I921*$AE$18+J921*$AE$19+K921*$AE$20+L921*$AE$21+M921*$AE$22+N921*$AE$23+O921*$AE$24+P921*$AE$25+Q921*$AE$26+R921*$AE$27+S921*$AE$28+T921*$AE$29+U921*$AE$30</f>
        <v/>
      </c>
      <c r="W921" s="8">
        <f>1/(1+EXP(-V921))</f>
        <v/>
      </c>
      <c r="X921" s="9">
        <f>-IF(C921=1,LN(W921),LN(1-W921))</f>
        <v/>
      </c>
      <c r="Y921" s="8">
        <f>1</f>
        <v/>
      </c>
      <c r="Z921" s="9">
        <f>Y921*X921</f>
        <v/>
      </c>
      <c r="AA921" s="10">
        <f>IF(W921&gt;$AE$32,1,0)</f>
        <v/>
      </c>
      <c r="AB921">
        <f>IF(AA921=C921,1,0)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$AE$12+D922*$AE$13+E922*$AE$14+F922*$AE$15+G922*$AE$16+H922*$AE$17+I922*$AE$18+J922*$AE$19+K922*$AE$20+L922*$AE$21+M922*$AE$22+N922*$AE$23+O922*$AE$24+P922*$AE$25+Q922*$AE$26+R922*$AE$27+S922*$AE$28+T922*$AE$29+U922*$AE$30</f>
        <v/>
      </c>
      <c r="W922" s="8">
        <f>1/(1+EXP(-V922))</f>
        <v/>
      </c>
      <c r="X922" s="9">
        <f>-IF(C922=1,LN(W922),LN(1-W922))</f>
        <v/>
      </c>
      <c r="Y922" s="8">
        <f>1</f>
        <v/>
      </c>
      <c r="Z922" s="9">
        <f>Y922*X922</f>
        <v/>
      </c>
      <c r="AA922" s="10">
        <f>IF(W922&gt;$AE$32,1,0)</f>
        <v/>
      </c>
      <c r="AB922">
        <f>IF(AA922=C922,1,0)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$AE$12+D923*$AE$13+E923*$AE$14+F923*$AE$15+G923*$AE$16+H923*$AE$17+I923*$AE$18+J923*$AE$19+K923*$AE$20+L923*$AE$21+M923*$AE$22+N923*$AE$23+O923*$AE$24+P923*$AE$25+Q923*$AE$26+R923*$AE$27+S923*$AE$28+T923*$AE$29+U923*$AE$30</f>
        <v/>
      </c>
      <c r="W923" s="8">
        <f>1/(1+EXP(-V923))</f>
        <v/>
      </c>
      <c r="X923" s="9">
        <f>-IF(C923=1,LN(W923),LN(1-W923))</f>
        <v/>
      </c>
      <c r="Y923" s="8">
        <f>1</f>
        <v/>
      </c>
      <c r="Z923" s="9">
        <f>Y923*X923</f>
        <v/>
      </c>
      <c r="AA923" s="10">
        <f>IF(W923&gt;$AE$32,1,0)</f>
        <v/>
      </c>
      <c r="AB923">
        <f>IF(AA923=C923,1,0)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$AE$12+D924*$AE$13+E924*$AE$14+F924*$AE$15+G924*$AE$16+H924*$AE$17+I924*$AE$18+J924*$AE$19+K924*$AE$20+L924*$AE$21+M924*$AE$22+N924*$AE$23+O924*$AE$24+P924*$AE$25+Q924*$AE$26+R924*$AE$27+S924*$AE$28+T924*$AE$29+U924*$AE$30</f>
        <v/>
      </c>
      <c r="W924" s="8">
        <f>1/(1+EXP(-V924))</f>
        <v/>
      </c>
      <c r="X924" s="9">
        <f>-IF(C924=1,LN(W924),LN(1-W924))</f>
        <v/>
      </c>
      <c r="Y924" s="8">
        <f>1</f>
        <v/>
      </c>
      <c r="Z924" s="9">
        <f>Y924*X924</f>
        <v/>
      </c>
      <c r="AA924" s="10">
        <f>IF(W924&gt;$AE$32,1,0)</f>
        <v/>
      </c>
      <c r="AB924">
        <f>IF(AA924=C924,1,0)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$AE$12+D925*$AE$13+E925*$AE$14+F925*$AE$15+G925*$AE$16+H925*$AE$17+I925*$AE$18+J925*$AE$19+K925*$AE$20+L925*$AE$21+M925*$AE$22+N925*$AE$23+O925*$AE$24+P925*$AE$25+Q925*$AE$26+R925*$AE$27+S925*$AE$28+T925*$AE$29+U925*$AE$30</f>
        <v/>
      </c>
      <c r="W925" s="8">
        <f>1/(1+EXP(-V925))</f>
        <v/>
      </c>
      <c r="X925" s="9">
        <f>-IF(C925=1,LN(W925),LN(1-W925))</f>
        <v/>
      </c>
      <c r="Y925" s="8">
        <f>1</f>
        <v/>
      </c>
      <c r="Z925" s="9">
        <f>Y925*X925</f>
        <v/>
      </c>
      <c r="AA925" s="10">
        <f>IF(W925&gt;$AE$32,1,0)</f>
        <v/>
      </c>
      <c r="AB925">
        <f>IF(AA925=C925,1,0)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$AE$12+D926*$AE$13+E926*$AE$14+F926*$AE$15+G926*$AE$16+H926*$AE$17+I926*$AE$18+J926*$AE$19+K926*$AE$20+L926*$AE$21+M926*$AE$22+N926*$AE$23+O926*$AE$24+P926*$AE$25+Q926*$AE$26+R926*$AE$27+S926*$AE$28+T926*$AE$29+U926*$AE$30</f>
        <v/>
      </c>
      <c r="W926" s="8">
        <f>1/(1+EXP(-V926))</f>
        <v/>
      </c>
      <c r="X926" s="9">
        <f>-IF(C926=1,LN(W926),LN(1-W926))</f>
        <v/>
      </c>
      <c r="Y926" s="8">
        <f>1</f>
        <v/>
      </c>
      <c r="Z926" s="9">
        <f>Y926*X926</f>
        <v/>
      </c>
      <c r="AA926" s="10">
        <f>IF(W926&gt;$AE$32,1,0)</f>
        <v/>
      </c>
      <c r="AB926">
        <f>IF(AA926=C926,1,0)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$AE$12+D927*$AE$13+E927*$AE$14+F927*$AE$15+G927*$AE$16+H927*$AE$17+I927*$AE$18+J927*$AE$19+K927*$AE$20+L927*$AE$21+M927*$AE$22+N927*$AE$23+O927*$AE$24+P927*$AE$25+Q927*$AE$26+R927*$AE$27+S927*$AE$28+T927*$AE$29+U927*$AE$30</f>
        <v/>
      </c>
      <c r="W927" s="8">
        <f>1/(1+EXP(-V927))</f>
        <v/>
      </c>
      <c r="X927" s="9">
        <f>-IF(C927=1,LN(W927),LN(1-W927))</f>
        <v/>
      </c>
      <c r="Y927" s="8">
        <f>1</f>
        <v/>
      </c>
      <c r="Z927" s="9">
        <f>Y927*X927</f>
        <v/>
      </c>
      <c r="AA927" s="10">
        <f>IF(W927&gt;$AE$32,1,0)</f>
        <v/>
      </c>
      <c r="AB927">
        <f>IF(AA927=C927,1,0)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$AE$12+D928*$AE$13+E928*$AE$14+F928*$AE$15+G928*$AE$16+H928*$AE$17+I928*$AE$18+J928*$AE$19+K928*$AE$20+L928*$AE$21+M928*$AE$22+N928*$AE$23+O928*$AE$24+P928*$AE$25+Q928*$AE$26+R928*$AE$27+S928*$AE$28+T928*$AE$29+U928*$AE$30</f>
        <v/>
      </c>
      <c r="W928" s="8">
        <f>1/(1+EXP(-V928))</f>
        <v/>
      </c>
      <c r="X928" s="9">
        <f>-IF(C928=1,LN(W928),LN(1-W928))</f>
        <v/>
      </c>
      <c r="Y928" s="8">
        <f>1</f>
        <v/>
      </c>
      <c r="Z928" s="9">
        <f>Y928*X928</f>
        <v/>
      </c>
      <c r="AA928" s="10">
        <f>IF(W928&gt;$AE$32,1,0)</f>
        <v/>
      </c>
      <c r="AB928">
        <f>IF(AA928=C928,1,0)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$AE$12+D929*$AE$13+E929*$AE$14+F929*$AE$15+G929*$AE$16+H929*$AE$17+I929*$AE$18+J929*$AE$19+K929*$AE$20+L929*$AE$21+M929*$AE$22+N929*$AE$23+O929*$AE$24+P929*$AE$25+Q929*$AE$26+R929*$AE$27+S929*$AE$28+T929*$AE$29+U929*$AE$30</f>
        <v/>
      </c>
      <c r="W929" s="8">
        <f>1/(1+EXP(-V929))</f>
        <v/>
      </c>
      <c r="X929" s="9">
        <f>-IF(C929=1,LN(W929),LN(1-W929))</f>
        <v/>
      </c>
      <c r="Y929" s="8">
        <f>1</f>
        <v/>
      </c>
      <c r="Z929" s="9">
        <f>Y929*X929</f>
        <v/>
      </c>
      <c r="AA929" s="10">
        <f>IF(W929&gt;$AE$32,1,0)</f>
        <v/>
      </c>
      <c r="AB929">
        <f>IF(AA929=C929,1,0)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$AE$12+D930*$AE$13+E930*$AE$14+F930*$AE$15+G930*$AE$16+H930*$AE$17+I930*$AE$18+J930*$AE$19+K930*$AE$20+L930*$AE$21+M930*$AE$22+N930*$AE$23+O930*$AE$24+P930*$AE$25+Q930*$AE$26+R930*$AE$27+S930*$AE$28+T930*$AE$29+U930*$AE$30</f>
        <v/>
      </c>
      <c r="W930" s="8">
        <f>1/(1+EXP(-V930))</f>
        <v/>
      </c>
      <c r="X930" s="9">
        <f>-IF(C930=1,LN(W930),LN(1-W930))</f>
        <v/>
      </c>
      <c r="Y930" s="8">
        <f>1</f>
        <v/>
      </c>
      <c r="Z930" s="9">
        <f>Y930*X930</f>
        <v/>
      </c>
      <c r="AA930" s="10">
        <f>IF(W930&gt;$AE$32,1,0)</f>
        <v/>
      </c>
      <c r="AB930">
        <f>IF(AA930=C930,1,0)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$AE$12+D931*$AE$13+E931*$AE$14+F931*$AE$15+G931*$AE$16+H931*$AE$17+I931*$AE$18+J931*$AE$19+K931*$AE$20+L931*$AE$21+M931*$AE$22+N931*$AE$23+O931*$AE$24+P931*$AE$25+Q931*$AE$26+R931*$AE$27+S931*$AE$28+T931*$AE$29+U931*$AE$30</f>
        <v/>
      </c>
      <c r="W931" s="8">
        <f>1/(1+EXP(-V931))</f>
        <v/>
      </c>
      <c r="X931" s="9">
        <f>-IF(C931=1,LN(W931),LN(1-W931))</f>
        <v/>
      </c>
      <c r="Y931" s="8">
        <f>1</f>
        <v/>
      </c>
      <c r="Z931" s="9">
        <f>Y931*X931</f>
        <v/>
      </c>
      <c r="AA931" s="10">
        <f>IF(W931&gt;$AE$32,1,0)</f>
        <v/>
      </c>
      <c r="AB931">
        <f>IF(AA931=C931,1,0)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$AE$12+D932*$AE$13+E932*$AE$14+F932*$AE$15+G932*$AE$16+H932*$AE$17+I932*$AE$18+J932*$AE$19+K932*$AE$20+L932*$AE$21+M932*$AE$22+N932*$AE$23+O932*$AE$24+P932*$AE$25+Q932*$AE$26+R932*$AE$27+S932*$AE$28+T932*$AE$29+U932*$AE$30</f>
        <v/>
      </c>
      <c r="W932" s="8">
        <f>1/(1+EXP(-V932))</f>
        <v/>
      </c>
      <c r="X932" s="9">
        <f>-IF(C932=1,LN(W932),LN(1-W932))</f>
        <v/>
      </c>
      <c r="Y932" s="8">
        <f>1</f>
        <v/>
      </c>
      <c r="Z932" s="9">
        <f>Y932*X932</f>
        <v/>
      </c>
      <c r="AA932" s="10">
        <f>IF(W932&gt;$AE$32,1,0)</f>
        <v/>
      </c>
      <c r="AB932">
        <f>IF(AA932=C932,1,0)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$AE$12+D933*$AE$13+E933*$AE$14+F933*$AE$15+G933*$AE$16+H933*$AE$17+I933*$AE$18+J933*$AE$19+K933*$AE$20+L933*$AE$21+M933*$AE$22+N933*$AE$23+O933*$AE$24+P933*$AE$25+Q933*$AE$26+R933*$AE$27+S933*$AE$28+T933*$AE$29+U933*$AE$30</f>
        <v/>
      </c>
      <c r="W933" s="8">
        <f>1/(1+EXP(-V933))</f>
        <v/>
      </c>
      <c r="X933" s="9">
        <f>-IF(C933=1,LN(W933),LN(1-W933))</f>
        <v/>
      </c>
      <c r="Y933" s="8">
        <f>1</f>
        <v/>
      </c>
      <c r="Z933" s="9">
        <f>Y933*X933</f>
        <v/>
      </c>
      <c r="AA933" s="10">
        <f>IF(W933&gt;$AE$32,1,0)</f>
        <v/>
      </c>
      <c r="AB933">
        <f>IF(AA933=C933,1,0)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$AE$12+D934*$AE$13+E934*$AE$14+F934*$AE$15+G934*$AE$16+H934*$AE$17+I934*$AE$18+J934*$AE$19+K934*$AE$20+L934*$AE$21+M934*$AE$22+N934*$AE$23+O934*$AE$24+P934*$AE$25+Q934*$AE$26+R934*$AE$27+S934*$AE$28+T934*$AE$29+U934*$AE$30</f>
        <v/>
      </c>
      <c r="W934" s="8">
        <f>1/(1+EXP(-V934))</f>
        <v/>
      </c>
      <c r="X934" s="9">
        <f>-IF(C934=1,LN(W934),LN(1-W934))</f>
        <v/>
      </c>
      <c r="Y934" s="8">
        <f>1</f>
        <v/>
      </c>
      <c r="Z934" s="9">
        <f>Y934*X934</f>
        <v/>
      </c>
      <c r="AA934" s="10">
        <f>IF(W934&gt;$AE$32,1,0)</f>
        <v/>
      </c>
      <c r="AB934">
        <f>IF(AA934=C934,1,0)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$AE$12+D935*$AE$13+E935*$AE$14+F935*$AE$15+G935*$AE$16+H935*$AE$17+I935*$AE$18+J935*$AE$19+K935*$AE$20+L935*$AE$21+M935*$AE$22+N935*$AE$23+O935*$AE$24+P935*$AE$25+Q935*$AE$26+R935*$AE$27+S935*$AE$28+T935*$AE$29+U935*$AE$30</f>
        <v/>
      </c>
      <c r="W935" s="8">
        <f>1/(1+EXP(-V935))</f>
        <v/>
      </c>
      <c r="X935" s="9">
        <f>-IF(C935=1,LN(W935),LN(1-W935))</f>
        <v/>
      </c>
      <c r="Y935" s="8">
        <f>1</f>
        <v/>
      </c>
      <c r="Z935" s="9">
        <f>Y935*X935</f>
        <v/>
      </c>
      <c r="AA935" s="10">
        <f>IF(W935&gt;$AE$32,1,0)</f>
        <v/>
      </c>
      <c r="AB935">
        <f>IF(AA935=C935,1,0)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$AE$12+D936*$AE$13+E936*$AE$14+F936*$AE$15+G936*$AE$16+H936*$AE$17+I936*$AE$18+J936*$AE$19+K936*$AE$20+L936*$AE$21+M936*$AE$22+N936*$AE$23+O936*$AE$24+P936*$AE$25+Q936*$AE$26+R936*$AE$27+S936*$AE$28+T936*$AE$29+U936*$AE$30</f>
        <v/>
      </c>
      <c r="W936" s="8">
        <f>1/(1+EXP(-V936))</f>
        <v/>
      </c>
      <c r="X936" s="9">
        <f>-IF(C936=1,LN(W936),LN(1-W936))</f>
        <v/>
      </c>
      <c r="Y936" s="8">
        <f>1</f>
        <v/>
      </c>
      <c r="Z936" s="9">
        <f>Y936*X936</f>
        <v/>
      </c>
      <c r="AA936" s="10">
        <f>IF(W936&gt;$AE$32,1,0)</f>
        <v/>
      </c>
      <c r="AB936">
        <f>IF(AA936=C936,1,0)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$AE$12+D937*$AE$13+E937*$AE$14+F937*$AE$15+G937*$AE$16+H937*$AE$17+I937*$AE$18+J937*$AE$19+K937*$AE$20+L937*$AE$21+M937*$AE$22+N937*$AE$23+O937*$AE$24+P937*$AE$25+Q937*$AE$26+R937*$AE$27+S937*$AE$28+T937*$AE$29+U937*$AE$30</f>
        <v/>
      </c>
      <c r="W937" s="8">
        <f>1/(1+EXP(-V937))</f>
        <v/>
      </c>
      <c r="X937" s="9">
        <f>-IF(C937=1,LN(W937),LN(1-W937))</f>
        <v/>
      </c>
      <c r="Y937" s="8">
        <f>1</f>
        <v/>
      </c>
      <c r="Z937" s="9">
        <f>Y937*X937</f>
        <v/>
      </c>
      <c r="AA937" s="10">
        <f>IF(W937&gt;$AE$32,1,0)</f>
        <v/>
      </c>
      <c r="AB937">
        <f>IF(AA937=C937,1,0)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$AE$12+D938*$AE$13+E938*$AE$14+F938*$AE$15+G938*$AE$16+H938*$AE$17+I938*$AE$18+J938*$AE$19+K938*$AE$20+L938*$AE$21+M938*$AE$22+N938*$AE$23+O938*$AE$24+P938*$AE$25+Q938*$AE$26+R938*$AE$27+S938*$AE$28+T938*$AE$29+U938*$AE$30</f>
        <v/>
      </c>
      <c r="W938" s="8">
        <f>1/(1+EXP(-V938))</f>
        <v/>
      </c>
      <c r="X938" s="9">
        <f>-IF(C938=1,LN(W938),LN(1-W938))</f>
        <v/>
      </c>
      <c r="Y938" s="8">
        <f>1</f>
        <v/>
      </c>
      <c r="Z938" s="9">
        <f>Y938*X938</f>
        <v/>
      </c>
      <c r="AA938" s="10">
        <f>IF(W938&gt;$AE$32,1,0)</f>
        <v/>
      </c>
      <c r="AB938">
        <f>IF(AA938=C938,1,0)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$AE$12+D939*$AE$13+E939*$AE$14+F939*$AE$15+G939*$AE$16+H939*$AE$17+I939*$AE$18+J939*$AE$19+K939*$AE$20+L939*$AE$21+M939*$AE$22+N939*$AE$23+O939*$AE$24+P939*$AE$25+Q939*$AE$26+R939*$AE$27+S939*$AE$28+T939*$AE$29+U939*$AE$30</f>
        <v/>
      </c>
      <c r="W939" s="8">
        <f>1/(1+EXP(-V939))</f>
        <v/>
      </c>
      <c r="X939" s="9">
        <f>-IF(C939=1,LN(W939),LN(1-W939))</f>
        <v/>
      </c>
      <c r="Y939" s="8">
        <f>1</f>
        <v/>
      </c>
      <c r="Z939" s="9">
        <f>Y939*X939</f>
        <v/>
      </c>
      <c r="AA939" s="10">
        <f>IF(W939&gt;$AE$32,1,0)</f>
        <v/>
      </c>
      <c r="AB939">
        <f>IF(AA939=C939,1,0)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$AE$12+D940*$AE$13+E940*$AE$14+F940*$AE$15+G940*$AE$16+H940*$AE$17+I940*$AE$18+J940*$AE$19+K940*$AE$20+L940*$AE$21+M940*$AE$22+N940*$AE$23+O940*$AE$24+P940*$AE$25+Q940*$AE$26+R940*$AE$27+S940*$AE$28+T940*$AE$29+U940*$AE$30</f>
        <v/>
      </c>
      <c r="W940" s="8">
        <f>1/(1+EXP(-V940))</f>
        <v/>
      </c>
      <c r="X940" s="9">
        <f>-IF(C940=1,LN(W940),LN(1-W940))</f>
        <v/>
      </c>
      <c r="Y940" s="8">
        <f>1</f>
        <v/>
      </c>
      <c r="Z940" s="9">
        <f>Y940*X940</f>
        <v/>
      </c>
      <c r="AA940" s="10">
        <f>IF(W940&gt;$AE$32,1,0)</f>
        <v/>
      </c>
      <c r="AB940">
        <f>IF(AA940=C940,1,0)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$AE$12+D941*$AE$13+E941*$AE$14+F941*$AE$15+G941*$AE$16+H941*$AE$17+I941*$AE$18+J941*$AE$19+K941*$AE$20+L941*$AE$21+M941*$AE$22+N941*$AE$23+O941*$AE$24+P941*$AE$25+Q941*$AE$26+R941*$AE$27+S941*$AE$28+T941*$AE$29+U941*$AE$30</f>
        <v/>
      </c>
      <c r="W941" s="8">
        <f>1/(1+EXP(-V941))</f>
        <v/>
      </c>
      <c r="X941" s="9">
        <f>-IF(C941=1,LN(W941),LN(1-W941))</f>
        <v/>
      </c>
      <c r="Y941" s="8">
        <f>1</f>
        <v/>
      </c>
      <c r="Z941" s="9">
        <f>Y941*X941</f>
        <v/>
      </c>
      <c r="AA941" s="10">
        <f>IF(W941&gt;$AE$32,1,0)</f>
        <v/>
      </c>
      <c r="AB941">
        <f>IF(AA941=C941,1,0)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$AE$12+D942*$AE$13+E942*$AE$14+F942*$AE$15+G942*$AE$16+H942*$AE$17+I942*$AE$18+J942*$AE$19+K942*$AE$20+L942*$AE$21+M942*$AE$22+N942*$AE$23+O942*$AE$24+P942*$AE$25+Q942*$AE$26+R942*$AE$27+S942*$AE$28+T942*$AE$29+U942*$AE$30</f>
        <v/>
      </c>
      <c r="W942" s="8">
        <f>1/(1+EXP(-V942))</f>
        <v/>
      </c>
      <c r="X942" s="9">
        <f>-IF(C942=1,LN(W942),LN(1-W942))</f>
        <v/>
      </c>
      <c r="Y942" s="8">
        <f>1</f>
        <v/>
      </c>
      <c r="Z942" s="9">
        <f>Y942*X942</f>
        <v/>
      </c>
      <c r="AA942" s="10">
        <f>IF(W942&gt;$AE$32,1,0)</f>
        <v/>
      </c>
      <c r="AB942">
        <f>IF(AA942=C942,1,0)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$AE$12+D943*$AE$13+E943*$AE$14+F943*$AE$15+G943*$AE$16+H943*$AE$17+I943*$AE$18+J943*$AE$19+K943*$AE$20+L943*$AE$21+M943*$AE$22+N943*$AE$23+O943*$AE$24+P943*$AE$25+Q943*$AE$26+R943*$AE$27+S943*$AE$28+T943*$AE$29+U943*$AE$30</f>
        <v/>
      </c>
      <c r="W943" s="8">
        <f>1/(1+EXP(-V943))</f>
        <v/>
      </c>
      <c r="X943" s="9">
        <f>-IF(C943=1,LN(W943),LN(1-W943))</f>
        <v/>
      </c>
      <c r="Y943" s="8">
        <f>1</f>
        <v/>
      </c>
      <c r="Z943" s="9">
        <f>Y943*X943</f>
        <v/>
      </c>
      <c r="AA943" s="10">
        <f>IF(W943&gt;$AE$32,1,0)</f>
        <v/>
      </c>
      <c r="AB943">
        <f>IF(AA943=C943,1,0)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$AE$12+D944*$AE$13+E944*$AE$14+F944*$AE$15+G944*$AE$16+H944*$AE$17+I944*$AE$18+J944*$AE$19+K944*$AE$20+L944*$AE$21+M944*$AE$22+N944*$AE$23+O944*$AE$24+P944*$AE$25+Q944*$AE$26+R944*$AE$27+S944*$AE$28+T944*$AE$29+U944*$AE$30</f>
        <v/>
      </c>
      <c r="W944" s="8">
        <f>1/(1+EXP(-V944))</f>
        <v/>
      </c>
      <c r="X944" s="9">
        <f>-IF(C944=1,LN(W944),LN(1-W944))</f>
        <v/>
      </c>
      <c r="Y944" s="8">
        <f>1</f>
        <v/>
      </c>
      <c r="Z944" s="9">
        <f>Y944*X944</f>
        <v/>
      </c>
      <c r="AA944" s="10">
        <f>IF(W944&gt;$AE$32,1,0)</f>
        <v/>
      </c>
      <c r="AB944">
        <f>IF(AA944=C944,1,0)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$AE$12+D945*$AE$13+E945*$AE$14+F945*$AE$15+G945*$AE$16+H945*$AE$17+I945*$AE$18+J945*$AE$19+K945*$AE$20+L945*$AE$21+M945*$AE$22+N945*$AE$23+O945*$AE$24+P945*$AE$25+Q945*$AE$26+R945*$AE$27+S945*$AE$28+T945*$AE$29+U945*$AE$30</f>
        <v/>
      </c>
      <c r="W945" s="8">
        <f>1/(1+EXP(-V945))</f>
        <v/>
      </c>
      <c r="X945" s="9">
        <f>-IF(C945=1,LN(W945),LN(1-W945))</f>
        <v/>
      </c>
      <c r="Y945" s="8">
        <f>1</f>
        <v/>
      </c>
      <c r="Z945" s="9">
        <f>Y945*X945</f>
        <v/>
      </c>
      <c r="AA945" s="10">
        <f>IF(W945&gt;$AE$32,1,0)</f>
        <v/>
      </c>
      <c r="AB945">
        <f>IF(AA945=C945,1,0)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$AE$12+D946*$AE$13+E946*$AE$14+F946*$AE$15+G946*$AE$16+H946*$AE$17+I946*$AE$18+J946*$AE$19+K946*$AE$20+L946*$AE$21+M946*$AE$22+N946*$AE$23+O946*$AE$24+P946*$AE$25+Q946*$AE$26+R946*$AE$27+S946*$AE$28+T946*$AE$29+U946*$AE$30</f>
        <v/>
      </c>
      <c r="W946" s="8">
        <f>1/(1+EXP(-V946))</f>
        <v/>
      </c>
      <c r="X946" s="9">
        <f>-IF(C946=1,LN(W946),LN(1-W946))</f>
        <v/>
      </c>
      <c r="Y946" s="8">
        <f>1</f>
        <v/>
      </c>
      <c r="Z946" s="9">
        <f>Y946*X946</f>
        <v/>
      </c>
      <c r="AA946" s="10">
        <f>IF(W946&gt;$AE$32,1,0)</f>
        <v/>
      </c>
      <c r="AB946">
        <f>IF(AA946=C946,1,0)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$AE$12+D947*$AE$13+E947*$AE$14+F947*$AE$15+G947*$AE$16+H947*$AE$17+I947*$AE$18+J947*$AE$19+K947*$AE$20+L947*$AE$21+M947*$AE$22+N947*$AE$23+O947*$AE$24+P947*$AE$25+Q947*$AE$26+R947*$AE$27+S947*$AE$28+T947*$AE$29+U947*$AE$30</f>
        <v/>
      </c>
      <c r="W947" s="8">
        <f>1/(1+EXP(-V947))</f>
        <v/>
      </c>
      <c r="X947" s="9">
        <f>-IF(C947=1,LN(W947),LN(1-W947))</f>
        <v/>
      </c>
      <c r="Y947" s="8">
        <f>1</f>
        <v/>
      </c>
      <c r="Z947" s="9">
        <f>Y947*X947</f>
        <v/>
      </c>
      <c r="AA947" s="10">
        <f>IF(W947&gt;$AE$32,1,0)</f>
        <v/>
      </c>
      <c r="AB947">
        <f>IF(AA947=C947,1,0)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$AE$12+D948*$AE$13+E948*$AE$14+F948*$AE$15+G948*$AE$16+H948*$AE$17+I948*$AE$18+J948*$AE$19+K948*$AE$20+L948*$AE$21+M948*$AE$22+N948*$AE$23+O948*$AE$24+P948*$AE$25+Q948*$AE$26+R948*$AE$27+S948*$AE$28+T948*$AE$29+U948*$AE$30</f>
        <v/>
      </c>
      <c r="W948" s="8">
        <f>1/(1+EXP(-V948))</f>
        <v/>
      </c>
      <c r="X948" s="9">
        <f>-IF(C948=1,LN(W948),LN(1-W948))</f>
        <v/>
      </c>
      <c r="Y948" s="8">
        <f>1</f>
        <v/>
      </c>
      <c r="Z948" s="9">
        <f>Y948*X948</f>
        <v/>
      </c>
      <c r="AA948" s="10">
        <f>IF(W948&gt;$AE$32,1,0)</f>
        <v/>
      </c>
      <c r="AB948">
        <f>IF(AA948=C948,1,0)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$AE$12+D949*$AE$13+E949*$AE$14+F949*$AE$15+G949*$AE$16+H949*$AE$17+I949*$AE$18+J949*$AE$19+K949*$AE$20+L949*$AE$21+M949*$AE$22+N949*$AE$23+O949*$AE$24+P949*$AE$25+Q949*$AE$26+R949*$AE$27+S949*$AE$28+T949*$AE$29+U949*$AE$30</f>
        <v/>
      </c>
      <c r="W949" s="8">
        <f>1/(1+EXP(-V949))</f>
        <v/>
      </c>
      <c r="X949" s="9">
        <f>-IF(C949=1,LN(W949),LN(1-W949))</f>
        <v/>
      </c>
      <c r="Y949" s="8">
        <f>1</f>
        <v/>
      </c>
      <c r="Z949" s="9">
        <f>Y949*X949</f>
        <v/>
      </c>
      <c r="AA949" s="10">
        <f>IF(W949&gt;$AE$32,1,0)</f>
        <v/>
      </c>
      <c r="AB949">
        <f>IF(AA949=C949,1,0)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$AE$12+D950*$AE$13+E950*$AE$14+F950*$AE$15+G950*$AE$16+H950*$AE$17+I950*$AE$18+J950*$AE$19+K950*$AE$20+L950*$AE$21+M950*$AE$22+N950*$AE$23+O950*$AE$24+P950*$AE$25+Q950*$AE$26+R950*$AE$27+S950*$AE$28+T950*$AE$29+U950*$AE$30</f>
        <v/>
      </c>
      <c r="W950" s="8">
        <f>1/(1+EXP(-V950))</f>
        <v/>
      </c>
      <c r="X950" s="9">
        <f>-IF(C950=1,LN(W950),LN(1-W950))</f>
        <v/>
      </c>
      <c r="Y950" s="8">
        <f>1</f>
        <v/>
      </c>
      <c r="Z950" s="9">
        <f>Y950*X950</f>
        <v/>
      </c>
      <c r="AA950" s="10">
        <f>IF(W950&gt;$AE$32,1,0)</f>
        <v/>
      </c>
      <c r="AB950">
        <f>IF(AA950=C950,1,0)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$AE$12+D951*$AE$13+E951*$AE$14+F951*$AE$15+G951*$AE$16+H951*$AE$17+I951*$AE$18+J951*$AE$19+K951*$AE$20+L951*$AE$21+M951*$AE$22+N951*$AE$23+O951*$AE$24+P951*$AE$25+Q951*$AE$26+R951*$AE$27+S951*$AE$28+T951*$AE$29+U951*$AE$30</f>
        <v/>
      </c>
      <c r="W951" s="8">
        <f>1/(1+EXP(-V951))</f>
        <v/>
      </c>
      <c r="X951" s="9">
        <f>-IF(C951=1,LN(W951),LN(1-W951))</f>
        <v/>
      </c>
      <c r="Y951" s="8">
        <f>1</f>
        <v/>
      </c>
      <c r="Z951" s="9">
        <f>Y951*X951</f>
        <v/>
      </c>
      <c r="AA951" s="10">
        <f>IF(W951&gt;$AE$32,1,0)</f>
        <v/>
      </c>
      <c r="AB951">
        <f>IF(AA951=C951,1,0)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$AE$12+D952*$AE$13+E952*$AE$14+F952*$AE$15+G952*$AE$16+H952*$AE$17+I952*$AE$18+J952*$AE$19+K952*$AE$20+L952*$AE$21+M952*$AE$22+N952*$AE$23+O952*$AE$24+P952*$AE$25+Q952*$AE$26+R952*$AE$27+S952*$AE$28+T952*$AE$29+U952*$AE$30</f>
        <v/>
      </c>
      <c r="W952" s="8">
        <f>1/(1+EXP(-V952))</f>
        <v/>
      </c>
      <c r="X952" s="9">
        <f>-IF(C952=1,LN(W952),LN(1-W952))</f>
        <v/>
      </c>
      <c r="Y952" s="8">
        <f>1</f>
        <v/>
      </c>
      <c r="Z952" s="9">
        <f>Y952*X952</f>
        <v/>
      </c>
      <c r="AA952" s="10">
        <f>IF(W952&gt;$AE$32,1,0)</f>
        <v/>
      </c>
      <c r="AB952">
        <f>IF(AA952=C952,1,0)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$AE$12+D953*$AE$13+E953*$AE$14+F953*$AE$15+G953*$AE$16+H953*$AE$17+I953*$AE$18+J953*$AE$19+K953*$AE$20+L953*$AE$21+M953*$AE$22+N953*$AE$23+O953*$AE$24+P953*$AE$25+Q953*$AE$26+R953*$AE$27+S953*$AE$28+T953*$AE$29+U953*$AE$30</f>
        <v/>
      </c>
      <c r="W953" s="8">
        <f>1/(1+EXP(-V953))</f>
        <v/>
      </c>
      <c r="X953" s="9">
        <f>-IF(C953=1,LN(W953),LN(1-W953))</f>
        <v/>
      </c>
      <c r="Y953" s="8">
        <f>1</f>
        <v/>
      </c>
      <c r="Z953" s="9">
        <f>Y953*X953</f>
        <v/>
      </c>
      <c r="AA953" s="10">
        <f>IF(W953&gt;$AE$32,1,0)</f>
        <v/>
      </c>
      <c r="AB953">
        <f>IF(AA953=C953,1,0)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$AE$12+D954*$AE$13+E954*$AE$14+F954*$AE$15+G954*$AE$16+H954*$AE$17+I954*$AE$18+J954*$AE$19+K954*$AE$20+L954*$AE$21+M954*$AE$22+N954*$AE$23+O954*$AE$24+P954*$AE$25+Q954*$AE$26+R954*$AE$27+S954*$AE$28+T954*$AE$29+U954*$AE$30</f>
        <v/>
      </c>
      <c r="W954" s="8">
        <f>1/(1+EXP(-V954))</f>
        <v/>
      </c>
      <c r="X954" s="9">
        <f>-IF(C954=1,LN(W954),LN(1-W954))</f>
        <v/>
      </c>
      <c r="Y954" s="8">
        <f>1</f>
        <v/>
      </c>
      <c r="Z954" s="9">
        <f>Y954*X954</f>
        <v/>
      </c>
      <c r="AA954" s="10">
        <f>IF(W954&gt;$AE$32,1,0)</f>
        <v/>
      </c>
      <c r="AB954">
        <f>IF(AA954=C954,1,0)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$AE$12+D955*$AE$13+E955*$AE$14+F955*$AE$15+G955*$AE$16+H955*$AE$17+I955*$AE$18+J955*$AE$19+K955*$AE$20+L955*$AE$21+M955*$AE$22+N955*$AE$23+O955*$AE$24+P955*$AE$25+Q955*$AE$26+R955*$AE$27+S955*$AE$28+T955*$AE$29+U955*$AE$30</f>
        <v/>
      </c>
      <c r="W955" s="8">
        <f>1/(1+EXP(-V955))</f>
        <v/>
      </c>
      <c r="X955" s="9">
        <f>-IF(C955=1,LN(W955),LN(1-W955))</f>
        <v/>
      </c>
      <c r="Y955" s="8">
        <f>1</f>
        <v/>
      </c>
      <c r="Z955" s="9">
        <f>Y955*X955</f>
        <v/>
      </c>
      <c r="AA955" s="10">
        <f>IF(W955&gt;$AE$32,1,0)</f>
        <v/>
      </c>
      <c r="AB955">
        <f>IF(AA955=C955,1,0)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$AE$12+D956*$AE$13+E956*$AE$14+F956*$AE$15+G956*$AE$16+H956*$AE$17+I956*$AE$18+J956*$AE$19+K956*$AE$20+L956*$AE$21+M956*$AE$22+N956*$AE$23+O956*$AE$24+P956*$AE$25+Q956*$AE$26+R956*$AE$27+S956*$AE$28+T956*$AE$29+U956*$AE$30</f>
        <v/>
      </c>
      <c r="W956" s="8">
        <f>1/(1+EXP(-V956))</f>
        <v/>
      </c>
      <c r="X956" s="9">
        <f>-IF(C956=1,LN(W956),LN(1-W956))</f>
        <v/>
      </c>
      <c r="Y956" s="8">
        <f>1</f>
        <v/>
      </c>
      <c r="Z956" s="9">
        <f>Y956*X956</f>
        <v/>
      </c>
      <c r="AA956" s="10">
        <f>IF(W956&gt;$AE$32,1,0)</f>
        <v/>
      </c>
      <c r="AB956">
        <f>IF(AA956=C956,1,0)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$AE$12+D957*$AE$13+E957*$AE$14+F957*$AE$15+G957*$AE$16+H957*$AE$17+I957*$AE$18+J957*$AE$19+K957*$AE$20+L957*$AE$21+M957*$AE$22+N957*$AE$23+O957*$AE$24+P957*$AE$25+Q957*$AE$26+R957*$AE$27+S957*$AE$28+T957*$AE$29+U957*$AE$30</f>
        <v/>
      </c>
      <c r="W957" s="8">
        <f>1/(1+EXP(-V957))</f>
        <v/>
      </c>
      <c r="X957" s="9">
        <f>-IF(C957=1,LN(W957),LN(1-W957))</f>
        <v/>
      </c>
      <c r="Y957" s="8">
        <f>1</f>
        <v/>
      </c>
      <c r="Z957" s="9">
        <f>Y957*X957</f>
        <v/>
      </c>
      <c r="AA957" s="10">
        <f>IF(W957&gt;$AE$32,1,0)</f>
        <v/>
      </c>
      <c r="AB957">
        <f>IF(AA957=C957,1,0)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$AE$12+D958*$AE$13+E958*$AE$14+F958*$AE$15+G958*$AE$16+H958*$AE$17+I958*$AE$18+J958*$AE$19+K958*$AE$20+L958*$AE$21+M958*$AE$22+N958*$AE$23+O958*$AE$24+P958*$AE$25+Q958*$AE$26+R958*$AE$27+S958*$AE$28+T958*$AE$29+U958*$AE$30</f>
        <v/>
      </c>
      <c r="W958" s="8">
        <f>1/(1+EXP(-V958))</f>
        <v/>
      </c>
      <c r="X958" s="9">
        <f>-IF(C958=1,LN(W958),LN(1-W958))</f>
        <v/>
      </c>
      <c r="Y958" s="8">
        <f>1</f>
        <v/>
      </c>
      <c r="Z958" s="9">
        <f>Y958*X958</f>
        <v/>
      </c>
      <c r="AA958" s="10">
        <f>IF(W958&gt;$AE$32,1,0)</f>
        <v/>
      </c>
      <c r="AB958">
        <f>IF(AA958=C958,1,0)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$AE$12+D959*$AE$13+E959*$AE$14+F959*$AE$15+G959*$AE$16+H959*$AE$17+I959*$AE$18+J959*$AE$19+K959*$AE$20+L959*$AE$21+M959*$AE$22+N959*$AE$23+O959*$AE$24+P959*$AE$25+Q959*$AE$26+R959*$AE$27+S959*$AE$28+T959*$AE$29+U959*$AE$30</f>
        <v/>
      </c>
      <c r="W959" s="8">
        <f>1/(1+EXP(-V959))</f>
        <v/>
      </c>
      <c r="X959" s="9">
        <f>-IF(C959=1,LN(W959),LN(1-W959))</f>
        <v/>
      </c>
      <c r="Y959" s="8">
        <f>1</f>
        <v/>
      </c>
      <c r="Z959" s="9">
        <f>Y959*X959</f>
        <v/>
      </c>
      <c r="AA959" s="10">
        <f>IF(W959&gt;$AE$32,1,0)</f>
        <v/>
      </c>
      <c r="AB959">
        <f>IF(AA959=C959,1,0)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$AE$12+D960*$AE$13+E960*$AE$14+F960*$AE$15+G960*$AE$16+H960*$AE$17+I960*$AE$18+J960*$AE$19+K960*$AE$20+L960*$AE$21+M960*$AE$22+N960*$AE$23+O960*$AE$24+P960*$AE$25+Q960*$AE$26+R960*$AE$27+S960*$AE$28+T960*$AE$29+U960*$AE$30</f>
        <v/>
      </c>
      <c r="W960" s="8">
        <f>1/(1+EXP(-V960))</f>
        <v/>
      </c>
      <c r="X960" s="9">
        <f>-IF(C960=1,LN(W960),LN(1-W960))</f>
        <v/>
      </c>
      <c r="Y960" s="8">
        <f>1</f>
        <v/>
      </c>
      <c r="Z960" s="9">
        <f>Y960*X960</f>
        <v/>
      </c>
      <c r="AA960" s="10">
        <f>IF(W960&gt;$AE$32,1,0)</f>
        <v/>
      </c>
      <c r="AB960">
        <f>IF(AA960=C960,1,0)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$AE$12+D961*$AE$13+E961*$AE$14+F961*$AE$15+G961*$AE$16+H961*$AE$17+I961*$AE$18+J961*$AE$19+K961*$AE$20+L961*$AE$21+M961*$AE$22+N961*$AE$23+O961*$AE$24+P961*$AE$25+Q961*$AE$26+R961*$AE$27+S961*$AE$28+T961*$AE$29+U961*$AE$30</f>
        <v/>
      </c>
      <c r="W961" s="8">
        <f>1/(1+EXP(-V961))</f>
        <v/>
      </c>
      <c r="X961" s="9">
        <f>-IF(C961=1,LN(W961),LN(1-W961))</f>
        <v/>
      </c>
      <c r="Y961" s="8">
        <f>1</f>
        <v/>
      </c>
      <c r="Z961" s="9">
        <f>Y961*X961</f>
        <v/>
      </c>
      <c r="AA961" s="10">
        <f>IF(W961&gt;$AE$32,1,0)</f>
        <v/>
      </c>
      <c r="AB961">
        <f>IF(AA961=C961,1,0)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$AE$12+D962*$AE$13+E962*$AE$14+F962*$AE$15+G962*$AE$16+H962*$AE$17+I962*$AE$18+J962*$AE$19+K962*$AE$20+L962*$AE$21+M962*$AE$22+N962*$AE$23+O962*$AE$24+P962*$AE$25+Q962*$AE$26+R962*$AE$27+S962*$AE$28+T962*$AE$29+U962*$AE$30</f>
        <v/>
      </c>
      <c r="W962" s="8">
        <f>1/(1+EXP(-V962))</f>
        <v/>
      </c>
      <c r="X962" s="9">
        <f>-IF(C962=1,LN(W962),LN(1-W962))</f>
        <v/>
      </c>
      <c r="Y962" s="8">
        <f>1</f>
        <v/>
      </c>
      <c r="Z962" s="9">
        <f>Y962*X962</f>
        <v/>
      </c>
      <c r="AA962" s="10">
        <f>IF(W962&gt;$AE$32,1,0)</f>
        <v/>
      </c>
      <c r="AB962">
        <f>IF(AA962=C962,1,0)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$AE$12+D963*$AE$13+E963*$AE$14+F963*$AE$15+G963*$AE$16+H963*$AE$17+I963*$AE$18+J963*$AE$19+K963*$AE$20+L963*$AE$21+M963*$AE$22+N963*$AE$23+O963*$AE$24+P963*$AE$25+Q963*$AE$26+R963*$AE$27+S963*$AE$28+T963*$AE$29+U963*$AE$30</f>
        <v/>
      </c>
      <c r="W963" s="8">
        <f>1/(1+EXP(-V963))</f>
        <v/>
      </c>
      <c r="X963" s="9">
        <f>-IF(C963=1,LN(W963),LN(1-W963))</f>
        <v/>
      </c>
      <c r="Y963" s="8">
        <f>1</f>
        <v/>
      </c>
      <c r="Z963" s="9">
        <f>Y963*X963</f>
        <v/>
      </c>
      <c r="AA963" s="10">
        <f>IF(W963&gt;$AE$32,1,0)</f>
        <v/>
      </c>
      <c r="AB963">
        <f>IF(AA963=C963,1,0)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$AE$12+D964*$AE$13+E964*$AE$14+F964*$AE$15+G964*$AE$16+H964*$AE$17+I964*$AE$18+J964*$AE$19+K964*$AE$20+L964*$AE$21+M964*$AE$22+N964*$AE$23+O964*$AE$24+P964*$AE$25+Q964*$AE$26+R964*$AE$27+S964*$AE$28+T964*$AE$29+U964*$AE$30</f>
        <v/>
      </c>
      <c r="W964" s="8">
        <f>1/(1+EXP(-V964))</f>
        <v/>
      </c>
      <c r="X964" s="9">
        <f>-IF(C964=1,LN(W964),LN(1-W964))</f>
        <v/>
      </c>
      <c r="Y964" s="8">
        <f>1</f>
        <v/>
      </c>
      <c r="Z964" s="9">
        <f>Y964*X964</f>
        <v/>
      </c>
      <c r="AA964" s="10">
        <f>IF(W964&gt;$AE$32,1,0)</f>
        <v/>
      </c>
      <c r="AB964">
        <f>IF(AA964=C964,1,0)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$AE$12+D965*$AE$13+E965*$AE$14+F965*$AE$15+G965*$AE$16+H965*$AE$17+I965*$AE$18+J965*$AE$19+K965*$AE$20+L965*$AE$21+M965*$AE$22+N965*$AE$23+O965*$AE$24+P965*$AE$25+Q965*$AE$26+R965*$AE$27+S965*$AE$28+T965*$AE$29+U965*$AE$30</f>
        <v/>
      </c>
      <c r="W965" s="8">
        <f>1/(1+EXP(-V965))</f>
        <v/>
      </c>
      <c r="X965" s="9">
        <f>-IF(C965=1,LN(W965),LN(1-W965))</f>
        <v/>
      </c>
      <c r="Y965" s="8">
        <f>1</f>
        <v/>
      </c>
      <c r="Z965" s="9">
        <f>Y965*X965</f>
        <v/>
      </c>
      <c r="AA965" s="10">
        <f>IF(W965&gt;$AE$32,1,0)</f>
        <v/>
      </c>
      <c r="AB965">
        <f>IF(AA965=C965,1,0)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$AE$12+D966*$AE$13+E966*$AE$14+F966*$AE$15+G966*$AE$16+H966*$AE$17+I966*$AE$18+J966*$AE$19+K966*$AE$20+L966*$AE$21+M966*$AE$22+N966*$AE$23+O966*$AE$24+P966*$AE$25+Q966*$AE$26+R966*$AE$27+S966*$AE$28+T966*$AE$29+U966*$AE$30</f>
        <v/>
      </c>
      <c r="W966" s="8">
        <f>1/(1+EXP(-V966))</f>
        <v/>
      </c>
      <c r="X966" s="9">
        <f>-IF(C966=1,LN(W966),LN(1-W966))</f>
        <v/>
      </c>
      <c r="Y966" s="8">
        <f>1</f>
        <v/>
      </c>
      <c r="Z966" s="9">
        <f>Y966*X966</f>
        <v/>
      </c>
      <c r="AA966" s="10">
        <f>IF(W966&gt;$AE$32,1,0)</f>
        <v/>
      </c>
      <c r="AB966">
        <f>IF(AA966=C966,1,0)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$AE$12+D967*$AE$13+E967*$AE$14+F967*$AE$15+G967*$AE$16+H967*$AE$17+I967*$AE$18+J967*$AE$19+K967*$AE$20+L967*$AE$21+M967*$AE$22+N967*$AE$23+O967*$AE$24+P967*$AE$25+Q967*$AE$26+R967*$AE$27+S967*$AE$28+T967*$AE$29+U967*$AE$30</f>
        <v/>
      </c>
      <c r="W967" s="8">
        <f>1/(1+EXP(-V967))</f>
        <v/>
      </c>
      <c r="X967" s="9">
        <f>-IF(C967=1,LN(W967),LN(1-W967))</f>
        <v/>
      </c>
      <c r="Y967" s="8">
        <f>1</f>
        <v/>
      </c>
      <c r="Z967" s="9">
        <f>Y967*X967</f>
        <v/>
      </c>
      <c r="AA967" s="10">
        <f>IF(W967&gt;$AE$32,1,0)</f>
        <v/>
      </c>
      <c r="AB967">
        <f>IF(AA967=C967,1,0)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$AE$12+D968*$AE$13+E968*$AE$14+F968*$AE$15+G968*$AE$16+H968*$AE$17+I968*$AE$18+J968*$AE$19+K968*$AE$20+L968*$AE$21+M968*$AE$22+N968*$AE$23+O968*$AE$24+P968*$AE$25+Q968*$AE$26+R968*$AE$27+S968*$AE$28+T968*$AE$29+U968*$AE$30</f>
        <v/>
      </c>
      <c r="W968" s="8">
        <f>1/(1+EXP(-V968))</f>
        <v/>
      </c>
      <c r="X968" s="9">
        <f>-IF(C968=1,LN(W968),LN(1-W968))</f>
        <v/>
      </c>
      <c r="Y968" s="8">
        <f>1</f>
        <v/>
      </c>
      <c r="Z968" s="9">
        <f>Y968*X968</f>
        <v/>
      </c>
      <c r="AA968" s="10">
        <f>IF(W968&gt;$AE$32,1,0)</f>
        <v/>
      </c>
      <c r="AB968">
        <f>IF(AA968=C968,1,0)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$AE$12+D969*$AE$13+E969*$AE$14+F969*$AE$15+G969*$AE$16+H969*$AE$17+I969*$AE$18+J969*$AE$19+K969*$AE$20+L969*$AE$21+M969*$AE$22+N969*$AE$23+O969*$AE$24+P969*$AE$25+Q969*$AE$26+R969*$AE$27+S969*$AE$28+T969*$AE$29+U969*$AE$30</f>
        <v/>
      </c>
      <c r="W969" s="8">
        <f>1/(1+EXP(-V969))</f>
        <v/>
      </c>
      <c r="X969" s="9">
        <f>-IF(C969=1,LN(W969),LN(1-W969))</f>
        <v/>
      </c>
      <c r="Y969" s="8">
        <f>1</f>
        <v/>
      </c>
      <c r="Z969" s="9">
        <f>Y969*X969</f>
        <v/>
      </c>
      <c r="AA969" s="10">
        <f>IF(W969&gt;$AE$32,1,0)</f>
        <v/>
      </c>
      <c r="AB969">
        <f>IF(AA969=C969,1,0)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$AE$12+D970*$AE$13+E970*$AE$14+F970*$AE$15+G970*$AE$16+H970*$AE$17+I970*$AE$18+J970*$AE$19+K970*$AE$20+L970*$AE$21+M970*$AE$22+N970*$AE$23+O970*$AE$24+P970*$AE$25+Q970*$AE$26+R970*$AE$27+S970*$AE$28+T970*$AE$29+U970*$AE$30</f>
        <v/>
      </c>
      <c r="W970" s="8">
        <f>1/(1+EXP(-V970))</f>
        <v/>
      </c>
      <c r="X970" s="9">
        <f>-IF(C970=1,LN(W970),LN(1-W970))</f>
        <v/>
      </c>
      <c r="Y970" s="8">
        <f>1</f>
        <v/>
      </c>
      <c r="Z970" s="9">
        <f>Y970*X970</f>
        <v/>
      </c>
      <c r="AA970" s="10">
        <f>IF(W970&gt;$AE$32,1,0)</f>
        <v/>
      </c>
      <c r="AB970">
        <f>IF(AA970=C970,1,0)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$AE$12+D971*$AE$13+E971*$AE$14+F971*$AE$15+G971*$AE$16+H971*$AE$17+I971*$AE$18+J971*$AE$19+K971*$AE$20+L971*$AE$21+M971*$AE$22+N971*$AE$23+O971*$AE$24+P971*$AE$25+Q971*$AE$26+R971*$AE$27+S971*$AE$28+T971*$AE$29+U971*$AE$30</f>
        <v/>
      </c>
      <c r="W971" s="8">
        <f>1/(1+EXP(-V971))</f>
        <v/>
      </c>
      <c r="X971" s="9">
        <f>-IF(C971=1,LN(W971),LN(1-W971))</f>
        <v/>
      </c>
      <c r="Y971" s="8">
        <f>1</f>
        <v/>
      </c>
      <c r="Z971" s="9">
        <f>Y971*X971</f>
        <v/>
      </c>
      <c r="AA971" s="10">
        <f>IF(W971&gt;$AE$32,1,0)</f>
        <v/>
      </c>
      <c r="AB971">
        <f>IF(AA971=C971,1,0)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$AE$12+D972*$AE$13+E972*$AE$14+F972*$AE$15+G972*$AE$16+H972*$AE$17+I972*$AE$18+J972*$AE$19+K972*$AE$20+L972*$AE$21+M972*$AE$22+N972*$AE$23+O972*$AE$24+P972*$AE$25+Q972*$AE$26+R972*$AE$27+S972*$AE$28+T972*$AE$29+U972*$AE$30</f>
        <v/>
      </c>
      <c r="W972" s="8">
        <f>1/(1+EXP(-V972))</f>
        <v/>
      </c>
      <c r="X972" s="9">
        <f>-IF(C972=1,LN(W972),LN(1-W972))</f>
        <v/>
      </c>
      <c r="Y972" s="8">
        <f>1</f>
        <v/>
      </c>
      <c r="Z972" s="9">
        <f>Y972*X972</f>
        <v/>
      </c>
      <c r="AA972" s="10">
        <f>IF(W972&gt;$AE$32,1,0)</f>
        <v/>
      </c>
      <c r="AB972">
        <f>IF(AA972=C972,1,0)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$AE$12+D973*$AE$13+E973*$AE$14+F973*$AE$15+G973*$AE$16+H973*$AE$17+I973*$AE$18+J973*$AE$19+K973*$AE$20+L973*$AE$21+M973*$AE$22+N973*$AE$23+O973*$AE$24+P973*$AE$25+Q973*$AE$26+R973*$AE$27+S973*$AE$28+T973*$AE$29+U973*$AE$30</f>
        <v/>
      </c>
      <c r="W973" s="8">
        <f>1/(1+EXP(-V973))</f>
        <v/>
      </c>
      <c r="X973" s="9">
        <f>-IF(C973=1,LN(W973),LN(1-W973))</f>
        <v/>
      </c>
      <c r="Y973" s="8">
        <f>1</f>
        <v/>
      </c>
      <c r="Z973" s="9">
        <f>Y973*X973</f>
        <v/>
      </c>
      <c r="AA973" s="10">
        <f>IF(W973&gt;$AE$32,1,0)</f>
        <v/>
      </c>
      <c r="AB973">
        <f>IF(AA973=C973,1,0)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$AE$12+D974*$AE$13+E974*$AE$14+F974*$AE$15+G974*$AE$16+H974*$AE$17+I974*$AE$18+J974*$AE$19+K974*$AE$20+L974*$AE$21+M974*$AE$22+N974*$AE$23+O974*$AE$24+P974*$AE$25+Q974*$AE$26+R974*$AE$27+S974*$AE$28+T974*$AE$29+U974*$AE$30</f>
        <v/>
      </c>
      <c r="W974" s="8">
        <f>1/(1+EXP(-V974))</f>
        <v/>
      </c>
      <c r="X974" s="9">
        <f>-IF(C974=1,LN(W974),LN(1-W974))</f>
        <v/>
      </c>
      <c r="Y974" s="8">
        <f>1</f>
        <v/>
      </c>
      <c r="Z974" s="9">
        <f>Y974*X974</f>
        <v/>
      </c>
      <c r="AA974" s="10">
        <f>IF(W974&gt;$AE$32,1,0)</f>
        <v/>
      </c>
      <c r="AB974">
        <f>IF(AA974=C974,1,0)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$AE$12+D975*$AE$13+E975*$AE$14+F975*$AE$15+G975*$AE$16+H975*$AE$17+I975*$AE$18+J975*$AE$19+K975*$AE$20+L975*$AE$21+M975*$AE$22+N975*$AE$23+O975*$AE$24+P975*$AE$25+Q975*$AE$26+R975*$AE$27+S975*$AE$28+T975*$AE$29+U975*$AE$30</f>
        <v/>
      </c>
      <c r="W975" s="8">
        <f>1/(1+EXP(-V975))</f>
        <v/>
      </c>
      <c r="X975" s="9">
        <f>-IF(C975=1,LN(W975),LN(1-W975))</f>
        <v/>
      </c>
      <c r="Y975" s="8">
        <f>1</f>
        <v/>
      </c>
      <c r="Z975" s="9">
        <f>Y975*X975</f>
        <v/>
      </c>
      <c r="AA975" s="10">
        <f>IF(W975&gt;$AE$32,1,0)</f>
        <v/>
      </c>
      <c r="AB975">
        <f>IF(AA975=C975,1,0)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$AE$12+D976*$AE$13+E976*$AE$14+F976*$AE$15+G976*$AE$16+H976*$AE$17+I976*$AE$18+J976*$AE$19+K976*$AE$20+L976*$AE$21+M976*$AE$22+N976*$AE$23+O976*$AE$24+P976*$AE$25+Q976*$AE$26+R976*$AE$27+S976*$AE$28+T976*$AE$29+U976*$AE$30</f>
        <v/>
      </c>
      <c r="W976" s="8">
        <f>1/(1+EXP(-V976))</f>
        <v/>
      </c>
      <c r="X976" s="9">
        <f>-IF(C976=1,LN(W976),LN(1-W976))</f>
        <v/>
      </c>
      <c r="Y976" s="8">
        <f>1</f>
        <v/>
      </c>
      <c r="Z976" s="9">
        <f>Y976*X976</f>
        <v/>
      </c>
      <c r="AA976" s="10">
        <f>IF(W976&gt;$AE$32,1,0)</f>
        <v/>
      </c>
      <c r="AB976">
        <f>IF(AA976=C976,1,0)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$AE$12+D977*$AE$13+E977*$AE$14+F977*$AE$15+G977*$AE$16+H977*$AE$17+I977*$AE$18+J977*$AE$19+K977*$AE$20+L977*$AE$21+M977*$AE$22+N977*$AE$23+O977*$AE$24+P977*$AE$25+Q977*$AE$26+R977*$AE$27+S977*$AE$28+T977*$AE$29+U977*$AE$30</f>
        <v/>
      </c>
      <c r="W977" s="8">
        <f>1/(1+EXP(-V977))</f>
        <v/>
      </c>
      <c r="X977" s="9">
        <f>-IF(C977=1,LN(W977),LN(1-W977))</f>
        <v/>
      </c>
      <c r="Y977" s="8">
        <f>1</f>
        <v/>
      </c>
      <c r="Z977" s="9">
        <f>Y977*X977</f>
        <v/>
      </c>
      <c r="AA977" s="10">
        <f>IF(W977&gt;$AE$32,1,0)</f>
        <v/>
      </c>
      <c r="AB977">
        <f>IF(AA977=C977,1,0)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$AE$12+D978*$AE$13+E978*$AE$14+F978*$AE$15+G978*$AE$16+H978*$AE$17+I978*$AE$18+J978*$AE$19+K978*$AE$20+L978*$AE$21+M978*$AE$22+N978*$AE$23+O978*$AE$24+P978*$AE$25+Q978*$AE$26+R978*$AE$27+S978*$AE$28+T978*$AE$29+U978*$AE$30</f>
        <v/>
      </c>
      <c r="W978" s="8">
        <f>1/(1+EXP(-V978))</f>
        <v/>
      </c>
      <c r="X978" s="9">
        <f>-IF(C978=1,LN(W978),LN(1-W978))</f>
        <v/>
      </c>
      <c r="Y978" s="8">
        <f>1</f>
        <v/>
      </c>
      <c r="Z978" s="9">
        <f>Y978*X978</f>
        <v/>
      </c>
      <c r="AA978" s="10">
        <f>IF(W978&gt;$AE$32,1,0)</f>
        <v/>
      </c>
      <c r="AB978">
        <f>IF(AA978=C978,1,0)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$AE$12+D979*$AE$13+E979*$AE$14+F979*$AE$15+G979*$AE$16+H979*$AE$17+I979*$AE$18+J979*$AE$19+K979*$AE$20+L979*$AE$21+M979*$AE$22+N979*$AE$23+O979*$AE$24+P979*$AE$25+Q979*$AE$26+R979*$AE$27+S979*$AE$28+T979*$AE$29+U979*$AE$30</f>
        <v/>
      </c>
      <c r="W979" s="8">
        <f>1/(1+EXP(-V979))</f>
        <v/>
      </c>
      <c r="X979" s="9">
        <f>-IF(C979=1,LN(W979),LN(1-W979))</f>
        <v/>
      </c>
      <c r="Y979" s="8">
        <f>1</f>
        <v/>
      </c>
      <c r="Z979" s="9">
        <f>Y979*X979</f>
        <v/>
      </c>
      <c r="AA979" s="10">
        <f>IF(W979&gt;$AE$32,1,0)</f>
        <v/>
      </c>
      <c r="AB979">
        <f>IF(AA979=C979,1,0)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$AE$12+D980*$AE$13+E980*$AE$14+F980*$AE$15+G980*$AE$16+H980*$AE$17+I980*$AE$18+J980*$AE$19+K980*$AE$20+L980*$AE$21+M980*$AE$22+N980*$AE$23+O980*$AE$24+P980*$AE$25+Q980*$AE$26+R980*$AE$27+S980*$AE$28+T980*$AE$29+U980*$AE$30</f>
        <v/>
      </c>
      <c r="W980" s="8">
        <f>1/(1+EXP(-V980))</f>
        <v/>
      </c>
      <c r="X980" s="9">
        <f>-IF(C980=1,LN(W980),LN(1-W980))</f>
        <v/>
      </c>
      <c r="Y980" s="8">
        <f>1</f>
        <v/>
      </c>
      <c r="Z980" s="9">
        <f>Y980*X980</f>
        <v/>
      </c>
      <c r="AA980" s="10">
        <f>IF(W980&gt;$AE$32,1,0)</f>
        <v/>
      </c>
      <c r="AB980">
        <f>IF(AA980=C980,1,0)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$AE$12+D981*$AE$13+E981*$AE$14+F981*$AE$15+G981*$AE$16+H981*$AE$17+I981*$AE$18+J981*$AE$19+K981*$AE$20+L981*$AE$21+M981*$AE$22+N981*$AE$23+O981*$AE$24+P981*$AE$25+Q981*$AE$26+R981*$AE$27+S981*$AE$28+T981*$AE$29+U981*$AE$30</f>
        <v/>
      </c>
      <c r="W981" s="8">
        <f>1/(1+EXP(-V981))</f>
        <v/>
      </c>
      <c r="X981" s="9">
        <f>-IF(C981=1,LN(W981),LN(1-W981))</f>
        <v/>
      </c>
      <c r="Y981" s="8">
        <f>1</f>
        <v/>
      </c>
      <c r="Z981" s="9">
        <f>Y981*X981</f>
        <v/>
      </c>
      <c r="AA981" s="10">
        <f>IF(W981&gt;$AE$32,1,0)</f>
        <v/>
      </c>
      <c r="AB981">
        <f>IF(AA981=C981,1,0)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$AE$12+D982*$AE$13+E982*$AE$14+F982*$AE$15+G982*$AE$16+H982*$AE$17+I982*$AE$18+J982*$AE$19+K982*$AE$20+L982*$AE$21+M982*$AE$22+N982*$AE$23+O982*$AE$24+P982*$AE$25+Q982*$AE$26+R982*$AE$27+S982*$AE$28+T982*$AE$29+U982*$AE$30</f>
        <v/>
      </c>
      <c r="W982" s="8">
        <f>1/(1+EXP(-V982))</f>
        <v/>
      </c>
      <c r="X982" s="9">
        <f>-IF(C982=1,LN(W982),LN(1-W982))</f>
        <v/>
      </c>
      <c r="Y982" s="8">
        <f>1</f>
        <v/>
      </c>
      <c r="Z982" s="9">
        <f>Y982*X982</f>
        <v/>
      </c>
      <c r="AA982" s="10">
        <f>IF(W982&gt;$AE$32,1,0)</f>
        <v/>
      </c>
      <c r="AB982">
        <f>IF(AA982=C982,1,0)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$AE$12+D983*$AE$13+E983*$AE$14+F983*$AE$15+G983*$AE$16+H983*$AE$17+I983*$AE$18+J983*$AE$19+K983*$AE$20+L983*$AE$21+M983*$AE$22+N983*$AE$23+O983*$AE$24+P983*$AE$25+Q983*$AE$26+R983*$AE$27+S983*$AE$28+T983*$AE$29+U983*$AE$30</f>
        <v/>
      </c>
      <c r="W983" s="8">
        <f>1/(1+EXP(-V983))</f>
        <v/>
      </c>
      <c r="X983" s="9">
        <f>-IF(C983=1,LN(W983),LN(1-W983))</f>
        <v/>
      </c>
      <c r="Y983" s="8">
        <f>1</f>
        <v/>
      </c>
      <c r="Z983" s="9">
        <f>Y983*X983</f>
        <v/>
      </c>
      <c r="AA983" s="10">
        <f>IF(W983&gt;$AE$32,1,0)</f>
        <v/>
      </c>
      <c r="AB983">
        <f>IF(AA983=C983,1,0)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$AE$12+D984*$AE$13+E984*$AE$14+F984*$AE$15+G984*$AE$16+H984*$AE$17+I984*$AE$18+J984*$AE$19+K984*$AE$20+L984*$AE$21+M984*$AE$22+N984*$AE$23+O984*$AE$24+P984*$AE$25+Q984*$AE$26+R984*$AE$27+S984*$AE$28+T984*$AE$29+U984*$AE$30</f>
        <v/>
      </c>
      <c r="W984" s="8">
        <f>1/(1+EXP(-V984))</f>
        <v/>
      </c>
      <c r="X984" s="9">
        <f>-IF(C984=1,LN(W984),LN(1-W984))</f>
        <v/>
      </c>
      <c r="Y984" s="8">
        <f>1</f>
        <v/>
      </c>
      <c r="Z984" s="9">
        <f>Y984*X984</f>
        <v/>
      </c>
      <c r="AA984" s="10">
        <f>IF(W984&gt;$AE$32,1,0)</f>
        <v/>
      </c>
      <c r="AB984">
        <f>IF(AA984=C984,1,0)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$AE$12+D985*$AE$13+E985*$AE$14+F985*$AE$15+G985*$AE$16+H985*$AE$17+I985*$AE$18+J985*$AE$19+K985*$AE$20+L985*$AE$21+M985*$AE$22+N985*$AE$23+O985*$AE$24+P985*$AE$25+Q985*$AE$26+R985*$AE$27+S985*$AE$28+T985*$AE$29+U985*$AE$30</f>
        <v/>
      </c>
      <c r="W985" s="8">
        <f>1/(1+EXP(-V985))</f>
        <v/>
      </c>
      <c r="X985" s="9">
        <f>-IF(C985=1,LN(W985),LN(1-W985))</f>
        <v/>
      </c>
      <c r="Y985" s="8">
        <f>1</f>
        <v/>
      </c>
      <c r="Z985" s="9">
        <f>Y985*X985</f>
        <v/>
      </c>
      <c r="AA985" s="10">
        <f>IF(W985&gt;$AE$32,1,0)</f>
        <v/>
      </c>
      <c r="AB985">
        <f>IF(AA985=C985,1,0)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$AE$12+D986*$AE$13+E986*$AE$14+F986*$AE$15+G986*$AE$16+H986*$AE$17+I986*$AE$18+J986*$AE$19+K986*$AE$20+L986*$AE$21+M986*$AE$22+N986*$AE$23+O986*$AE$24+P986*$AE$25+Q986*$AE$26+R986*$AE$27+S986*$AE$28+T986*$AE$29+U986*$AE$30</f>
        <v/>
      </c>
      <c r="W986" s="8">
        <f>1/(1+EXP(-V986))</f>
        <v/>
      </c>
      <c r="X986" s="9">
        <f>-IF(C986=1,LN(W986),LN(1-W986))</f>
        <v/>
      </c>
      <c r="Y986" s="8">
        <f>1</f>
        <v/>
      </c>
      <c r="Z986" s="9">
        <f>Y986*X986</f>
        <v/>
      </c>
      <c r="AA986" s="10">
        <f>IF(W986&gt;$AE$32,1,0)</f>
        <v/>
      </c>
      <c r="AB986">
        <f>IF(AA986=C986,1,0)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$AE$12+D987*$AE$13+E987*$AE$14+F987*$AE$15+G987*$AE$16+H987*$AE$17+I987*$AE$18+J987*$AE$19+K987*$AE$20+L987*$AE$21+M987*$AE$22+N987*$AE$23+O987*$AE$24+P987*$AE$25+Q987*$AE$26+R987*$AE$27+S987*$AE$28+T987*$AE$29+U987*$AE$30</f>
        <v/>
      </c>
      <c r="W987" s="8">
        <f>1/(1+EXP(-V987))</f>
        <v/>
      </c>
      <c r="X987" s="9">
        <f>-IF(C987=1,LN(W987),LN(1-W987))</f>
        <v/>
      </c>
      <c r="Y987" s="8">
        <f>1</f>
        <v/>
      </c>
      <c r="Z987" s="9">
        <f>Y987*X987</f>
        <v/>
      </c>
      <c r="AA987" s="10">
        <f>IF(W987&gt;$AE$32,1,0)</f>
        <v/>
      </c>
      <c r="AB987">
        <f>IF(AA987=C987,1,0)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$AE$12+D988*$AE$13+E988*$AE$14+F988*$AE$15+G988*$AE$16+H988*$AE$17+I988*$AE$18+J988*$AE$19+K988*$AE$20+L988*$AE$21+M988*$AE$22+N988*$AE$23+O988*$AE$24+P988*$AE$25+Q988*$AE$26+R988*$AE$27+S988*$AE$28+T988*$AE$29+U988*$AE$30</f>
        <v/>
      </c>
      <c r="W988" s="8">
        <f>1/(1+EXP(-V988))</f>
        <v/>
      </c>
      <c r="X988" s="9">
        <f>-IF(C988=1,LN(W988),LN(1-W988))</f>
        <v/>
      </c>
      <c r="Y988" s="8">
        <f>1</f>
        <v/>
      </c>
      <c r="Z988" s="9">
        <f>Y988*X988</f>
        <v/>
      </c>
      <c r="AA988" s="10">
        <f>IF(W988&gt;$AE$32,1,0)</f>
        <v/>
      </c>
      <c r="AB988">
        <f>IF(AA988=C988,1,0)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$AE$12+D989*$AE$13+E989*$AE$14+F989*$AE$15+G989*$AE$16+H989*$AE$17+I989*$AE$18+J989*$AE$19+K989*$AE$20+L989*$AE$21+M989*$AE$22+N989*$AE$23+O989*$AE$24+P989*$AE$25+Q989*$AE$26+R989*$AE$27+S989*$AE$28+T989*$AE$29+U989*$AE$30</f>
        <v/>
      </c>
      <c r="W989" s="8">
        <f>1/(1+EXP(-V989))</f>
        <v/>
      </c>
      <c r="X989" s="9">
        <f>-IF(C989=1,LN(W989),LN(1-W989))</f>
        <v/>
      </c>
      <c r="Y989" s="8">
        <f>1</f>
        <v/>
      </c>
      <c r="Z989" s="9">
        <f>Y989*X989</f>
        <v/>
      </c>
      <c r="AA989" s="10">
        <f>IF(W989&gt;$AE$32,1,0)</f>
        <v/>
      </c>
      <c r="AB989">
        <f>IF(AA989=C989,1,0)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$AE$12+D990*$AE$13+E990*$AE$14+F990*$AE$15+G990*$AE$16+H990*$AE$17+I990*$AE$18+J990*$AE$19+K990*$AE$20+L990*$AE$21+M990*$AE$22+N990*$AE$23+O990*$AE$24+P990*$AE$25+Q990*$AE$26+R990*$AE$27+S990*$AE$28+T990*$AE$29+U990*$AE$30</f>
        <v/>
      </c>
      <c r="W990" s="8">
        <f>1/(1+EXP(-V990))</f>
        <v/>
      </c>
      <c r="X990" s="9">
        <f>-IF(C990=1,LN(W990),LN(1-W990))</f>
        <v/>
      </c>
      <c r="Y990" s="8">
        <f>1</f>
        <v/>
      </c>
      <c r="Z990" s="9">
        <f>Y990*X990</f>
        <v/>
      </c>
      <c r="AA990" s="10">
        <f>IF(W990&gt;$AE$32,1,0)</f>
        <v/>
      </c>
      <c r="AB990">
        <f>IF(AA990=C990,1,0)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$AE$12+D991*$AE$13+E991*$AE$14+F991*$AE$15+G991*$AE$16+H991*$AE$17+I991*$AE$18+J991*$AE$19+K991*$AE$20+L991*$AE$21+M991*$AE$22+N991*$AE$23+O991*$AE$24+P991*$AE$25+Q991*$AE$26+R991*$AE$27+S991*$AE$28+T991*$AE$29+U991*$AE$30</f>
        <v/>
      </c>
      <c r="W991" s="8">
        <f>1/(1+EXP(-V991))</f>
        <v/>
      </c>
      <c r="X991" s="9">
        <f>-IF(C991=1,LN(W991),LN(1-W991))</f>
        <v/>
      </c>
      <c r="Y991" s="8">
        <f>1</f>
        <v/>
      </c>
      <c r="Z991" s="9">
        <f>Y991*X991</f>
        <v/>
      </c>
      <c r="AA991" s="10">
        <f>IF(W991&gt;$AE$32,1,0)</f>
        <v/>
      </c>
      <c r="AB991">
        <f>IF(AA991=C991,1,0)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$AE$12+D992*$AE$13+E992*$AE$14+F992*$AE$15+G992*$AE$16+H992*$AE$17+I992*$AE$18+J992*$AE$19+K992*$AE$20+L992*$AE$21+M992*$AE$22+N992*$AE$23+O992*$AE$24+P992*$AE$25+Q992*$AE$26+R992*$AE$27+S992*$AE$28+T992*$AE$29+U992*$AE$30</f>
        <v/>
      </c>
      <c r="W992" s="8">
        <f>1/(1+EXP(-V992))</f>
        <v/>
      </c>
      <c r="X992" s="9">
        <f>-IF(C992=1,LN(W992),LN(1-W992))</f>
        <v/>
      </c>
      <c r="Y992" s="8">
        <f>1</f>
        <v/>
      </c>
      <c r="Z992" s="9">
        <f>Y992*X992</f>
        <v/>
      </c>
      <c r="AA992" s="10">
        <f>IF(W992&gt;$AE$32,1,0)</f>
        <v/>
      </c>
      <c r="AB992">
        <f>IF(AA992=C992,1,0)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$AE$12+D993*$AE$13+E993*$AE$14+F993*$AE$15+G993*$AE$16+H993*$AE$17+I993*$AE$18+J993*$AE$19+K993*$AE$20+L993*$AE$21+M993*$AE$22+N993*$AE$23+O993*$AE$24+P993*$AE$25+Q993*$AE$26+R993*$AE$27+S993*$AE$28+T993*$AE$29+U993*$AE$30</f>
        <v/>
      </c>
      <c r="W993" s="8">
        <f>1/(1+EXP(-V993))</f>
        <v/>
      </c>
      <c r="X993" s="9">
        <f>-IF(C993=1,LN(W993),LN(1-W993))</f>
        <v/>
      </c>
      <c r="Y993" s="8">
        <f>1</f>
        <v/>
      </c>
      <c r="Z993" s="9">
        <f>Y993*X993</f>
        <v/>
      </c>
      <c r="AA993" s="10">
        <f>IF(W993&gt;$AE$32,1,0)</f>
        <v/>
      </c>
      <c r="AB993">
        <f>IF(AA993=C993,1,0)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$AE$12+D994*$AE$13+E994*$AE$14+F994*$AE$15+G994*$AE$16+H994*$AE$17+I994*$AE$18+J994*$AE$19+K994*$AE$20+L994*$AE$21+M994*$AE$22+N994*$AE$23+O994*$AE$24+P994*$AE$25+Q994*$AE$26+R994*$AE$27+S994*$AE$28+T994*$AE$29+U994*$AE$30</f>
        <v/>
      </c>
      <c r="W994" s="8">
        <f>1/(1+EXP(-V994))</f>
        <v/>
      </c>
      <c r="X994" s="9">
        <f>-IF(C994=1,LN(W994),LN(1-W994))</f>
        <v/>
      </c>
      <c r="Y994" s="8">
        <f>1</f>
        <v/>
      </c>
      <c r="Z994" s="9">
        <f>Y994*X994</f>
        <v/>
      </c>
      <c r="AA994" s="10">
        <f>IF(W994&gt;$AE$32,1,0)</f>
        <v/>
      </c>
      <c r="AB994">
        <f>IF(AA994=C994,1,0)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$AE$12+D995*$AE$13+E995*$AE$14+F995*$AE$15+G995*$AE$16+H995*$AE$17+I995*$AE$18+J995*$AE$19+K995*$AE$20+L995*$AE$21+M995*$AE$22+N995*$AE$23+O995*$AE$24+P995*$AE$25+Q995*$AE$26+R995*$AE$27+S995*$AE$28+T995*$AE$29+U995*$AE$30</f>
        <v/>
      </c>
      <c r="W995" s="8">
        <f>1/(1+EXP(-V995))</f>
        <v/>
      </c>
      <c r="X995" s="9">
        <f>-IF(C995=1,LN(W995),LN(1-W995))</f>
        <v/>
      </c>
      <c r="Y995" s="8">
        <f>1</f>
        <v/>
      </c>
      <c r="Z995" s="9">
        <f>Y995*X995</f>
        <v/>
      </c>
      <c r="AA995" s="10">
        <f>IF(W995&gt;$AE$32,1,0)</f>
        <v/>
      </c>
      <c r="AB995">
        <f>IF(AA995=C995,1,0)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$AE$12+D996*$AE$13+E996*$AE$14+F996*$AE$15+G996*$AE$16+H996*$AE$17+I996*$AE$18+J996*$AE$19+K996*$AE$20+L996*$AE$21+M996*$AE$22+N996*$AE$23+O996*$AE$24+P996*$AE$25+Q996*$AE$26+R996*$AE$27+S996*$AE$28+T996*$AE$29+U996*$AE$30</f>
        <v/>
      </c>
      <c r="W996" s="8">
        <f>1/(1+EXP(-V996))</f>
        <v/>
      </c>
      <c r="X996" s="9">
        <f>-IF(C996=1,LN(W996),LN(1-W996))</f>
        <v/>
      </c>
      <c r="Y996" s="8">
        <f>1</f>
        <v/>
      </c>
      <c r="Z996" s="9">
        <f>Y996*X996</f>
        <v/>
      </c>
      <c r="AA996" s="10">
        <f>IF(W996&gt;$AE$32,1,0)</f>
        <v/>
      </c>
      <c r="AB996">
        <f>IF(AA996=C996,1,0)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$AE$12+D997*$AE$13+E997*$AE$14+F997*$AE$15+G997*$AE$16+H997*$AE$17+I997*$AE$18+J997*$AE$19+K997*$AE$20+L997*$AE$21+M997*$AE$22+N997*$AE$23+O997*$AE$24+P997*$AE$25+Q997*$AE$26+R997*$AE$27+S997*$AE$28+T997*$AE$29+U997*$AE$30</f>
        <v/>
      </c>
      <c r="W997" s="8">
        <f>1/(1+EXP(-V997))</f>
        <v/>
      </c>
      <c r="X997" s="9">
        <f>-IF(C997=1,LN(W997),LN(1-W997))</f>
        <v/>
      </c>
      <c r="Y997" s="8">
        <f>1</f>
        <v/>
      </c>
      <c r="Z997" s="9">
        <f>Y997*X997</f>
        <v/>
      </c>
      <c r="AA997" s="10">
        <f>IF(W997&gt;$AE$32,1,0)</f>
        <v/>
      </c>
      <c r="AB997">
        <f>IF(AA997=C997,1,0)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$AE$12+D998*$AE$13+E998*$AE$14+F998*$AE$15+G998*$AE$16+H998*$AE$17+I998*$AE$18+J998*$AE$19+K998*$AE$20+L998*$AE$21+M998*$AE$22+N998*$AE$23+O998*$AE$24+P998*$AE$25+Q998*$AE$26+R998*$AE$27+S998*$AE$28+T998*$AE$29+U998*$AE$30</f>
        <v/>
      </c>
      <c r="W998" s="8">
        <f>1/(1+EXP(-V998))</f>
        <v/>
      </c>
      <c r="X998" s="9">
        <f>-IF(C998=1,LN(W998),LN(1-W998))</f>
        <v/>
      </c>
      <c r="Y998" s="8">
        <f>1</f>
        <v/>
      </c>
      <c r="Z998" s="9">
        <f>Y998*X998</f>
        <v/>
      </c>
      <c r="AA998" s="10">
        <f>IF(W998&gt;$AE$32,1,0)</f>
        <v/>
      </c>
      <c r="AB998">
        <f>IF(AA998=C998,1,0)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$AE$12+D999*$AE$13+E999*$AE$14+F999*$AE$15+G999*$AE$16+H999*$AE$17+I999*$AE$18+J999*$AE$19+K999*$AE$20+L999*$AE$21+M999*$AE$22+N999*$AE$23+O999*$AE$24+P999*$AE$25+Q999*$AE$26+R999*$AE$27+S999*$AE$28+T999*$AE$29+U999*$AE$30</f>
        <v/>
      </c>
      <c r="W999" s="8">
        <f>1/(1+EXP(-V999))</f>
        <v/>
      </c>
      <c r="X999" s="9">
        <f>-IF(C999=1,LN(W999),LN(1-W999))</f>
        <v/>
      </c>
      <c r="Y999" s="8">
        <f>1</f>
        <v/>
      </c>
      <c r="Z999" s="9">
        <f>Y999*X999</f>
        <v/>
      </c>
      <c r="AA999" s="10">
        <f>IF(W999&gt;$AE$32,1,0)</f>
        <v/>
      </c>
      <c r="AB999">
        <f>IF(AA999=C999,1,0)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$AE$12+D1000*$AE$13+E1000*$AE$14+F1000*$AE$15+G1000*$AE$16+H1000*$AE$17+I1000*$AE$18+J1000*$AE$19+K1000*$AE$20+L1000*$AE$21+M1000*$AE$22+N1000*$AE$23+O1000*$AE$24+P1000*$AE$25+Q1000*$AE$26+R1000*$AE$27+S1000*$AE$28+T1000*$AE$29+U1000*$AE$30</f>
        <v/>
      </c>
      <c r="W1000" s="8">
        <f>1/(1+EXP(-V1000))</f>
        <v/>
      </c>
      <c r="X1000" s="9">
        <f>-IF(C1000=1,LN(W1000),LN(1-W1000))</f>
        <v/>
      </c>
      <c r="Y1000" s="8">
        <f>1</f>
        <v/>
      </c>
      <c r="Z1000" s="9">
        <f>Y1000*X1000</f>
        <v/>
      </c>
      <c r="AA1000" s="10">
        <f>IF(W1000&gt;$AE$32,1,0)</f>
        <v/>
      </c>
      <c r="AB1000">
        <f>IF(AA1000=C1000,1,0)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$AE$12+D1001*$AE$13+E1001*$AE$14+F1001*$AE$15+G1001*$AE$16+H1001*$AE$17+I1001*$AE$18+J1001*$AE$19+K1001*$AE$20+L1001*$AE$21+M1001*$AE$22+N1001*$AE$23+O1001*$AE$24+P1001*$AE$25+Q1001*$AE$26+R1001*$AE$27+S1001*$AE$28+T1001*$AE$29+U1001*$AE$30</f>
        <v/>
      </c>
      <c r="W1001" s="8">
        <f>1/(1+EXP(-V1001))</f>
        <v/>
      </c>
      <c r="X1001" s="9">
        <f>-IF(C1001=1,LN(W1001),LN(1-W1001))</f>
        <v/>
      </c>
      <c r="Y1001" s="8">
        <f>1</f>
        <v/>
      </c>
      <c r="Z1001" s="9">
        <f>Y1001*X1001</f>
        <v/>
      </c>
      <c r="AA1001" s="10">
        <f>IF(W1001&gt;$AE$32,1,0)</f>
        <v/>
      </c>
      <c r="AB1001">
        <f>IF(AA1001=C1001,1,0)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$AE$12+D1002*$AE$13+E1002*$AE$14+F1002*$AE$15+G1002*$AE$16+H1002*$AE$17+I1002*$AE$18+J1002*$AE$19+K1002*$AE$20+L1002*$AE$21+M1002*$AE$22+N1002*$AE$23+O1002*$AE$24+P1002*$AE$25+Q1002*$AE$26+R1002*$AE$27+S1002*$AE$28+T1002*$AE$29+U1002*$AE$30</f>
        <v/>
      </c>
      <c r="W1002" s="8">
        <f>1/(1+EXP(-V1002))</f>
        <v/>
      </c>
      <c r="X1002" s="9">
        <f>-IF(C1002=1,LN(W1002),LN(1-W1002))</f>
        <v/>
      </c>
      <c r="Y1002" s="8">
        <f>1</f>
        <v/>
      </c>
      <c r="Z1002" s="9">
        <f>Y1002*X1002</f>
        <v/>
      </c>
      <c r="AA1002" s="10">
        <f>IF(W1002&gt;$AE$32,1,0)</f>
        <v/>
      </c>
      <c r="AB1002">
        <f>IF(AA1002=C1002,1,0)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$AE$12+D1003*$AE$13+E1003*$AE$14+F1003*$AE$15+G1003*$AE$16+H1003*$AE$17+I1003*$AE$18+J1003*$AE$19+K1003*$AE$20+L1003*$AE$21+M1003*$AE$22+N1003*$AE$23+O1003*$AE$24+P1003*$AE$25+Q1003*$AE$26+R1003*$AE$27+S1003*$AE$28+T1003*$AE$29+U1003*$AE$30</f>
        <v/>
      </c>
      <c r="W1003" s="8">
        <f>1/(1+EXP(-V1003))</f>
        <v/>
      </c>
      <c r="X1003" s="9">
        <f>-IF(C1003=1,LN(W1003),LN(1-W1003))</f>
        <v/>
      </c>
      <c r="Y1003" s="8">
        <f>1</f>
        <v/>
      </c>
      <c r="Z1003" s="9">
        <f>Y1003*X1003</f>
        <v/>
      </c>
      <c r="AA1003" s="10">
        <f>IF(W1003&gt;$AE$32,1,0)</f>
        <v/>
      </c>
      <c r="AB1003">
        <f>IF(AA1003=C1003,1,0)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$AE$12+D1004*$AE$13+E1004*$AE$14+F1004*$AE$15+G1004*$AE$16+H1004*$AE$17+I1004*$AE$18+J1004*$AE$19+K1004*$AE$20+L1004*$AE$21+M1004*$AE$22+N1004*$AE$23+O1004*$AE$24+P1004*$AE$25+Q1004*$AE$26+R1004*$AE$27+S1004*$AE$28+T1004*$AE$29+U1004*$AE$30</f>
        <v/>
      </c>
      <c r="W1004" s="8">
        <f>1/(1+EXP(-V1004))</f>
        <v/>
      </c>
      <c r="X1004" s="9">
        <f>-IF(C1004=1,LN(W1004),LN(1-W1004))</f>
        <v/>
      </c>
      <c r="Y1004" s="8">
        <f>1</f>
        <v/>
      </c>
      <c r="Z1004" s="9">
        <f>Y1004*X1004</f>
        <v/>
      </c>
      <c r="AA1004" s="10">
        <f>IF(W1004&gt;$AE$32,1,0)</f>
        <v/>
      </c>
      <c r="AB1004">
        <f>IF(AA1004=C1004,1,0)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$AE$12+D1005*$AE$13+E1005*$AE$14+F1005*$AE$15+G1005*$AE$16+H1005*$AE$17+I1005*$AE$18+J1005*$AE$19+K1005*$AE$20+L1005*$AE$21+M1005*$AE$22+N1005*$AE$23+O1005*$AE$24+P1005*$AE$25+Q1005*$AE$26+R1005*$AE$27+S1005*$AE$28+T1005*$AE$29+U1005*$AE$30</f>
        <v/>
      </c>
      <c r="W1005" s="8">
        <f>1/(1+EXP(-V1005))</f>
        <v/>
      </c>
      <c r="X1005" s="9">
        <f>-IF(C1005=1,LN(W1005),LN(1-W1005))</f>
        <v/>
      </c>
      <c r="Y1005" s="8">
        <f>1</f>
        <v/>
      </c>
      <c r="Z1005" s="9">
        <f>Y1005*X1005</f>
        <v/>
      </c>
      <c r="AA1005" s="10">
        <f>IF(W1005&gt;$AE$32,1,0)</f>
        <v/>
      </c>
      <c r="AB1005">
        <f>IF(AA1005=C1005,1,0)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$AE$12+D1006*$AE$13+E1006*$AE$14+F1006*$AE$15+G1006*$AE$16+H1006*$AE$17+I1006*$AE$18+J1006*$AE$19+K1006*$AE$20+L1006*$AE$21+M1006*$AE$22+N1006*$AE$23+O1006*$AE$24+P1006*$AE$25+Q1006*$AE$26+R1006*$AE$27+S1006*$AE$28+T1006*$AE$29+U1006*$AE$30</f>
        <v/>
      </c>
      <c r="W1006" s="8">
        <f>1/(1+EXP(-V1006))</f>
        <v/>
      </c>
      <c r="X1006" s="9">
        <f>-IF(C1006=1,LN(W1006),LN(1-W1006))</f>
        <v/>
      </c>
      <c r="Y1006" s="8">
        <f>1</f>
        <v/>
      </c>
      <c r="Z1006" s="9">
        <f>Y1006*X1006</f>
        <v/>
      </c>
      <c r="AA1006" s="10">
        <f>IF(W1006&gt;$AE$32,1,0)</f>
        <v/>
      </c>
      <c r="AB1006">
        <f>IF(AA1006=C1006,1,0)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1</f>
        <v/>
      </c>
      <c r="Z1007" s="9">
        <f>Y1007*X1007</f>
        <v/>
      </c>
      <c r="AA1007" s="10">
        <f>IF(W1007&gt;$AE$32,1,0)</f>
        <v/>
      </c>
      <c r="AB1007">
        <f>IF(AA1007=C1007,1,0)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1</f>
        <v/>
      </c>
      <c r="Z1008" s="9">
        <f>Y1008*X1008</f>
        <v/>
      </c>
      <c r="AA1008" s="10">
        <f>IF(W1008&gt;$AE$32,1,0)</f>
        <v/>
      </c>
      <c r="AB1008">
        <f>IF(AA1008=C1008,1,0)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1</f>
        <v/>
      </c>
      <c r="Z1009" s="9">
        <f>Y1009*X1009</f>
        <v/>
      </c>
      <c r="AA1009" s="10">
        <f>IF(W1009&gt;$AE$32,1,0)</f>
        <v/>
      </c>
      <c r="AB1009">
        <f>IF(AA1009=C1009,1,0)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1</f>
        <v/>
      </c>
      <c r="Z1010" s="9">
        <f>Y1010*X1010</f>
        <v/>
      </c>
      <c r="AA1010" s="10">
        <f>IF(W1010&gt;$AE$32,1,0)</f>
        <v/>
      </c>
      <c r="AB1010">
        <f>IF(AA1010=C1010,1,0)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1</f>
        <v/>
      </c>
      <c r="Z1011" s="9">
        <f>Y1011*X1011</f>
        <v/>
      </c>
      <c r="AA1011" s="10">
        <f>IF(W1011&gt;$AE$32,1,0)</f>
        <v/>
      </c>
      <c r="AB1011">
        <f>IF(AA1011=C1011,1,0)</f>
        <v/>
      </c>
    </row>
  </sheetData>
  <mergeCells count="3">
    <mergeCell ref="A3:R3"/>
    <mergeCell ref="A2:R2"/>
    <mergeCell ref="AD46:AF46"/>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4"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2" customWidth="1" min="37" max="37"/>
    <col width="12" customWidth="1" min="38" max="38"/>
    <col width="10" customWidth="1" min="39" max="39"/>
  </cols>
  <sheetData>
    <row r="1">
      <c r="A1" s="3" t="inlineStr">
        <is>
          <t>Class weights: each customer weighs according to its class, and the two classes add up to the same total</t>
        </is>
      </c>
    </row>
    <row r="2" ht="49.5" customHeight="1">
      <c r="A2" s="2" t="inlineStr">
        <is>
          <t>The most direct fix: instead of adding up each row's loss, we add up the loss multiplied by a weight that depends on the class. With w1 = n / (2 · n1) = 1.667 for the defaulters and w0 = n / (2 · n0) = 0.714 for the good payers, each class contributes exactly 350 to the total, as if there were 350 and 350. The model can no longer ignore the minority class. In scikit-learn it is class_weight='balanced'; in any other library it is sample_weight.</t>
        </is>
      </c>
    </row>
    <row r="3" ht="65" customHeight="1">
      <c r="A3" s="2" t="inlineStr">
        <is>
          <t>Run Solver and look at the report: the recall of class 1 rises from 0.57 to 0.86, and precision falls from 0.65 to 0.53: it catches more defaulters at the cost of flagging more good payers. It is the same trade-off as always. And look at the average p on testing: it rises to 0.48 when the actual rate is 0.30. The weighted model no longer delivers calibrated probabilities; it delivers higher scores for everyone. Compare with sheet 7: the unbalanced model, with threshold 0.30, reaches almost the same recall and precision.</t>
        </is>
      </c>
    </row>
    <row r="4"/>
    <row r="5"/>
    <row r="6"/>
    <row r="7"/>
    <row r="8"/>
    <row r="9"/>
    <row r="10">
      <c r="AD10" s="3" t="inlineStr">
        <is>
          <t>Model weights (theta): start from the unbalanced solution</t>
        </is>
      </c>
      <c r="AI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row weight</t>
        </is>
      </c>
      <c r="Z11" s="4" t="inlineStr">
        <is>
          <t>weighted loss</t>
        </is>
      </c>
      <c r="AA11" s="4" t="inlineStr">
        <is>
          <t>prediction</t>
        </is>
      </c>
      <c r="AB11" s="4" t="inlineStr">
        <is>
          <t>correct</t>
        </is>
      </c>
      <c r="AD11" s="4" t="inlineStr">
        <is>
          <t>variable</t>
        </is>
      </c>
      <c r="AE11" s="4" t="inlineStr">
        <is>
          <t>theta (light blue)</t>
        </is>
      </c>
      <c r="AF11" s="4" t="inlineStr">
        <is>
          <t>scikit-learn reference for this variant</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$AE$12+D12*$AE$13+E12*$AE$14+F12*$AE$15+G12*$AE$16+H12*$AE$17+I12*$AE$18+J12*$AE$19+K12*$AE$20+L12*$AE$21+M12*$AE$22+N12*$AE$23+O12*$AE$24+P12*$AE$25+Q12*$AE$26+R12*$AE$27+S12*$AE$28+T12*$AE$29+U12*$AE$30</f>
        <v/>
      </c>
      <c r="W12" s="8">
        <f>1/(1+EXP(-V12))</f>
        <v/>
      </c>
      <c r="X12" s="9">
        <f>-IF(C12=1,LN(W12),LN(1-W12))</f>
        <v/>
      </c>
      <c r="Y12" s="8">
        <f>IF(C12=1,$AE$32,$AE$33)</f>
        <v/>
      </c>
      <c r="Z12" s="9">
        <f>Y12*X12</f>
        <v/>
      </c>
      <c r="AA12" s="10">
        <f>IF(W12&gt;$AE$34,1,0)</f>
        <v/>
      </c>
      <c r="AB12">
        <f>IF(AA12=C12,1,0)</f>
        <v/>
      </c>
      <c r="AD12" t="inlineStr">
        <is>
          <t>intercept</t>
        </is>
      </c>
      <c r="AE12" s="11" t="n">
        <v>-1.341270962110326</v>
      </c>
      <c r="AF12" s="12" t="n">
        <v>-0.4879637887718593</v>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$AE$12+D13*$AE$13+E13*$AE$14+F13*$AE$15+G13*$AE$16+H13*$AE$17+I13*$AE$18+J13*$AE$19+K13*$AE$20+L13*$AE$21+M13*$AE$22+N13*$AE$23+O13*$AE$24+P13*$AE$25+Q13*$AE$26+R13*$AE$27+S13*$AE$28+T13*$AE$29+U13*$AE$30</f>
        <v/>
      </c>
      <c r="W13" s="8">
        <f>1/(1+EXP(-V13))</f>
        <v/>
      </c>
      <c r="X13" s="9">
        <f>-IF(C13=1,LN(W13),LN(1-W13))</f>
        <v/>
      </c>
      <c r="Y13" s="8">
        <f>IF(C13=1,$AE$32,$AE$33)</f>
        <v/>
      </c>
      <c r="Z13" s="9">
        <f>Y13*X13</f>
        <v/>
      </c>
      <c r="AA13" s="10">
        <f>IF(W13&gt;$AE$34,1,0)</f>
        <v/>
      </c>
      <c r="AB13">
        <f>IF(AA13=C13,1,0)</f>
        <v/>
      </c>
      <c r="AD13" t="inlineStr">
        <is>
          <t>duration</t>
        </is>
      </c>
      <c r="AE13" s="11" t="n">
        <v>0.3247012549391071</v>
      </c>
      <c r="AF13" s="12" t="n">
        <v>0.2913039041015141</v>
      </c>
      <c r="AK13" s="3" t="inlineStr">
        <is>
          <t>predicted 0</t>
        </is>
      </c>
      <c r="AL13" s="3" t="inlineStr">
        <is>
          <t>predicted 1</t>
        </is>
      </c>
      <c r="AM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$AE$12+D14*$AE$13+E14*$AE$14+F14*$AE$15+G14*$AE$16+H14*$AE$17+I14*$AE$18+J14*$AE$19+K14*$AE$20+L14*$AE$21+M14*$AE$22+N14*$AE$23+O14*$AE$24+P14*$AE$25+Q14*$AE$26+R14*$AE$27+S14*$AE$28+T14*$AE$29+U14*$AE$30</f>
        <v/>
      </c>
      <c r="W14" s="8">
        <f>1/(1+EXP(-V14))</f>
        <v/>
      </c>
      <c r="X14" s="9">
        <f>-IF(C14=1,LN(W14),LN(1-W14))</f>
        <v/>
      </c>
      <c r="Y14" s="8">
        <f>IF(C14=1,$AE$32,$AE$33)</f>
        <v/>
      </c>
      <c r="Z14" s="9">
        <f>Y14*X14</f>
        <v/>
      </c>
      <c r="AA14" s="10">
        <f>IF(W14&gt;$AE$34,1,0)</f>
        <v/>
      </c>
      <c r="AB14">
        <f>IF(AA14=C14,1,0)</f>
        <v/>
      </c>
      <c r="AD14" t="inlineStr">
        <is>
          <t>amount</t>
        </is>
      </c>
      <c r="AE14" s="11" t="n">
        <v>0.1163535941884676</v>
      </c>
      <c r="AF14" s="12" t="n">
        <v>0.1606903822254382</v>
      </c>
      <c r="AI14" s="3" t="inlineStr">
        <is>
          <t>actual 0 (good payer)</t>
        </is>
      </c>
      <c r="AJ14" t="inlineStr">
        <is>
          <t>TN | FP</t>
        </is>
      </c>
      <c r="AK14" s="13">
        <f>COUNTIFS($B$12:$B$1011,"testing",$C$12:$C$1011,0,$AA$12:$AA$1011,0)</f>
        <v/>
      </c>
      <c r="AL14" s="13">
        <f>COUNTIFS($B$12:$B$1011,"testing",$C$12:$C$1011,0,$AA$12:$AA$1011,1)</f>
        <v/>
      </c>
      <c r="AM14">
        <f>AK14+AL14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$AE$12+D15*$AE$13+E15*$AE$14+F15*$AE$15+G15*$AE$16+H15*$AE$17+I15*$AE$18+J15*$AE$19+K15*$AE$20+L15*$AE$21+M15*$AE$22+N15*$AE$23+O15*$AE$24+P15*$AE$25+Q15*$AE$26+R15*$AE$27+S15*$AE$28+T15*$AE$29+U15*$AE$30</f>
        <v/>
      </c>
      <c r="W15" s="8">
        <f>1/(1+EXP(-V15))</f>
        <v/>
      </c>
      <c r="X15" s="9">
        <f>-IF(C15=1,LN(W15),LN(1-W15))</f>
        <v/>
      </c>
      <c r="Y15" s="8">
        <f>IF(C15=1,$AE$32,$AE$33)</f>
        <v/>
      </c>
      <c r="Z15" s="9">
        <f>Y15*X15</f>
        <v/>
      </c>
      <c r="AA15" s="10">
        <f>IF(W15&gt;$AE$34,1,0)</f>
        <v/>
      </c>
      <c r="AB15">
        <f>IF(AA15=C15,1,0)</f>
        <v/>
      </c>
      <c r="AD15" t="inlineStr">
        <is>
          <t>age</t>
        </is>
      </c>
      <c r="AE15" s="11" t="n">
        <v>-0.09914522482627074</v>
      </c>
      <c r="AF15" s="12" t="n">
        <v>-0.1278057950881102</v>
      </c>
      <c r="AI15" s="3" t="inlineStr">
        <is>
          <t>actual 1 (defaulter)</t>
        </is>
      </c>
      <c r="AJ15" t="inlineStr">
        <is>
          <t>FN | TP</t>
        </is>
      </c>
      <c r="AK15" s="13">
        <f>COUNTIFS($B$12:$B$1011,"testing",$C$12:$C$1011,1,$AA$12:$AA$1011,0)</f>
        <v/>
      </c>
      <c r="AL15" s="13">
        <f>COUNTIFS($B$12:$B$1011,"testing",$C$12:$C$1011,1,$AA$12:$AA$1011,1)</f>
        <v/>
      </c>
      <c r="AM15">
        <f>AK15+AL15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$AE$12+D16*$AE$13+E16*$AE$14+F16*$AE$15+G16*$AE$16+H16*$AE$17+I16*$AE$18+J16*$AE$19+K16*$AE$20+L16*$AE$21+M16*$AE$22+N16*$AE$23+O16*$AE$24+P16*$AE$25+Q16*$AE$26+R16*$AE$27+S16*$AE$28+T16*$AE$29+U16*$AE$30</f>
        <v/>
      </c>
      <c r="W16" s="8">
        <f>1/(1+EXP(-V16))</f>
        <v/>
      </c>
      <c r="X16" s="9">
        <f>-IF(C16=1,LN(W16),LN(1-W16))</f>
        <v/>
      </c>
      <c r="Y16" s="8">
        <f>IF(C16=1,$AE$32,$AE$33)</f>
        <v/>
      </c>
      <c r="Z16" s="9">
        <f>Y16*X16</f>
        <v/>
      </c>
      <c r="AA16" s="10">
        <f>IF(W16&gt;$AE$34,1,0)</f>
        <v/>
      </c>
      <c r="AB16">
        <f>IF(AA16=C16,1,0)</f>
        <v/>
      </c>
      <c r="AD16" t="inlineStr">
        <is>
          <t>installment_pct_income</t>
        </is>
      </c>
      <c r="AE16" s="11" t="n">
        <v>0.2872157655933926</v>
      </c>
      <c r="AF16" s="12" t="n">
        <v>0.2861488708278809</v>
      </c>
      <c r="AI16" s="3" t="inlineStr">
        <is>
          <t>total</t>
        </is>
      </c>
      <c r="AK16">
        <f>AK14+AK15</f>
        <v/>
      </c>
      <c r="AL16">
        <f>AL14+AL15</f>
        <v/>
      </c>
      <c r="AM16">
        <f>AM14+AM15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$AE$12+D17*$AE$13+E17*$AE$14+F17*$AE$15+G17*$AE$16+H17*$AE$17+I17*$AE$18+J17*$AE$19+K17*$AE$20+L17*$AE$21+M17*$AE$22+N17*$AE$23+O17*$AE$24+P17*$AE$25+Q17*$AE$26+R17*$AE$27+S17*$AE$28+T17*$AE$29+U17*$AE$30</f>
        <v/>
      </c>
      <c r="W17" s="8">
        <f>1/(1+EXP(-V17))</f>
        <v/>
      </c>
      <c r="X17" s="9">
        <f>-IF(C17=1,LN(W17),LN(1-W17))</f>
        <v/>
      </c>
      <c r="Y17" s="8">
        <f>IF(C17=1,$AE$32,$AE$33)</f>
        <v/>
      </c>
      <c r="Z17" s="9">
        <f>Y17*X17</f>
        <v/>
      </c>
      <c r="AA17" s="10">
        <f>IF(W17&gt;$AE$34,1,0)</f>
        <v/>
      </c>
      <c r="AB17">
        <f>IF(AA17=C17,1,0)</f>
        <v/>
      </c>
      <c r="AD17" t="inlineStr">
        <is>
          <t>chk_negative</t>
        </is>
      </c>
      <c r="AE17" s="11" t="n">
        <v>1.546402670396991</v>
      </c>
      <c r="AF17" s="12" t="n">
        <v>1.573426085512225</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$AE$12+D18*$AE$13+E18*$AE$14+F18*$AE$15+G18*$AE$16+H18*$AE$17+I18*$AE$18+J18*$AE$19+K18*$AE$20+L18*$AE$21+M18*$AE$22+N18*$AE$23+O18*$AE$24+P18*$AE$25+Q18*$AE$26+R18*$AE$27+S18*$AE$28+T18*$AE$29+U18*$AE$30</f>
        <v/>
      </c>
      <c r="W18" s="8">
        <f>1/(1+EXP(-V18))</f>
        <v/>
      </c>
      <c r="X18" s="9">
        <f>-IF(C18=1,LN(W18),LN(1-W18))</f>
        <v/>
      </c>
      <c r="Y18" s="8">
        <f>IF(C18=1,$AE$32,$AE$33)</f>
        <v/>
      </c>
      <c r="Z18" s="9">
        <f>Y18*X18</f>
        <v/>
      </c>
      <c r="AA18" s="10">
        <f>IF(W18&gt;$AE$34,1,0)</f>
        <v/>
      </c>
      <c r="AB18">
        <f>IF(AA18=C18,1,0)</f>
        <v/>
      </c>
      <c r="AD18" t="inlineStr">
        <is>
          <t>chk_0_200</t>
        </is>
      </c>
      <c r="AE18" s="11" t="n">
        <v>1.294997779791349</v>
      </c>
      <c r="AF18" s="12" t="n">
        <v>1.339004953122463</v>
      </c>
      <c r="AI18" s="4" t="inlineStr"/>
      <c r="AJ18" s="4" t="inlineStr">
        <is>
          <t>precision</t>
        </is>
      </c>
      <c r="AK18" s="4" t="inlineStr">
        <is>
          <t>recall</t>
        </is>
      </c>
      <c r="AL18" s="4" t="inlineStr">
        <is>
          <t>f1-score</t>
        </is>
      </c>
      <c r="AM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$AE$12+D19*$AE$13+E19*$AE$14+F19*$AE$15+G19*$AE$16+H19*$AE$17+I19*$AE$18+J19*$AE$19+K19*$AE$20+L19*$AE$21+M19*$AE$22+N19*$AE$23+O19*$AE$24+P19*$AE$25+Q19*$AE$26+R19*$AE$27+S19*$AE$28+T19*$AE$29+U19*$AE$30</f>
        <v/>
      </c>
      <c r="W19" s="8">
        <f>1/(1+EXP(-V19))</f>
        <v/>
      </c>
      <c r="X19" s="9">
        <f>-IF(C19=1,LN(W19),LN(1-W19))</f>
        <v/>
      </c>
      <c r="Y19" s="8">
        <f>IF(C19=1,$AE$32,$AE$33)</f>
        <v/>
      </c>
      <c r="Z19" s="9">
        <f>Y19*X19</f>
        <v/>
      </c>
      <c r="AA19" s="10">
        <f>IF(W19&gt;$AE$34,1,0)</f>
        <v/>
      </c>
      <c r="AB19">
        <f>IF(AA19=C19,1,0)</f>
        <v/>
      </c>
      <c r="AD19" t="inlineStr">
        <is>
          <t>chk_over_200</t>
        </is>
      </c>
      <c r="AE19" s="11" t="n">
        <v>0.6683615861023957</v>
      </c>
      <c r="AF19" s="12" t="n">
        <v>0.7481003879848515</v>
      </c>
      <c r="AI19" s="3" t="inlineStr">
        <is>
          <t>class 0 (pays)</t>
        </is>
      </c>
      <c r="AJ19" s="14">
        <f>IF(AK14+AK15=0,0,AK14/(AK14+AK15))</f>
        <v/>
      </c>
      <c r="AK19" s="14">
        <f>IF(AK14+AL14=0,0,AK14/(AK14+AL14))</f>
        <v/>
      </c>
      <c r="AL19" s="14">
        <f>IF(AJ19+AK19=0,0,2*AJ19*AK19/(AJ19+AK19))</f>
        <v/>
      </c>
      <c r="AM19">
        <f>AM14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$AE$12+D20*$AE$13+E20*$AE$14+F20*$AE$15+G20*$AE$16+H20*$AE$17+I20*$AE$18+J20*$AE$19+K20*$AE$20+L20*$AE$21+M20*$AE$22+N20*$AE$23+O20*$AE$24+P20*$AE$25+Q20*$AE$26+R20*$AE$27+S20*$AE$28+T20*$AE$29+U20*$AE$30</f>
        <v/>
      </c>
      <c r="W20" s="8">
        <f>1/(1+EXP(-V20))</f>
        <v/>
      </c>
      <c r="X20" s="9">
        <f>-IF(C20=1,LN(W20),LN(1-W20))</f>
        <v/>
      </c>
      <c r="Y20" s="8">
        <f>IF(C20=1,$AE$32,$AE$33)</f>
        <v/>
      </c>
      <c r="Z20" s="9">
        <f>Y20*X20</f>
        <v/>
      </c>
      <c r="AA20" s="10">
        <f>IF(W20&gt;$AE$34,1,0)</f>
        <v/>
      </c>
      <c r="AB20">
        <f>IF(AA20=C20,1,0)</f>
        <v/>
      </c>
      <c r="AD20" t="inlineStr">
        <is>
          <t>hist_critical</t>
        </is>
      </c>
      <c r="AE20" s="11" t="n">
        <v>-0.6573449373610837</v>
      </c>
      <c r="AF20" s="12" t="n">
        <v>-0.6574662901843602</v>
      </c>
      <c r="AI20" s="3" t="inlineStr">
        <is>
          <t>class 1 (defaults)</t>
        </is>
      </c>
      <c r="AJ20" s="14">
        <f>IF(AL15+AL14=0,0,AL15/(AL15+AL14))</f>
        <v/>
      </c>
      <c r="AK20" s="14">
        <f>IF(AL15+AK15=0,0,AL15/(AL15+AK15))</f>
        <v/>
      </c>
      <c r="AL20" s="14">
        <f>IF(AJ20+AK20=0,0,2*AJ20*AK20/(AJ20+AK20))</f>
        <v/>
      </c>
      <c r="AM20">
        <f>AM15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$AE$12+D21*$AE$13+E21*$AE$14+F21*$AE$15+G21*$AE$16+H21*$AE$17+I21*$AE$18+J21*$AE$19+K21*$AE$20+L21*$AE$21+M21*$AE$22+N21*$AE$23+O21*$AE$24+P21*$AE$25+Q21*$AE$26+R21*$AE$27+S21*$AE$28+T21*$AE$29+U21*$AE$30</f>
        <v/>
      </c>
      <c r="W21" s="8">
        <f>1/(1+EXP(-V21))</f>
        <v/>
      </c>
      <c r="X21" s="9">
        <f>-IF(C21=1,LN(W21),LN(1-W21))</f>
        <v/>
      </c>
      <c r="Y21" s="8">
        <f>IF(C21=1,$AE$32,$AE$33)</f>
        <v/>
      </c>
      <c r="Z21" s="9">
        <f>Y21*X21</f>
        <v/>
      </c>
      <c r="AA21" s="10">
        <f>IF(W21&gt;$AE$34,1,0)</f>
        <v/>
      </c>
      <c r="AB21">
        <f>IF(AA21=C21,1,0)</f>
        <v/>
      </c>
      <c r="AD21" t="inlineStr">
        <is>
          <t>hist_delays</t>
        </is>
      </c>
      <c r="AE21" s="11" t="n">
        <v>-0.04019551911120235</v>
      </c>
      <c r="AF21" s="12" t="n">
        <v>-0.01456405654317391</v>
      </c>
      <c r="AI21" s="3" t="inlineStr">
        <is>
          <t>accuracy</t>
        </is>
      </c>
      <c r="AL21" s="14">
        <f>(AL15+AK14)/AM16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$AE$12+D22*$AE$13+E22*$AE$14+F22*$AE$15+G22*$AE$16+H22*$AE$17+I22*$AE$18+J22*$AE$19+K22*$AE$20+L22*$AE$21+M22*$AE$22+N22*$AE$23+O22*$AE$24+P22*$AE$25+Q22*$AE$26+R22*$AE$27+S22*$AE$28+T22*$AE$29+U22*$AE$30</f>
        <v/>
      </c>
      <c r="W22" s="8">
        <f>1/(1+EXP(-V22))</f>
        <v/>
      </c>
      <c r="X22" s="9">
        <f>-IF(C22=1,LN(W22),LN(1-W22))</f>
        <v/>
      </c>
      <c r="Y22" s="8">
        <f>IF(C22=1,$AE$32,$AE$33)</f>
        <v/>
      </c>
      <c r="Z22" s="9">
        <f>Y22*X22</f>
        <v/>
      </c>
      <c r="AA22" s="10">
        <f>IF(W22&gt;$AE$34,1,0)</f>
        <v/>
      </c>
      <c r="AB22">
        <f>IF(AA22=C22,1,0)</f>
        <v/>
      </c>
      <c r="AD22" t="inlineStr">
        <is>
          <t>hist_no_credits</t>
        </is>
      </c>
      <c r="AE22" s="11" t="n">
        <v>0.6690656278784681</v>
      </c>
      <c r="AF22" s="12" t="n">
        <v>0.6157666755208269</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$AE$12+D23*$AE$13+E23*$AE$14+F23*$AE$15+G23*$AE$16+H23*$AE$17+I23*$AE$18+J23*$AE$19+K23*$AE$20+L23*$AE$21+M23*$AE$22+N23*$AE$23+O23*$AE$24+P23*$AE$25+Q23*$AE$26+R23*$AE$27+S23*$AE$28+T23*$AE$29+U23*$AE$30</f>
        <v/>
      </c>
      <c r="W23" s="8">
        <f>1/(1+EXP(-V23))</f>
        <v/>
      </c>
      <c r="X23" s="9">
        <f>-IF(C23=1,LN(W23),LN(1-W23))</f>
        <v/>
      </c>
      <c r="Y23" s="8">
        <f>IF(C23=1,$AE$32,$AE$33)</f>
        <v/>
      </c>
      <c r="Z23" s="9">
        <f>Y23*X23</f>
        <v/>
      </c>
      <c r="AA23" s="10">
        <f>IF(W23&gt;$AE$34,1,0)</f>
        <v/>
      </c>
      <c r="AB23">
        <f>IF(AA23=C23,1,0)</f>
        <v/>
      </c>
      <c r="AD23" t="inlineStr">
        <is>
          <t>sav_100_1000</t>
        </is>
      </c>
      <c r="AE23" s="11" t="n">
        <v>-0.3895834298458181</v>
      </c>
      <c r="AF23" s="12" t="n">
        <v>-0.3320673348037096</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$AE$12+D24*$AE$13+E24*$AE$14+F24*$AE$15+G24*$AE$16+H24*$AE$17+I24*$AE$18+J24*$AE$19+K24*$AE$20+L24*$AE$21+M24*$AE$22+N24*$AE$23+O24*$AE$24+P24*$AE$25+Q24*$AE$26+R24*$AE$27+S24*$AE$28+T24*$AE$29+U24*$AE$30</f>
        <v/>
      </c>
      <c r="W24" s="8">
        <f>1/(1+EXP(-V24))</f>
        <v/>
      </c>
      <c r="X24" s="9">
        <f>-IF(C24=1,LN(W24),LN(1-W24))</f>
        <v/>
      </c>
      <c r="Y24" s="8">
        <f>IF(C24=1,$AE$32,$AE$33)</f>
        <v/>
      </c>
      <c r="Z24" s="9">
        <f>Y24*X24</f>
        <v/>
      </c>
      <c r="AA24" s="10">
        <f>IF(W24&gt;$AE$34,1,0)</f>
        <v/>
      </c>
      <c r="AB24">
        <f>IF(AA24=C24,1,0)</f>
        <v/>
      </c>
      <c r="AD24" t="inlineStr">
        <is>
          <t>sav_over_1000</t>
        </is>
      </c>
      <c r="AE24" s="11" t="n">
        <v>-0.8892238593761824</v>
      </c>
      <c r="AF24" s="12" t="n">
        <v>-0.7786412049884486</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$AE$12+D25*$AE$13+E25*$AE$14+F25*$AE$15+G25*$AE$16+H25*$AE$17+I25*$AE$18+J25*$AE$19+K25*$AE$20+L25*$AE$21+M25*$AE$22+N25*$AE$23+O25*$AE$24+P25*$AE$25+Q25*$AE$26+R25*$AE$27+S25*$AE$28+T25*$AE$29+U25*$AE$30</f>
        <v/>
      </c>
      <c r="W25" s="8">
        <f>1/(1+EXP(-V25))</f>
        <v/>
      </c>
      <c r="X25" s="9">
        <f>-IF(C25=1,LN(W25),LN(1-W25))</f>
        <v/>
      </c>
      <c r="Y25" s="8">
        <f>IF(C25=1,$AE$32,$AE$33)</f>
        <v/>
      </c>
      <c r="Z25" s="9">
        <f>Y25*X25</f>
        <v/>
      </c>
      <c r="AA25" s="10">
        <f>IF(W25&gt;$AE$34,1,0)</f>
        <v/>
      </c>
      <c r="AB25">
        <f>IF(AA25=C25,1,0)</f>
        <v/>
      </c>
      <c r="AD25" t="inlineStr">
        <is>
          <t>sav_unknown</t>
        </is>
      </c>
      <c r="AE25" s="11" t="n">
        <v>-1.076092926242446</v>
      </c>
      <c r="AF25" s="12" t="n">
        <v>-0.9745563244895521</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$AE$12+D26*$AE$13+E26*$AE$14+F26*$AE$15+G26*$AE$16+H26*$AE$17+I26*$AE$18+J26*$AE$19+K26*$AE$20+L26*$AE$21+M26*$AE$22+N26*$AE$23+O26*$AE$24+P26*$AE$25+Q26*$AE$26+R26*$AE$27+S26*$AE$28+T26*$AE$29+U26*$AE$30</f>
        <v/>
      </c>
      <c r="W26" s="8">
        <f>1/(1+EXP(-V26))</f>
        <v/>
      </c>
      <c r="X26" s="9">
        <f>-IF(C26=1,LN(W26),LN(1-W26))</f>
        <v/>
      </c>
      <c r="Y26" s="8">
        <f>IF(C26=1,$AE$32,$AE$33)</f>
        <v/>
      </c>
      <c r="Z26" s="9">
        <f>Y26*X26</f>
        <v/>
      </c>
      <c r="AA26" s="10">
        <f>IF(W26&gt;$AE$34,1,0)</f>
        <v/>
      </c>
      <c r="AB26">
        <f>IF(AA26=C26,1,0)</f>
        <v/>
      </c>
      <c r="AD26" t="inlineStr">
        <is>
          <t>housing_rent</t>
        </is>
      </c>
      <c r="AE26" s="11" t="n">
        <v>0.6538371780658356</v>
      </c>
      <c r="AF26" s="12" t="n">
        <v>0.6187353351834901</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$AE$12+D27*$AE$13+E27*$AE$14+F27*$AE$15+G27*$AE$16+H27*$AE$17+I27*$AE$18+J27*$AE$19+K27*$AE$20+L27*$AE$21+M27*$AE$22+N27*$AE$23+O27*$AE$24+P27*$AE$25+Q27*$AE$26+R27*$AE$27+S27*$AE$28+T27*$AE$29+U27*$AE$30</f>
        <v/>
      </c>
      <c r="W27" s="8">
        <f>1/(1+EXP(-V27))</f>
        <v/>
      </c>
      <c r="X27" s="9">
        <f>-IF(C27=1,LN(W27),LN(1-W27))</f>
        <v/>
      </c>
      <c r="Y27" s="8">
        <f>IF(C27=1,$AE$32,$AE$33)</f>
        <v/>
      </c>
      <c r="Z27" s="9">
        <f>Y27*X27</f>
        <v/>
      </c>
      <c r="AA27" s="10">
        <f>IF(W27&gt;$AE$34,1,0)</f>
        <v/>
      </c>
      <c r="AB27">
        <f>IF(AA27=C27,1,0)</f>
        <v/>
      </c>
      <c r="AD27" t="inlineStr">
        <is>
          <t>housing_free</t>
        </is>
      </c>
      <c r="AE27" s="11" t="n">
        <v>0.1953653579159878</v>
      </c>
      <c r="AF27" s="12" t="n">
        <v>0.231051958767676</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$AE$12+D28*$AE$13+E28*$AE$14+F28*$AE$15+G28*$AE$16+H28*$AE$17+I28*$AE$18+J28*$AE$19+K28*$AE$20+L28*$AE$21+M28*$AE$22+N28*$AE$23+O28*$AE$24+P28*$AE$25+Q28*$AE$26+R28*$AE$27+S28*$AE$28+T28*$AE$29+U28*$AE$30</f>
        <v/>
      </c>
      <c r="W28" s="8">
        <f>1/(1+EXP(-V28))</f>
        <v/>
      </c>
      <c r="X28" s="9">
        <f>-IF(C28=1,LN(W28),LN(1-W28))</f>
        <v/>
      </c>
      <c r="Y28" s="8">
        <f>IF(C28=1,$AE$32,$AE$33)</f>
        <v/>
      </c>
      <c r="Z28" s="9">
        <f>Y28*X28</f>
        <v/>
      </c>
      <c r="AA28" s="10">
        <f>IF(W28&gt;$AE$34,1,0)</f>
        <v/>
      </c>
      <c r="AB28">
        <f>IF(AA28=C28,1,0)</f>
        <v/>
      </c>
      <c r="AD28" t="inlineStr">
        <is>
          <t>purpose_car</t>
        </is>
      </c>
      <c r="AE28" s="11" t="n">
        <v>-0.08016547581790479</v>
      </c>
      <c r="AF28" s="12" t="n">
        <v>-0.1659678833127712</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$AE$12+D29*$AE$13+E29*$AE$14+F29*$AE$15+G29*$AE$16+H29*$AE$17+I29*$AE$18+J29*$AE$19+K29*$AE$20+L29*$AE$21+M29*$AE$22+N29*$AE$23+O29*$AE$24+P29*$AE$25+Q29*$AE$26+R29*$AE$27+S29*$AE$28+T29*$AE$29+U29*$AE$30</f>
        <v/>
      </c>
      <c r="W29" s="8">
        <f>1/(1+EXP(-V29))</f>
        <v/>
      </c>
      <c r="X29" s="9">
        <f>-IF(C29=1,LN(W29),LN(1-W29))</f>
        <v/>
      </c>
      <c r="Y29" s="8">
        <f>IF(C29=1,$AE$32,$AE$33)</f>
        <v/>
      </c>
      <c r="Z29" s="9">
        <f>Y29*X29</f>
        <v/>
      </c>
      <c r="AA29" s="10">
        <f>IF(W29&gt;$AE$34,1,0)</f>
        <v/>
      </c>
      <c r="AB29">
        <f>IF(AA29=C29,1,0)</f>
        <v/>
      </c>
      <c r="AD29" t="inlineStr">
        <is>
          <t>purpose_radio_tv</t>
        </is>
      </c>
      <c r="AE29" s="11" t="n">
        <v>-0.5202106472417524</v>
      </c>
      <c r="AF29" s="12" t="n">
        <v>-0.5989357633078456</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$AE$12+D30*$AE$13+E30*$AE$14+F30*$AE$15+G30*$AE$16+H30*$AE$17+I30*$AE$18+J30*$AE$19+K30*$AE$20+L30*$AE$21+M30*$AE$22+N30*$AE$23+O30*$AE$24+P30*$AE$25+Q30*$AE$26+R30*$AE$27+S30*$AE$28+T30*$AE$29+U30*$AE$30</f>
        <v/>
      </c>
      <c r="W30" s="8">
        <f>1/(1+EXP(-V30))</f>
        <v/>
      </c>
      <c r="X30" s="9">
        <f>-IF(C30=1,LN(W30),LN(1-W30))</f>
        <v/>
      </c>
      <c r="Y30" s="8">
        <f>IF(C30=1,$AE$32,$AE$33)</f>
        <v/>
      </c>
      <c r="Z30" s="9">
        <f>Y30*X30</f>
        <v/>
      </c>
      <c r="AA30" s="10">
        <f>IF(W30&gt;$AE$34,1,0)</f>
        <v/>
      </c>
      <c r="AB30">
        <f>IF(AA30=C30,1,0)</f>
        <v/>
      </c>
      <c r="AD30" t="inlineStr">
        <is>
          <t>purpose_furniture</t>
        </is>
      </c>
      <c r="AE30" s="11" t="n">
        <v>-0.2818027438096851</v>
      </c>
      <c r="AF30" s="12" t="n">
        <v>-0.3109583028483651</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$AE$12+D31*$AE$13+E31*$AE$14+F31*$AE$15+G31*$AE$16+H31*$AE$17+I31*$AE$18+J31*$AE$19+K31*$AE$20+L31*$AE$21+M31*$AE$22+N31*$AE$23+O31*$AE$24+P31*$AE$25+Q31*$AE$26+R31*$AE$27+S31*$AE$28+T31*$AE$29+U31*$AE$30</f>
        <v/>
      </c>
      <c r="W31" s="8">
        <f>1/(1+EXP(-V31))</f>
        <v/>
      </c>
      <c r="X31" s="9">
        <f>-IF(C31=1,LN(W31),LN(1-W31))</f>
        <v/>
      </c>
      <c r="Y31" s="8">
        <f>IF(C31=1,$AE$32,$AE$33)</f>
        <v/>
      </c>
      <c r="Z31" s="9">
        <f>Y31*X31</f>
        <v/>
      </c>
      <c r="AA31" s="10">
        <f>IF(W31&gt;$AE$34,1,0)</f>
        <v/>
      </c>
      <c r="AB31">
        <f>IF(AA31=C31,1,0)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$AE$12+D32*$AE$13+E32*$AE$14+F32*$AE$15+G32*$AE$16+H32*$AE$17+I32*$AE$18+J32*$AE$19+K32*$AE$20+L32*$AE$21+M32*$AE$22+N32*$AE$23+O32*$AE$24+P32*$AE$25+Q32*$AE$26+R32*$AE$27+S32*$AE$28+T32*$AE$29+U32*$AE$30</f>
        <v/>
      </c>
      <c r="W32" s="8">
        <f>1/(1+EXP(-V32))</f>
        <v/>
      </c>
      <c r="X32" s="9">
        <f>-IF(C32=1,LN(W32),LN(1-W32))</f>
        <v/>
      </c>
      <c r="Y32" s="8">
        <f>IF(C32=1,$AE$32,$AE$33)</f>
        <v/>
      </c>
      <c r="Z32" s="9">
        <f>Y32*X32</f>
        <v/>
      </c>
      <c r="AA32" s="10">
        <f>IF(W32&gt;$AE$34,1,0)</f>
        <v/>
      </c>
      <c r="AB32">
        <f>IF(AA32=C32,1,0)</f>
        <v/>
      </c>
      <c r="AD32" s="3" t="inlineStr">
        <is>
          <t>weight of class 1 (defaulter), w1</t>
        </is>
      </c>
      <c r="AE32" s="20">
        <f>700/(2*210)</f>
        <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$AE$12+D33*$AE$13+E33*$AE$14+F33*$AE$15+G33*$AE$16+H33*$AE$17+I33*$AE$18+J33*$AE$19+K33*$AE$20+L33*$AE$21+M33*$AE$22+N33*$AE$23+O33*$AE$24+P33*$AE$25+Q33*$AE$26+R33*$AE$27+S33*$AE$28+T33*$AE$29+U33*$AE$30</f>
        <v/>
      </c>
      <c r="W33" s="8">
        <f>1/(1+EXP(-V33))</f>
        <v/>
      </c>
      <c r="X33" s="9">
        <f>-IF(C33=1,LN(W33),LN(1-W33))</f>
        <v/>
      </c>
      <c r="Y33" s="8">
        <f>IF(C33=1,$AE$32,$AE$33)</f>
        <v/>
      </c>
      <c r="Z33" s="9">
        <f>Y33*X33</f>
        <v/>
      </c>
      <c r="AA33" s="10">
        <f>IF(W33&gt;$AE$34,1,0)</f>
        <v/>
      </c>
      <c r="AB33">
        <f>IF(AA33=C33,1,0)</f>
        <v/>
      </c>
      <c r="AD33" s="3" t="inlineStr">
        <is>
          <t>weight of class 0 (good payer), w0</t>
        </is>
      </c>
      <c r="AE33" s="20">
        <f>700/(2*490)</f>
        <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$AE$12+D34*$AE$13+E34*$AE$14+F34*$AE$15+G34*$AE$16+H34*$AE$17+I34*$AE$18+J34*$AE$19+K34*$AE$20+L34*$AE$21+M34*$AE$22+N34*$AE$23+O34*$AE$24+P34*$AE$25+Q34*$AE$26+R34*$AE$27+S34*$AE$28+T34*$AE$29+U34*$AE$30</f>
        <v/>
      </c>
      <c r="W34" s="8">
        <f>1/(1+EXP(-V34))</f>
        <v/>
      </c>
      <c r="X34" s="9">
        <f>-IF(C34=1,LN(W34),LN(1-W34))</f>
        <v/>
      </c>
      <c r="Y34" s="8">
        <f>IF(C34=1,$AE$32,$AE$33)</f>
        <v/>
      </c>
      <c r="Z34" s="9">
        <f>Y34*X34</f>
        <v/>
      </c>
      <c r="AA34" s="10">
        <f>IF(W34&gt;$AE$34,1,0)</f>
        <v/>
      </c>
      <c r="AB34">
        <f>IF(AA34=C34,1,0)</f>
        <v/>
      </c>
      <c r="AD34" s="3" t="inlineStr">
        <is>
          <t>threshold</t>
        </is>
      </c>
      <c r="AE34" s="15" t="n">
        <v>0.5</v>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$AE$12+D35*$AE$13+E35*$AE$14+F35*$AE$15+G35*$AE$16+H35*$AE$17+I35*$AE$18+J35*$AE$19+K35*$AE$20+L35*$AE$21+M35*$AE$22+N35*$AE$23+O35*$AE$24+P35*$AE$25+Q35*$AE$26+R35*$AE$27+S35*$AE$28+T35*$AE$29+U35*$AE$30</f>
        <v/>
      </c>
      <c r="W35" s="8">
        <f>1/(1+EXP(-V35))</f>
        <v/>
      </c>
      <c r="X35" s="9">
        <f>-IF(C35=1,LN(W35),LN(1-W35))</f>
        <v/>
      </c>
      <c r="Y35" s="8">
        <f>IF(C35=1,$AE$32,$AE$33)</f>
        <v/>
      </c>
      <c r="Z35" s="9">
        <f>Y35*X35</f>
        <v/>
      </c>
      <c r="AA35" s="10">
        <f>IF(W35&gt;$AE$34,1,0)</f>
        <v/>
      </c>
      <c r="AB35">
        <f>IF(AA35=C35,1,0)</f>
        <v/>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$AE$12+D36*$AE$13+E36*$AE$14+F36*$AE$15+G36*$AE$16+H36*$AE$17+I36*$AE$18+J36*$AE$19+K36*$AE$20+L36*$AE$21+M36*$AE$22+N36*$AE$23+O36*$AE$24+P36*$AE$25+Q36*$AE$26+R36*$AE$27+S36*$AE$28+T36*$AE$29+U36*$AE$30</f>
        <v/>
      </c>
      <c r="W36" s="8">
        <f>1/(1+EXP(-V36))</f>
        <v/>
      </c>
      <c r="X36" s="9">
        <f>-IF(C36=1,LN(W36),LN(1-W36))</f>
        <v/>
      </c>
      <c r="Y36" s="8">
        <f>IF(C36=1,$AE$32,$AE$33)</f>
        <v/>
      </c>
      <c r="Z36" s="9">
        <f>Y36*X36</f>
        <v/>
      </c>
      <c r="AA36" s="10">
        <f>IF(W36&gt;$AE$34,1,0)</f>
        <v/>
      </c>
      <c r="AB36">
        <f>IF(AA36=C36,1,0)</f>
        <v/>
      </c>
      <c r="AD36" s="3" t="inlineStr">
        <is>
          <t>RESULTS</t>
        </is>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$AE$12+D37*$AE$13+E37*$AE$14+F37*$AE$15+G37*$AE$16+H37*$AE$17+I37*$AE$18+J37*$AE$19+K37*$AE$20+L37*$AE$21+M37*$AE$22+N37*$AE$23+O37*$AE$24+P37*$AE$25+Q37*$AE$26+R37*$AE$27+S37*$AE$28+T37*$AE$29+U37*$AE$30</f>
        <v/>
      </c>
      <c r="W37" s="8">
        <f>1/(1+EXP(-V37))</f>
        <v/>
      </c>
      <c r="X37" s="9">
        <f>-IF(C37=1,LN(W37),LN(1-W37))</f>
        <v/>
      </c>
      <c r="Y37" s="8">
        <f>IF(C37=1,$AE$32,$AE$33)</f>
        <v/>
      </c>
      <c r="Z37" s="9">
        <f>Y37*X37</f>
        <v/>
      </c>
      <c r="AA37" s="10">
        <f>IF(W37&gt;$AE$34,1,0)</f>
        <v/>
      </c>
      <c r="AB37">
        <f>IF(AA37=C37,1,0)</f>
        <v/>
      </c>
      <c r="AD37" t="inlineStr">
        <is>
          <t>J = sum of weighted training losses (SOLVER OBJECTIVE)</t>
        </is>
      </c>
      <c r="AE37" s="16">
        <f>SUMPRODUCT(($B$12:$B$1011="training")*$Z$12:$Z$1011)</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$AE$12+D38*$AE$13+E38*$AE$14+F38*$AE$15+G38*$AE$16+H38*$AE$17+I38*$AE$18+J38*$AE$19+K38*$AE$20+L38*$AE$21+M38*$AE$22+N38*$AE$23+O38*$AE$24+P38*$AE$25+Q38*$AE$26+R38*$AE$27+S38*$AE$28+T38*$AE$29+U38*$AE$30</f>
        <v/>
      </c>
      <c r="W38" s="8">
        <f>1/(1+EXP(-V38))</f>
        <v/>
      </c>
      <c r="X38" s="9">
        <f>-IF(C38=1,LN(W38),LN(1-W38))</f>
        <v/>
      </c>
      <c r="Y38" s="8">
        <f>IF(C38=1,$AE$32,$AE$33)</f>
        <v/>
      </c>
      <c r="Z38" s="9">
        <f>Y38*X38</f>
        <v/>
      </c>
      <c r="AA38" s="10">
        <f>IF(W38&gt;$AE$34,1,0)</f>
        <v/>
      </c>
      <c r="AB38">
        <f>IF(AA38=C38,1,0)</f>
        <v/>
      </c>
      <c r="AD38" t="inlineStr">
        <is>
          <t>sum of row weights in training</t>
        </is>
      </c>
      <c r="AE38" s="17">
        <f>SUMPRODUCT(($B$12:$B$1011="training")*$Y$12:$Y$1011)</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$AE$12+D39*$AE$13+E39*$AE$14+F39*$AE$15+G39*$AE$16+H39*$AE$17+I39*$AE$18+J39*$AE$19+K39*$AE$20+L39*$AE$21+M39*$AE$22+N39*$AE$23+O39*$AE$24+P39*$AE$25+Q39*$AE$26+R39*$AE$27+S39*$AE$28+T39*$AE$29+U39*$AE$30</f>
        <v/>
      </c>
      <c r="W39" s="8">
        <f>1/(1+EXP(-V39))</f>
        <v/>
      </c>
      <c r="X39" s="9">
        <f>-IF(C39=1,LN(W39),LN(1-W39))</f>
        <v/>
      </c>
      <c r="Y39" s="8">
        <f>IF(C39=1,$AE$32,$AE$33)</f>
        <v/>
      </c>
      <c r="Z39" s="9">
        <f>Y39*X39</f>
        <v/>
      </c>
      <c r="AA39" s="10">
        <f>IF(W39&gt;$AE$34,1,0)</f>
        <v/>
      </c>
      <c r="AB39">
        <f>IF(AA39=C39,1,0)</f>
        <v/>
      </c>
      <c r="AD39" t="inlineStr">
        <is>
          <t>of which, class 1</t>
        </is>
      </c>
      <c r="AE39" s="17">
        <f>SUMPRODUCT(($B$12:$B$1011="training")*($C$12:$C$1011=1)*$Y$12:$Y$1011)</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$AE$12+D40*$AE$13+E40*$AE$14+F40*$AE$15+G40*$AE$16+H40*$AE$17+I40*$AE$18+J40*$AE$19+K40*$AE$20+L40*$AE$21+M40*$AE$22+N40*$AE$23+O40*$AE$24+P40*$AE$25+Q40*$AE$26+R40*$AE$27+S40*$AE$28+T40*$AE$29+U40*$AE$30</f>
        <v/>
      </c>
      <c r="W40" s="8">
        <f>1/(1+EXP(-V40))</f>
        <v/>
      </c>
      <c r="X40" s="9">
        <f>-IF(C40=1,LN(W40),LN(1-W40))</f>
        <v/>
      </c>
      <c r="Y40" s="8">
        <f>IF(C40=1,$AE$32,$AE$33)</f>
        <v/>
      </c>
      <c r="Z40" s="9">
        <f>Y40*X40</f>
        <v/>
      </c>
      <c r="AA40" s="10">
        <f>IF(W40&gt;$AE$34,1,0)</f>
        <v/>
      </c>
      <c r="AB40">
        <f>IF(AA40=C40,1,0)</f>
        <v/>
      </c>
      <c r="AD40" t="inlineStr">
        <is>
          <t>of which, class 0</t>
        </is>
      </c>
      <c r="AE40" s="17">
        <f>SUMPRODUCT(($B$12:$B$1011="training")*($C$12:$C$1011=0)*$Y$12:$Y$1011)</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$AE$12+D41*$AE$13+E41*$AE$14+F41*$AE$15+G41*$AE$16+H41*$AE$17+I41*$AE$18+J41*$AE$19+K41*$AE$20+L41*$AE$21+M41*$AE$22+N41*$AE$23+O41*$AE$24+P41*$AE$25+Q41*$AE$26+R41*$AE$27+S41*$AE$28+T41*$AE$29+U41*$AE$30</f>
        <v/>
      </c>
      <c r="W41" s="8">
        <f>1/(1+EXP(-V41))</f>
        <v/>
      </c>
      <c r="X41" s="9">
        <f>-IF(C41=1,LN(W41),LN(1-W41))</f>
        <v/>
      </c>
      <c r="Y41" s="8">
        <f>IF(C41=1,$AE$32,$AE$33)</f>
        <v/>
      </c>
      <c r="Z41" s="9">
        <f>Y41*X41</f>
        <v/>
      </c>
      <c r="AA41" s="10">
        <f>IF(W41&gt;$AE$34,1,0)</f>
        <v/>
      </c>
      <c r="AB41">
        <f>IF(AA41=C41,1,0)</f>
        <v/>
      </c>
      <c r="AD41" t="inlineStr">
        <is>
          <t>average testing loss (unweighted)</t>
        </is>
      </c>
      <c r="AE41" s="18">
        <f>SUMPRODUCT(($B$12:$B$1011="testing")*$X$12:$X$1011)/COUNTIF($B$12:$B$1011,"testing")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$AE$12+D42*$AE$13+E42*$AE$14+F42*$AE$15+G42*$AE$16+H42*$AE$17+I42*$AE$18+J42*$AE$19+K42*$AE$20+L42*$AE$21+M42*$AE$22+N42*$AE$23+O42*$AE$24+P42*$AE$25+Q42*$AE$26+R42*$AE$27+S42*$AE$28+T42*$AE$29+U42*$AE$30</f>
        <v/>
      </c>
      <c r="W42" s="8">
        <f>1/(1+EXP(-V42))</f>
        <v/>
      </c>
      <c r="X42" s="9">
        <f>-IF(C42=1,LN(W42),LN(1-W42))</f>
        <v/>
      </c>
      <c r="Y42" s="8">
        <f>IF(C42=1,$AE$32,$AE$33)</f>
        <v/>
      </c>
      <c r="Z42" s="9">
        <f>Y42*X42</f>
        <v/>
      </c>
      <c r="AA42" s="10">
        <f>IF(W42&gt;$AE$34,1,0)</f>
        <v/>
      </c>
      <c r="AB42">
        <f>IF(AA42=C42,1,0)</f>
        <v/>
      </c>
      <c r="AD42" t="inlineStr">
        <is>
          <t>average p on testing (the actual rate is 0.300)</t>
        </is>
      </c>
      <c r="AE42" s="14">
        <f>SUMPRODUCT(($B$12:$B$1011="testing")*$W$12:$W$1011)/COUNTIF($B$12:$B$1011,"testing")</f>
        <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$AE$12+D43*$AE$13+E43*$AE$14+F43*$AE$15+G43*$AE$16+H43*$AE$17+I43*$AE$18+J43*$AE$19+K43*$AE$20+L43*$AE$21+M43*$AE$22+N43*$AE$23+O43*$AE$24+P43*$AE$25+Q43*$AE$26+R43*$AE$27+S43*$AE$28+T43*$AE$29+U43*$AE$30</f>
        <v/>
      </c>
      <c r="W43" s="8">
        <f>1/(1+EXP(-V43))</f>
        <v/>
      </c>
      <c r="X43" s="9">
        <f>-IF(C43=1,LN(W43),LN(1-W43))</f>
        <v/>
      </c>
      <c r="Y43" s="8">
        <f>IF(C43=1,$AE$32,$AE$33)</f>
        <v/>
      </c>
      <c r="Z43" s="9">
        <f>Y43*X43</f>
        <v/>
      </c>
      <c r="AA43" s="10">
        <f>IF(W43&gt;$AE$34,1,0)</f>
        <v/>
      </c>
      <c r="AB43">
        <f>IF(AA43=C43,1,0)</f>
        <v/>
      </c>
      <c r="AD43" t="inlineStr">
        <is>
          <t>testing accuracy</t>
        </is>
      </c>
      <c r="AE43" s="19">
        <f>SUMPRODUCT(($B$12:$B$1011="testing")*$AB$12:$AB$1011)/COUNTIF($B$12:$B$1011,"testing")</f>
        <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$AE$12+D44*$AE$13+E44*$AE$14+F44*$AE$15+G44*$AE$16+H44*$AE$17+I44*$AE$18+J44*$AE$19+K44*$AE$20+L44*$AE$21+M44*$AE$22+N44*$AE$23+O44*$AE$24+P44*$AE$25+Q44*$AE$26+R44*$AE$27+S44*$AE$28+T44*$AE$29+U44*$AE$30</f>
        <v/>
      </c>
      <c r="W44" s="8">
        <f>1/(1+EXP(-V44))</f>
        <v/>
      </c>
      <c r="X44" s="9">
        <f>-IF(C44=1,LN(W44),LN(1-W44))</f>
        <v/>
      </c>
      <c r="Y44" s="8">
        <f>IF(C44=1,$AE$32,$AE$33)</f>
        <v/>
      </c>
      <c r="Z44" s="9">
        <f>Y44*X44</f>
        <v/>
      </c>
      <c r="AA44" s="10">
        <f>IF(W44&gt;$AE$34,1,0)</f>
        <v/>
      </c>
      <c r="AB44">
        <f>IF(AA44=C44,1,0)</f>
        <v/>
      </c>
      <c r="AD44" t="inlineStr">
        <is>
          <t>scikit-learn reference: class 1 recall on testing (threshold 0.5)</t>
        </is>
      </c>
      <c r="AE44" s="6" t="n">
        <v>0.8555555555555555</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$AE$12+D45*$AE$13+E45*$AE$14+F45*$AE$15+G45*$AE$16+H45*$AE$17+I45*$AE$18+J45*$AE$19+K45*$AE$20+L45*$AE$21+M45*$AE$22+N45*$AE$23+O45*$AE$24+P45*$AE$25+Q45*$AE$26+R45*$AE$27+S45*$AE$28+T45*$AE$29+U45*$AE$30</f>
        <v/>
      </c>
      <c r="W45" s="8">
        <f>1/(1+EXP(-V45))</f>
        <v/>
      </c>
      <c r="X45" s="9">
        <f>-IF(C45=1,LN(W45),LN(1-W45))</f>
        <v/>
      </c>
      <c r="Y45" s="8">
        <f>IF(C45=1,$AE$32,$AE$33)</f>
        <v/>
      </c>
      <c r="Z45" s="9">
        <f>Y45*X45</f>
        <v/>
      </c>
      <c r="AA45" s="10">
        <f>IF(W45&gt;$AE$34,1,0)</f>
        <v/>
      </c>
      <c r="AB45">
        <f>IF(AA45=C45,1,0)</f>
        <v/>
      </c>
      <c r="AD45" t="inlineStr">
        <is>
          <t>scikit-learn reference: class 1 precision on testing</t>
        </is>
      </c>
      <c r="AE45" s="6" t="n">
        <v>0.5273972602739726</v>
      </c>
    </row>
    <row r="46">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$AE$12+D46*$AE$13+E46*$AE$14+F46*$AE$15+G46*$AE$16+H46*$AE$17+I46*$AE$18+J46*$AE$19+K46*$AE$20+L46*$AE$21+M46*$AE$22+N46*$AE$23+O46*$AE$24+P46*$AE$25+Q46*$AE$26+R46*$AE$27+S46*$AE$28+T46*$AE$29+U46*$AE$30</f>
        <v/>
      </c>
      <c r="W46" s="8">
        <f>1/(1+EXP(-V46))</f>
        <v/>
      </c>
      <c r="X46" s="9">
        <f>-IF(C46=1,LN(W46),LN(1-W46))</f>
        <v/>
      </c>
      <c r="Y46" s="8">
        <f>IF(C46=1,$AE$32,$AE$33)</f>
        <v/>
      </c>
      <c r="Z46" s="9">
        <f>Y46*X46</f>
        <v/>
      </c>
      <c r="AA46" s="10">
        <f>IF(W46&gt;$AE$34,1,0)</f>
        <v/>
      </c>
      <c r="AB46">
        <f>IF(AA46=C46,1,0)</f>
        <v/>
      </c>
      <c r="AD46" t="inlineStr">
        <is>
          <t>scikit-learn reference: testing AUC</t>
        </is>
      </c>
      <c r="AE46" s="6" t="n">
        <v>0.8239153439153439</v>
      </c>
    </row>
    <row r="47">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$AE$12+D47*$AE$13+E47*$AE$14+F47*$AE$15+G47*$AE$16+H47*$AE$17+I47*$AE$18+J47*$AE$19+K47*$AE$20+L47*$AE$21+M47*$AE$22+N47*$AE$23+O47*$AE$24+P47*$AE$25+Q47*$AE$26+R47*$AE$27+S47*$AE$28+T47*$AE$29+U47*$AE$30</f>
        <v/>
      </c>
      <c r="W47" s="8">
        <f>1/(1+EXP(-V47))</f>
        <v/>
      </c>
      <c r="X47" s="9">
        <f>-IF(C47=1,LN(W47),LN(1-W47))</f>
        <v/>
      </c>
      <c r="Y47" s="8">
        <f>IF(C47=1,$AE$32,$AE$33)</f>
        <v/>
      </c>
      <c r="Z47" s="9">
        <f>Y47*X47</f>
        <v/>
      </c>
      <c r="AA47" s="10">
        <f>IF(W47&gt;$AE$34,1,0)</f>
        <v/>
      </c>
      <c r="AB47">
        <f>IF(AA47=C47,1,0)</f>
        <v/>
      </c>
    </row>
    <row r="48" ht="62" customHeight="1">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$AE$12+D48*$AE$13+E48*$AE$14+F48*$AE$15+G48*$AE$16+H48*$AE$17+I48*$AE$18+J48*$AE$19+K48*$AE$20+L48*$AE$21+M48*$AE$22+N48*$AE$23+O48*$AE$24+P48*$AE$25+Q48*$AE$26+R48*$AE$27+S48*$AE$28+T48*$AE$29+U48*$AE$30</f>
        <v/>
      </c>
      <c r="W48" s="8">
        <f>1/(1+EXP(-V48))</f>
        <v/>
      </c>
      <c r="X48" s="9">
        <f>-IF(C48=1,LN(W48),LN(1-W48))</f>
        <v/>
      </c>
      <c r="Y48" s="8">
        <f>IF(C48=1,$AE$32,$AE$33)</f>
        <v/>
      </c>
      <c r="Z48" s="9">
        <f>Y48*X48</f>
        <v/>
      </c>
      <c r="AA48" s="10">
        <f>IF(W48&gt;$AE$34,1,0)</f>
        <v/>
      </c>
      <c r="AB48">
        <f>IF(AA48=C48,1,0)</f>
        <v/>
      </c>
      <c r="AD48" s="2" t="inlineStr">
        <is>
          <t>Solver: minimize J by changing the light blue model weight cells (not the class weight cells), GRG Nonlinear, central derivatives, convergence 0.000001, no constraints and with 'Make Unconstrained Variables Non-Negative' UNTICKED. Run twice if it stops early.</t>
        </is>
      </c>
    </row>
    <row r="49">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$AE$12+D49*$AE$13+E49*$AE$14+F49*$AE$15+G49*$AE$16+H49*$AE$17+I49*$AE$18+J49*$AE$19+K49*$AE$20+L49*$AE$21+M49*$AE$22+N49*$AE$23+O49*$AE$24+P49*$AE$25+Q49*$AE$26+R49*$AE$27+S49*$AE$28+T49*$AE$29+U49*$AE$30</f>
        <v/>
      </c>
      <c r="W49" s="8">
        <f>1/(1+EXP(-V49))</f>
        <v/>
      </c>
      <c r="X49" s="9">
        <f>-IF(C49=1,LN(W49),LN(1-W49))</f>
        <v/>
      </c>
      <c r="Y49" s="8">
        <f>IF(C49=1,$AE$32,$AE$33)</f>
        <v/>
      </c>
      <c r="Z49" s="9">
        <f>Y49*X49</f>
        <v/>
      </c>
      <c r="AA49" s="10">
        <f>IF(W49&gt;$AE$34,1,0)</f>
        <v/>
      </c>
      <c r="AB49">
        <f>IF(AA49=C49,1,0)</f>
        <v/>
      </c>
    </row>
    <row r="50">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$AE$12+D50*$AE$13+E50*$AE$14+F50*$AE$15+G50*$AE$16+H50*$AE$17+I50*$AE$18+J50*$AE$19+K50*$AE$20+L50*$AE$21+M50*$AE$22+N50*$AE$23+O50*$AE$24+P50*$AE$25+Q50*$AE$26+R50*$AE$27+S50*$AE$28+T50*$AE$29+U50*$AE$30</f>
        <v/>
      </c>
      <c r="W50" s="8">
        <f>1/(1+EXP(-V50))</f>
        <v/>
      </c>
      <c r="X50" s="9">
        <f>-IF(C50=1,LN(W50),LN(1-W50))</f>
        <v/>
      </c>
      <c r="Y50" s="8">
        <f>IF(C50=1,$AE$32,$AE$33)</f>
        <v/>
      </c>
      <c r="Z50" s="9">
        <f>Y50*X50</f>
        <v/>
      </c>
      <c r="AA50" s="10">
        <f>IF(W50&gt;$AE$34,1,0)</f>
        <v/>
      </c>
      <c r="AB50">
        <f>IF(AA50=C50,1,0)</f>
        <v/>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$AE$12+D51*$AE$13+E51*$AE$14+F51*$AE$15+G51*$AE$16+H51*$AE$17+I51*$AE$18+J51*$AE$19+K51*$AE$20+L51*$AE$21+M51*$AE$22+N51*$AE$23+O51*$AE$24+P51*$AE$25+Q51*$AE$26+R51*$AE$27+S51*$AE$28+T51*$AE$29+U51*$AE$30</f>
        <v/>
      </c>
      <c r="W51" s="8">
        <f>1/(1+EXP(-V51))</f>
        <v/>
      </c>
      <c r="X51" s="9">
        <f>-IF(C51=1,LN(W51),LN(1-W51))</f>
        <v/>
      </c>
      <c r="Y51" s="8">
        <f>IF(C51=1,$AE$32,$AE$33)</f>
        <v/>
      </c>
      <c r="Z51" s="9">
        <f>Y51*X51</f>
        <v/>
      </c>
      <c r="AA51" s="10">
        <f>IF(W51&gt;$AE$34,1,0)</f>
        <v/>
      </c>
      <c r="AB51">
        <f>IF(AA51=C51,1,0)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$AE$12+D52*$AE$13+E52*$AE$14+F52*$AE$15+G52*$AE$16+H52*$AE$17+I52*$AE$18+J52*$AE$19+K52*$AE$20+L52*$AE$21+M52*$AE$22+N52*$AE$23+O52*$AE$24+P52*$AE$25+Q52*$AE$26+R52*$AE$27+S52*$AE$28+T52*$AE$29+U52*$AE$30</f>
        <v/>
      </c>
      <c r="W52" s="8">
        <f>1/(1+EXP(-V52))</f>
        <v/>
      </c>
      <c r="X52" s="9">
        <f>-IF(C52=1,LN(W52),LN(1-W52))</f>
        <v/>
      </c>
      <c r="Y52" s="8">
        <f>IF(C52=1,$AE$32,$AE$33)</f>
        <v/>
      </c>
      <c r="Z52" s="9">
        <f>Y52*X52</f>
        <v/>
      </c>
      <c r="AA52" s="10">
        <f>IF(W52&gt;$AE$34,1,0)</f>
        <v/>
      </c>
      <c r="AB52">
        <f>IF(AA52=C52,1,0)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$AE$12+D53*$AE$13+E53*$AE$14+F53*$AE$15+G53*$AE$16+H53*$AE$17+I53*$AE$18+J53*$AE$19+K53*$AE$20+L53*$AE$21+M53*$AE$22+N53*$AE$23+O53*$AE$24+P53*$AE$25+Q53*$AE$26+R53*$AE$27+S53*$AE$28+T53*$AE$29+U53*$AE$30</f>
        <v/>
      </c>
      <c r="W53" s="8">
        <f>1/(1+EXP(-V53))</f>
        <v/>
      </c>
      <c r="X53" s="9">
        <f>-IF(C53=1,LN(W53),LN(1-W53))</f>
        <v/>
      </c>
      <c r="Y53" s="8">
        <f>IF(C53=1,$AE$32,$AE$33)</f>
        <v/>
      </c>
      <c r="Z53" s="9">
        <f>Y53*X53</f>
        <v/>
      </c>
      <c r="AA53" s="10">
        <f>IF(W53&gt;$AE$34,1,0)</f>
        <v/>
      </c>
      <c r="AB53">
        <f>IF(AA53=C53,1,0)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$AE$12+D54*$AE$13+E54*$AE$14+F54*$AE$15+G54*$AE$16+H54*$AE$17+I54*$AE$18+J54*$AE$19+K54*$AE$20+L54*$AE$21+M54*$AE$22+N54*$AE$23+O54*$AE$24+P54*$AE$25+Q54*$AE$26+R54*$AE$27+S54*$AE$28+T54*$AE$29+U54*$AE$30</f>
        <v/>
      </c>
      <c r="W54" s="8">
        <f>1/(1+EXP(-V54))</f>
        <v/>
      </c>
      <c r="X54" s="9">
        <f>-IF(C54=1,LN(W54),LN(1-W54))</f>
        <v/>
      </c>
      <c r="Y54" s="8">
        <f>IF(C54=1,$AE$32,$AE$33)</f>
        <v/>
      </c>
      <c r="Z54" s="9">
        <f>Y54*X54</f>
        <v/>
      </c>
      <c r="AA54" s="10">
        <f>IF(W54&gt;$AE$34,1,0)</f>
        <v/>
      </c>
      <c r="AB54">
        <f>IF(AA54=C54,1,0)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$AE$12+D55*$AE$13+E55*$AE$14+F55*$AE$15+G55*$AE$16+H55*$AE$17+I55*$AE$18+J55*$AE$19+K55*$AE$20+L55*$AE$21+M55*$AE$22+N55*$AE$23+O55*$AE$24+P55*$AE$25+Q55*$AE$26+R55*$AE$27+S55*$AE$28+T55*$AE$29+U55*$AE$30</f>
        <v/>
      </c>
      <c r="W55" s="8">
        <f>1/(1+EXP(-V55))</f>
        <v/>
      </c>
      <c r="X55" s="9">
        <f>-IF(C55=1,LN(W55),LN(1-W55))</f>
        <v/>
      </c>
      <c r="Y55" s="8">
        <f>IF(C55=1,$AE$32,$AE$33)</f>
        <v/>
      </c>
      <c r="Z55" s="9">
        <f>Y55*X55</f>
        <v/>
      </c>
      <c r="AA55" s="10">
        <f>IF(W55&gt;$AE$34,1,0)</f>
        <v/>
      </c>
      <c r="AB55">
        <f>IF(AA55=C55,1,0)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$AE$12+D56*$AE$13+E56*$AE$14+F56*$AE$15+G56*$AE$16+H56*$AE$17+I56*$AE$18+J56*$AE$19+K56*$AE$20+L56*$AE$21+M56*$AE$22+N56*$AE$23+O56*$AE$24+P56*$AE$25+Q56*$AE$26+R56*$AE$27+S56*$AE$28+T56*$AE$29+U56*$AE$30</f>
        <v/>
      </c>
      <c r="W56" s="8">
        <f>1/(1+EXP(-V56))</f>
        <v/>
      </c>
      <c r="X56" s="9">
        <f>-IF(C56=1,LN(W56),LN(1-W56))</f>
        <v/>
      </c>
      <c r="Y56" s="8">
        <f>IF(C56=1,$AE$32,$AE$33)</f>
        <v/>
      </c>
      <c r="Z56" s="9">
        <f>Y56*X56</f>
        <v/>
      </c>
      <c r="AA56" s="10">
        <f>IF(W56&gt;$AE$34,1,0)</f>
        <v/>
      </c>
      <c r="AB56">
        <f>IF(AA56=C56,1,0)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$AE$12+D57*$AE$13+E57*$AE$14+F57*$AE$15+G57*$AE$16+H57*$AE$17+I57*$AE$18+J57*$AE$19+K57*$AE$20+L57*$AE$21+M57*$AE$22+N57*$AE$23+O57*$AE$24+P57*$AE$25+Q57*$AE$26+R57*$AE$27+S57*$AE$28+T57*$AE$29+U57*$AE$30</f>
        <v/>
      </c>
      <c r="W57" s="8">
        <f>1/(1+EXP(-V57))</f>
        <v/>
      </c>
      <c r="X57" s="9">
        <f>-IF(C57=1,LN(W57),LN(1-W57))</f>
        <v/>
      </c>
      <c r="Y57" s="8">
        <f>IF(C57=1,$AE$32,$AE$33)</f>
        <v/>
      </c>
      <c r="Z57" s="9">
        <f>Y57*X57</f>
        <v/>
      </c>
      <c r="AA57" s="10">
        <f>IF(W57&gt;$AE$34,1,0)</f>
        <v/>
      </c>
      <c r="AB57">
        <f>IF(AA57=C57,1,0)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$AE$12+D58*$AE$13+E58*$AE$14+F58*$AE$15+G58*$AE$16+H58*$AE$17+I58*$AE$18+J58*$AE$19+K58*$AE$20+L58*$AE$21+M58*$AE$22+N58*$AE$23+O58*$AE$24+P58*$AE$25+Q58*$AE$26+R58*$AE$27+S58*$AE$28+T58*$AE$29+U58*$AE$30</f>
        <v/>
      </c>
      <c r="W58" s="8">
        <f>1/(1+EXP(-V58))</f>
        <v/>
      </c>
      <c r="X58" s="9">
        <f>-IF(C58=1,LN(W58),LN(1-W58))</f>
        <v/>
      </c>
      <c r="Y58" s="8">
        <f>IF(C58=1,$AE$32,$AE$33)</f>
        <v/>
      </c>
      <c r="Z58" s="9">
        <f>Y58*X58</f>
        <v/>
      </c>
      <c r="AA58" s="10">
        <f>IF(W58&gt;$AE$34,1,0)</f>
        <v/>
      </c>
      <c r="AB58">
        <f>IF(AA58=C58,1,0)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$AE$12+D59*$AE$13+E59*$AE$14+F59*$AE$15+G59*$AE$16+H59*$AE$17+I59*$AE$18+J59*$AE$19+K59*$AE$20+L59*$AE$21+M59*$AE$22+N59*$AE$23+O59*$AE$24+P59*$AE$25+Q59*$AE$26+R59*$AE$27+S59*$AE$28+T59*$AE$29+U59*$AE$30</f>
        <v/>
      </c>
      <c r="W59" s="8">
        <f>1/(1+EXP(-V59))</f>
        <v/>
      </c>
      <c r="X59" s="9">
        <f>-IF(C59=1,LN(W59),LN(1-W59))</f>
        <v/>
      </c>
      <c r="Y59" s="8">
        <f>IF(C59=1,$AE$32,$AE$33)</f>
        <v/>
      </c>
      <c r="Z59" s="9">
        <f>Y59*X59</f>
        <v/>
      </c>
      <c r="AA59" s="10">
        <f>IF(W59&gt;$AE$34,1,0)</f>
        <v/>
      </c>
      <c r="AB59">
        <f>IF(AA59=C59,1,0)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$AE$12+D60*$AE$13+E60*$AE$14+F60*$AE$15+G60*$AE$16+H60*$AE$17+I60*$AE$18+J60*$AE$19+K60*$AE$20+L60*$AE$21+M60*$AE$22+N60*$AE$23+O60*$AE$24+P60*$AE$25+Q60*$AE$26+R60*$AE$27+S60*$AE$28+T60*$AE$29+U60*$AE$30</f>
        <v/>
      </c>
      <c r="W60" s="8">
        <f>1/(1+EXP(-V60))</f>
        <v/>
      </c>
      <c r="X60" s="9">
        <f>-IF(C60=1,LN(W60),LN(1-W60))</f>
        <v/>
      </c>
      <c r="Y60" s="8">
        <f>IF(C60=1,$AE$32,$AE$33)</f>
        <v/>
      </c>
      <c r="Z60" s="9">
        <f>Y60*X60</f>
        <v/>
      </c>
      <c r="AA60" s="10">
        <f>IF(W60&gt;$AE$34,1,0)</f>
        <v/>
      </c>
      <c r="AB60">
        <f>IF(AA60=C60,1,0)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$AE$12+D61*$AE$13+E61*$AE$14+F61*$AE$15+G61*$AE$16+H61*$AE$17+I61*$AE$18+J61*$AE$19+K61*$AE$20+L61*$AE$21+M61*$AE$22+N61*$AE$23+O61*$AE$24+P61*$AE$25+Q61*$AE$26+R61*$AE$27+S61*$AE$28+T61*$AE$29+U61*$AE$30</f>
        <v/>
      </c>
      <c r="W61" s="8">
        <f>1/(1+EXP(-V61))</f>
        <v/>
      </c>
      <c r="X61" s="9">
        <f>-IF(C61=1,LN(W61),LN(1-W61))</f>
        <v/>
      </c>
      <c r="Y61" s="8">
        <f>IF(C61=1,$AE$32,$AE$33)</f>
        <v/>
      </c>
      <c r="Z61" s="9">
        <f>Y61*X61</f>
        <v/>
      </c>
      <c r="AA61" s="10">
        <f>IF(W61&gt;$AE$34,1,0)</f>
        <v/>
      </c>
      <c r="AB61">
        <f>IF(AA61=C61,1,0)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$AE$12+D62*$AE$13+E62*$AE$14+F62*$AE$15+G62*$AE$16+H62*$AE$17+I62*$AE$18+J62*$AE$19+K62*$AE$20+L62*$AE$21+M62*$AE$22+N62*$AE$23+O62*$AE$24+P62*$AE$25+Q62*$AE$26+R62*$AE$27+S62*$AE$28+T62*$AE$29+U62*$AE$30</f>
        <v/>
      </c>
      <c r="W62" s="8">
        <f>1/(1+EXP(-V62))</f>
        <v/>
      </c>
      <c r="X62" s="9">
        <f>-IF(C62=1,LN(W62),LN(1-W62))</f>
        <v/>
      </c>
      <c r="Y62" s="8">
        <f>IF(C62=1,$AE$32,$AE$33)</f>
        <v/>
      </c>
      <c r="Z62" s="9">
        <f>Y62*X62</f>
        <v/>
      </c>
      <c r="AA62" s="10">
        <f>IF(W62&gt;$AE$34,1,0)</f>
        <v/>
      </c>
      <c r="AB62">
        <f>IF(AA62=C62,1,0)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$AE$12+D63*$AE$13+E63*$AE$14+F63*$AE$15+G63*$AE$16+H63*$AE$17+I63*$AE$18+J63*$AE$19+K63*$AE$20+L63*$AE$21+M63*$AE$22+N63*$AE$23+O63*$AE$24+P63*$AE$25+Q63*$AE$26+R63*$AE$27+S63*$AE$28+T63*$AE$29+U63*$AE$30</f>
        <v/>
      </c>
      <c r="W63" s="8">
        <f>1/(1+EXP(-V63))</f>
        <v/>
      </c>
      <c r="X63" s="9">
        <f>-IF(C63=1,LN(W63),LN(1-W63))</f>
        <v/>
      </c>
      <c r="Y63" s="8">
        <f>IF(C63=1,$AE$32,$AE$33)</f>
        <v/>
      </c>
      <c r="Z63" s="9">
        <f>Y63*X63</f>
        <v/>
      </c>
      <c r="AA63" s="10">
        <f>IF(W63&gt;$AE$34,1,0)</f>
        <v/>
      </c>
      <c r="AB63">
        <f>IF(AA63=C63,1,0)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$AE$12+D64*$AE$13+E64*$AE$14+F64*$AE$15+G64*$AE$16+H64*$AE$17+I64*$AE$18+J64*$AE$19+K64*$AE$20+L64*$AE$21+M64*$AE$22+N64*$AE$23+O64*$AE$24+P64*$AE$25+Q64*$AE$26+R64*$AE$27+S64*$AE$28+T64*$AE$29+U64*$AE$30</f>
        <v/>
      </c>
      <c r="W64" s="8">
        <f>1/(1+EXP(-V64))</f>
        <v/>
      </c>
      <c r="X64" s="9">
        <f>-IF(C64=1,LN(W64),LN(1-W64))</f>
        <v/>
      </c>
      <c r="Y64" s="8">
        <f>IF(C64=1,$AE$32,$AE$33)</f>
        <v/>
      </c>
      <c r="Z64" s="9">
        <f>Y64*X64</f>
        <v/>
      </c>
      <c r="AA64" s="10">
        <f>IF(W64&gt;$AE$34,1,0)</f>
        <v/>
      </c>
      <c r="AB64">
        <f>IF(AA64=C64,1,0)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$AE$12+D65*$AE$13+E65*$AE$14+F65*$AE$15+G65*$AE$16+H65*$AE$17+I65*$AE$18+J65*$AE$19+K65*$AE$20+L65*$AE$21+M65*$AE$22+N65*$AE$23+O65*$AE$24+P65*$AE$25+Q65*$AE$26+R65*$AE$27+S65*$AE$28+T65*$AE$29+U65*$AE$30</f>
        <v/>
      </c>
      <c r="W65" s="8">
        <f>1/(1+EXP(-V65))</f>
        <v/>
      </c>
      <c r="X65" s="9">
        <f>-IF(C65=1,LN(W65),LN(1-W65))</f>
        <v/>
      </c>
      <c r="Y65" s="8">
        <f>IF(C65=1,$AE$32,$AE$33)</f>
        <v/>
      </c>
      <c r="Z65" s="9">
        <f>Y65*X65</f>
        <v/>
      </c>
      <c r="AA65" s="10">
        <f>IF(W65&gt;$AE$34,1,0)</f>
        <v/>
      </c>
      <c r="AB65">
        <f>IF(AA65=C65,1,0)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$AE$12+D66*$AE$13+E66*$AE$14+F66*$AE$15+G66*$AE$16+H66*$AE$17+I66*$AE$18+J66*$AE$19+K66*$AE$20+L66*$AE$21+M66*$AE$22+N66*$AE$23+O66*$AE$24+P66*$AE$25+Q66*$AE$26+R66*$AE$27+S66*$AE$28+T66*$AE$29+U66*$AE$30</f>
        <v/>
      </c>
      <c r="W66" s="8">
        <f>1/(1+EXP(-V66))</f>
        <v/>
      </c>
      <c r="X66" s="9">
        <f>-IF(C66=1,LN(W66),LN(1-W66))</f>
        <v/>
      </c>
      <c r="Y66" s="8">
        <f>IF(C66=1,$AE$32,$AE$33)</f>
        <v/>
      </c>
      <c r="Z66" s="9">
        <f>Y66*X66</f>
        <v/>
      </c>
      <c r="AA66" s="10">
        <f>IF(W66&gt;$AE$34,1,0)</f>
        <v/>
      </c>
      <c r="AB66">
        <f>IF(AA66=C66,1,0)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$AE$12+D67*$AE$13+E67*$AE$14+F67*$AE$15+G67*$AE$16+H67*$AE$17+I67*$AE$18+J67*$AE$19+K67*$AE$20+L67*$AE$21+M67*$AE$22+N67*$AE$23+O67*$AE$24+P67*$AE$25+Q67*$AE$26+R67*$AE$27+S67*$AE$28+T67*$AE$29+U67*$AE$30</f>
        <v/>
      </c>
      <c r="W67" s="8">
        <f>1/(1+EXP(-V67))</f>
        <v/>
      </c>
      <c r="X67" s="9">
        <f>-IF(C67=1,LN(W67),LN(1-W67))</f>
        <v/>
      </c>
      <c r="Y67" s="8">
        <f>IF(C67=1,$AE$32,$AE$33)</f>
        <v/>
      </c>
      <c r="Z67" s="9">
        <f>Y67*X67</f>
        <v/>
      </c>
      <c r="AA67" s="10">
        <f>IF(W67&gt;$AE$34,1,0)</f>
        <v/>
      </c>
      <c r="AB67">
        <f>IF(AA67=C67,1,0)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$AE$12+D68*$AE$13+E68*$AE$14+F68*$AE$15+G68*$AE$16+H68*$AE$17+I68*$AE$18+J68*$AE$19+K68*$AE$20+L68*$AE$21+M68*$AE$22+N68*$AE$23+O68*$AE$24+P68*$AE$25+Q68*$AE$26+R68*$AE$27+S68*$AE$28+T68*$AE$29+U68*$AE$30</f>
        <v/>
      </c>
      <c r="W68" s="8">
        <f>1/(1+EXP(-V68))</f>
        <v/>
      </c>
      <c r="X68" s="9">
        <f>-IF(C68=1,LN(W68),LN(1-W68))</f>
        <v/>
      </c>
      <c r="Y68" s="8">
        <f>IF(C68=1,$AE$32,$AE$33)</f>
        <v/>
      </c>
      <c r="Z68" s="9">
        <f>Y68*X68</f>
        <v/>
      </c>
      <c r="AA68" s="10">
        <f>IF(W68&gt;$AE$34,1,0)</f>
        <v/>
      </c>
      <c r="AB68">
        <f>IF(AA68=C68,1,0)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$AE$12+D69*$AE$13+E69*$AE$14+F69*$AE$15+G69*$AE$16+H69*$AE$17+I69*$AE$18+J69*$AE$19+K69*$AE$20+L69*$AE$21+M69*$AE$22+N69*$AE$23+O69*$AE$24+P69*$AE$25+Q69*$AE$26+R69*$AE$27+S69*$AE$28+T69*$AE$29+U69*$AE$30</f>
        <v/>
      </c>
      <c r="W69" s="8">
        <f>1/(1+EXP(-V69))</f>
        <v/>
      </c>
      <c r="X69" s="9">
        <f>-IF(C69=1,LN(W69),LN(1-W69))</f>
        <v/>
      </c>
      <c r="Y69" s="8">
        <f>IF(C69=1,$AE$32,$AE$33)</f>
        <v/>
      </c>
      <c r="Z69" s="9">
        <f>Y69*X69</f>
        <v/>
      </c>
      <c r="AA69" s="10">
        <f>IF(W69&gt;$AE$34,1,0)</f>
        <v/>
      </c>
      <c r="AB69">
        <f>IF(AA69=C69,1,0)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$AE$12+D70*$AE$13+E70*$AE$14+F70*$AE$15+G70*$AE$16+H70*$AE$17+I70*$AE$18+J70*$AE$19+K70*$AE$20+L70*$AE$21+M70*$AE$22+N70*$AE$23+O70*$AE$24+P70*$AE$25+Q70*$AE$26+R70*$AE$27+S70*$AE$28+T70*$AE$29+U70*$AE$30</f>
        <v/>
      </c>
      <c r="W70" s="8">
        <f>1/(1+EXP(-V70))</f>
        <v/>
      </c>
      <c r="X70" s="9">
        <f>-IF(C70=1,LN(W70),LN(1-W70))</f>
        <v/>
      </c>
      <c r="Y70" s="8">
        <f>IF(C70=1,$AE$32,$AE$33)</f>
        <v/>
      </c>
      <c r="Z70" s="9">
        <f>Y70*X70</f>
        <v/>
      </c>
      <c r="AA70" s="10">
        <f>IF(W70&gt;$AE$34,1,0)</f>
        <v/>
      </c>
      <c r="AB70">
        <f>IF(AA70=C70,1,0)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$AE$12+D71*$AE$13+E71*$AE$14+F71*$AE$15+G71*$AE$16+H71*$AE$17+I71*$AE$18+J71*$AE$19+K71*$AE$20+L71*$AE$21+M71*$AE$22+N71*$AE$23+O71*$AE$24+P71*$AE$25+Q71*$AE$26+R71*$AE$27+S71*$AE$28+T71*$AE$29+U71*$AE$30</f>
        <v/>
      </c>
      <c r="W71" s="8">
        <f>1/(1+EXP(-V71))</f>
        <v/>
      </c>
      <c r="X71" s="9">
        <f>-IF(C71=1,LN(W71),LN(1-W71))</f>
        <v/>
      </c>
      <c r="Y71" s="8">
        <f>IF(C71=1,$AE$32,$AE$33)</f>
        <v/>
      </c>
      <c r="Z71" s="9">
        <f>Y71*X71</f>
        <v/>
      </c>
      <c r="AA71" s="10">
        <f>IF(W71&gt;$AE$34,1,0)</f>
        <v/>
      </c>
      <c r="AB71">
        <f>IF(AA71=C71,1,0)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$AE$12+D72*$AE$13+E72*$AE$14+F72*$AE$15+G72*$AE$16+H72*$AE$17+I72*$AE$18+J72*$AE$19+K72*$AE$20+L72*$AE$21+M72*$AE$22+N72*$AE$23+O72*$AE$24+P72*$AE$25+Q72*$AE$26+R72*$AE$27+S72*$AE$28+T72*$AE$29+U72*$AE$30</f>
        <v/>
      </c>
      <c r="W72" s="8">
        <f>1/(1+EXP(-V72))</f>
        <v/>
      </c>
      <c r="X72" s="9">
        <f>-IF(C72=1,LN(W72),LN(1-W72))</f>
        <v/>
      </c>
      <c r="Y72" s="8">
        <f>IF(C72=1,$AE$32,$AE$33)</f>
        <v/>
      </c>
      <c r="Z72" s="9">
        <f>Y72*X72</f>
        <v/>
      </c>
      <c r="AA72" s="10">
        <f>IF(W72&gt;$AE$34,1,0)</f>
        <v/>
      </c>
      <c r="AB72">
        <f>IF(AA72=C72,1,0)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$AE$12+D73*$AE$13+E73*$AE$14+F73*$AE$15+G73*$AE$16+H73*$AE$17+I73*$AE$18+J73*$AE$19+K73*$AE$20+L73*$AE$21+M73*$AE$22+N73*$AE$23+O73*$AE$24+P73*$AE$25+Q73*$AE$26+R73*$AE$27+S73*$AE$28+T73*$AE$29+U73*$AE$30</f>
        <v/>
      </c>
      <c r="W73" s="8">
        <f>1/(1+EXP(-V73))</f>
        <v/>
      </c>
      <c r="X73" s="9">
        <f>-IF(C73=1,LN(W73),LN(1-W73))</f>
        <v/>
      </c>
      <c r="Y73" s="8">
        <f>IF(C73=1,$AE$32,$AE$33)</f>
        <v/>
      </c>
      <c r="Z73" s="9">
        <f>Y73*X73</f>
        <v/>
      </c>
      <c r="AA73" s="10">
        <f>IF(W73&gt;$AE$34,1,0)</f>
        <v/>
      </c>
      <c r="AB73">
        <f>IF(AA73=C73,1,0)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$AE$12+D74*$AE$13+E74*$AE$14+F74*$AE$15+G74*$AE$16+H74*$AE$17+I74*$AE$18+J74*$AE$19+K74*$AE$20+L74*$AE$21+M74*$AE$22+N74*$AE$23+O74*$AE$24+P74*$AE$25+Q74*$AE$26+R74*$AE$27+S74*$AE$28+T74*$AE$29+U74*$AE$30</f>
        <v/>
      </c>
      <c r="W74" s="8">
        <f>1/(1+EXP(-V74))</f>
        <v/>
      </c>
      <c r="X74" s="9">
        <f>-IF(C74=1,LN(W74),LN(1-W74))</f>
        <v/>
      </c>
      <c r="Y74" s="8">
        <f>IF(C74=1,$AE$32,$AE$33)</f>
        <v/>
      </c>
      <c r="Z74" s="9">
        <f>Y74*X74</f>
        <v/>
      </c>
      <c r="AA74" s="10">
        <f>IF(W74&gt;$AE$34,1,0)</f>
        <v/>
      </c>
      <c r="AB74">
        <f>IF(AA74=C74,1,0)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$AE$12+D75*$AE$13+E75*$AE$14+F75*$AE$15+G75*$AE$16+H75*$AE$17+I75*$AE$18+J75*$AE$19+K75*$AE$20+L75*$AE$21+M75*$AE$22+N75*$AE$23+O75*$AE$24+P75*$AE$25+Q75*$AE$26+R75*$AE$27+S75*$AE$28+T75*$AE$29+U75*$AE$30</f>
        <v/>
      </c>
      <c r="W75" s="8">
        <f>1/(1+EXP(-V75))</f>
        <v/>
      </c>
      <c r="X75" s="9">
        <f>-IF(C75=1,LN(W75),LN(1-W75))</f>
        <v/>
      </c>
      <c r="Y75" s="8">
        <f>IF(C75=1,$AE$32,$AE$33)</f>
        <v/>
      </c>
      <c r="Z75" s="9">
        <f>Y75*X75</f>
        <v/>
      </c>
      <c r="AA75" s="10">
        <f>IF(W75&gt;$AE$34,1,0)</f>
        <v/>
      </c>
      <c r="AB75">
        <f>IF(AA75=C75,1,0)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$AE$12+D76*$AE$13+E76*$AE$14+F76*$AE$15+G76*$AE$16+H76*$AE$17+I76*$AE$18+J76*$AE$19+K76*$AE$20+L76*$AE$21+M76*$AE$22+N76*$AE$23+O76*$AE$24+P76*$AE$25+Q76*$AE$26+R76*$AE$27+S76*$AE$28+T76*$AE$29+U76*$AE$30</f>
        <v/>
      </c>
      <c r="W76" s="8">
        <f>1/(1+EXP(-V76))</f>
        <v/>
      </c>
      <c r="X76" s="9">
        <f>-IF(C76=1,LN(W76),LN(1-W76))</f>
        <v/>
      </c>
      <c r="Y76" s="8">
        <f>IF(C76=1,$AE$32,$AE$33)</f>
        <v/>
      </c>
      <c r="Z76" s="9">
        <f>Y76*X76</f>
        <v/>
      </c>
      <c r="AA76" s="10">
        <f>IF(W76&gt;$AE$34,1,0)</f>
        <v/>
      </c>
      <c r="AB76">
        <f>IF(AA76=C76,1,0)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$AE$12+D77*$AE$13+E77*$AE$14+F77*$AE$15+G77*$AE$16+H77*$AE$17+I77*$AE$18+J77*$AE$19+K77*$AE$20+L77*$AE$21+M77*$AE$22+N77*$AE$23+O77*$AE$24+P77*$AE$25+Q77*$AE$26+R77*$AE$27+S77*$AE$28+T77*$AE$29+U77*$AE$30</f>
        <v/>
      </c>
      <c r="W77" s="8">
        <f>1/(1+EXP(-V77))</f>
        <v/>
      </c>
      <c r="X77" s="9">
        <f>-IF(C77=1,LN(W77),LN(1-W77))</f>
        <v/>
      </c>
      <c r="Y77" s="8">
        <f>IF(C77=1,$AE$32,$AE$33)</f>
        <v/>
      </c>
      <c r="Z77" s="9">
        <f>Y77*X77</f>
        <v/>
      </c>
      <c r="AA77" s="10">
        <f>IF(W77&gt;$AE$34,1,0)</f>
        <v/>
      </c>
      <c r="AB77">
        <f>IF(AA77=C77,1,0)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$AE$12+D78*$AE$13+E78*$AE$14+F78*$AE$15+G78*$AE$16+H78*$AE$17+I78*$AE$18+J78*$AE$19+K78*$AE$20+L78*$AE$21+M78*$AE$22+N78*$AE$23+O78*$AE$24+P78*$AE$25+Q78*$AE$26+R78*$AE$27+S78*$AE$28+T78*$AE$29+U78*$AE$30</f>
        <v/>
      </c>
      <c r="W78" s="8">
        <f>1/(1+EXP(-V78))</f>
        <v/>
      </c>
      <c r="X78" s="9">
        <f>-IF(C78=1,LN(W78),LN(1-W78))</f>
        <v/>
      </c>
      <c r="Y78" s="8">
        <f>IF(C78=1,$AE$32,$AE$33)</f>
        <v/>
      </c>
      <c r="Z78" s="9">
        <f>Y78*X78</f>
        <v/>
      </c>
      <c r="AA78" s="10">
        <f>IF(W78&gt;$AE$34,1,0)</f>
        <v/>
      </c>
      <c r="AB78">
        <f>IF(AA78=C78,1,0)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$AE$12+D79*$AE$13+E79*$AE$14+F79*$AE$15+G79*$AE$16+H79*$AE$17+I79*$AE$18+J79*$AE$19+K79*$AE$20+L79*$AE$21+M79*$AE$22+N79*$AE$23+O79*$AE$24+P79*$AE$25+Q79*$AE$26+R79*$AE$27+S79*$AE$28+T79*$AE$29+U79*$AE$30</f>
        <v/>
      </c>
      <c r="W79" s="8">
        <f>1/(1+EXP(-V79))</f>
        <v/>
      </c>
      <c r="X79" s="9">
        <f>-IF(C79=1,LN(W79),LN(1-W79))</f>
        <v/>
      </c>
      <c r="Y79" s="8">
        <f>IF(C79=1,$AE$32,$AE$33)</f>
        <v/>
      </c>
      <c r="Z79" s="9">
        <f>Y79*X79</f>
        <v/>
      </c>
      <c r="AA79" s="10">
        <f>IF(W79&gt;$AE$34,1,0)</f>
        <v/>
      </c>
      <c r="AB79">
        <f>IF(AA79=C79,1,0)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$AE$12+D80*$AE$13+E80*$AE$14+F80*$AE$15+G80*$AE$16+H80*$AE$17+I80*$AE$18+J80*$AE$19+K80*$AE$20+L80*$AE$21+M80*$AE$22+N80*$AE$23+O80*$AE$24+P80*$AE$25+Q80*$AE$26+R80*$AE$27+S80*$AE$28+T80*$AE$29+U80*$AE$30</f>
        <v/>
      </c>
      <c r="W80" s="8">
        <f>1/(1+EXP(-V80))</f>
        <v/>
      </c>
      <c r="X80" s="9">
        <f>-IF(C80=1,LN(W80),LN(1-W80))</f>
        <v/>
      </c>
      <c r="Y80" s="8">
        <f>IF(C80=1,$AE$32,$AE$33)</f>
        <v/>
      </c>
      <c r="Z80" s="9">
        <f>Y80*X80</f>
        <v/>
      </c>
      <c r="AA80" s="10">
        <f>IF(W80&gt;$AE$34,1,0)</f>
        <v/>
      </c>
      <c r="AB80">
        <f>IF(AA80=C80,1,0)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$AE$12+D81*$AE$13+E81*$AE$14+F81*$AE$15+G81*$AE$16+H81*$AE$17+I81*$AE$18+J81*$AE$19+K81*$AE$20+L81*$AE$21+M81*$AE$22+N81*$AE$23+O81*$AE$24+P81*$AE$25+Q81*$AE$26+R81*$AE$27+S81*$AE$28+T81*$AE$29+U81*$AE$30</f>
        <v/>
      </c>
      <c r="W81" s="8">
        <f>1/(1+EXP(-V81))</f>
        <v/>
      </c>
      <c r="X81" s="9">
        <f>-IF(C81=1,LN(W81),LN(1-W81))</f>
        <v/>
      </c>
      <c r="Y81" s="8">
        <f>IF(C81=1,$AE$32,$AE$33)</f>
        <v/>
      </c>
      <c r="Z81" s="9">
        <f>Y81*X81</f>
        <v/>
      </c>
      <c r="AA81" s="10">
        <f>IF(W81&gt;$AE$34,1,0)</f>
        <v/>
      </c>
      <c r="AB81">
        <f>IF(AA81=C81,1,0)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$AE$12+D82*$AE$13+E82*$AE$14+F82*$AE$15+G82*$AE$16+H82*$AE$17+I82*$AE$18+J82*$AE$19+K82*$AE$20+L82*$AE$21+M82*$AE$22+N82*$AE$23+O82*$AE$24+P82*$AE$25+Q82*$AE$26+R82*$AE$27+S82*$AE$28+T82*$AE$29+U82*$AE$30</f>
        <v/>
      </c>
      <c r="W82" s="8">
        <f>1/(1+EXP(-V82))</f>
        <v/>
      </c>
      <c r="X82" s="9">
        <f>-IF(C82=1,LN(W82),LN(1-W82))</f>
        <v/>
      </c>
      <c r="Y82" s="8">
        <f>IF(C82=1,$AE$32,$AE$33)</f>
        <v/>
      </c>
      <c r="Z82" s="9">
        <f>Y82*X82</f>
        <v/>
      </c>
      <c r="AA82" s="10">
        <f>IF(W82&gt;$AE$34,1,0)</f>
        <v/>
      </c>
      <c r="AB82">
        <f>IF(AA82=C82,1,0)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$AE$12+D83*$AE$13+E83*$AE$14+F83*$AE$15+G83*$AE$16+H83*$AE$17+I83*$AE$18+J83*$AE$19+K83*$AE$20+L83*$AE$21+M83*$AE$22+N83*$AE$23+O83*$AE$24+P83*$AE$25+Q83*$AE$26+R83*$AE$27+S83*$AE$28+T83*$AE$29+U83*$AE$30</f>
        <v/>
      </c>
      <c r="W83" s="8">
        <f>1/(1+EXP(-V83))</f>
        <v/>
      </c>
      <c r="X83" s="9">
        <f>-IF(C83=1,LN(W83),LN(1-W83))</f>
        <v/>
      </c>
      <c r="Y83" s="8">
        <f>IF(C83=1,$AE$32,$AE$33)</f>
        <v/>
      </c>
      <c r="Z83" s="9">
        <f>Y83*X83</f>
        <v/>
      </c>
      <c r="AA83" s="10">
        <f>IF(W83&gt;$AE$34,1,0)</f>
        <v/>
      </c>
      <c r="AB83">
        <f>IF(AA83=C83,1,0)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$AE$12+D84*$AE$13+E84*$AE$14+F84*$AE$15+G84*$AE$16+H84*$AE$17+I84*$AE$18+J84*$AE$19+K84*$AE$20+L84*$AE$21+M84*$AE$22+N84*$AE$23+O84*$AE$24+P84*$AE$25+Q84*$AE$26+R84*$AE$27+S84*$AE$28+T84*$AE$29+U84*$AE$30</f>
        <v/>
      </c>
      <c r="W84" s="8">
        <f>1/(1+EXP(-V84))</f>
        <v/>
      </c>
      <c r="X84" s="9">
        <f>-IF(C84=1,LN(W84),LN(1-W84))</f>
        <v/>
      </c>
      <c r="Y84" s="8">
        <f>IF(C84=1,$AE$32,$AE$33)</f>
        <v/>
      </c>
      <c r="Z84" s="9">
        <f>Y84*X84</f>
        <v/>
      </c>
      <c r="AA84" s="10">
        <f>IF(W84&gt;$AE$34,1,0)</f>
        <v/>
      </c>
      <c r="AB84">
        <f>IF(AA84=C84,1,0)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$AE$12+D85*$AE$13+E85*$AE$14+F85*$AE$15+G85*$AE$16+H85*$AE$17+I85*$AE$18+J85*$AE$19+K85*$AE$20+L85*$AE$21+M85*$AE$22+N85*$AE$23+O85*$AE$24+P85*$AE$25+Q85*$AE$26+R85*$AE$27+S85*$AE$28+T85*$AE$29+U85*$AE$30</f>
        <v/>
      </c>
      <c r="W85" s="8">
        <f>1/(1+EXP(-V85))</f>
        <v/>
      </c>
      <c r="X85" s="9">
        <f>-IF(C85=1,LN(W85),LN(1-W85))</f>
        <v/>
      </c>
      <c r="Y85" s="8">
        <f>IF(C85=1,$AE$32,$AE$33)</f>
        <v/>
      </c>
      <c r="Z85" s="9">
        <f>Y85*X85</f>
        <v/>
      </c>
      <c r="AA85" s="10">
        <f>IF(W85&gt;$AE$34,1,0)</f>
        <v/>
      </c>
      <c r="AB85">
        <f>IF(AA85=C85,1,0)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$AE$12+D86*$AE$13+E86*$AE$14+F86*$AE$15+G86*$AE$16+H86*$AE$17+I86*$AE$18+J86*$AE$19+K86*$AE$20+L86*$AE$21+M86*$AE$22+N86*$AE$23+O86*$AE$24+P86*$AE$25+Q86*$AE$26+R86*$AE$27+S86*$AE$28+T86*$AE$29+U86*$AE$30</f>
        <v/>
      </c>
      <c r="W86" s="8">
        <f>1/(1+EXP(-V86))</f>
        <v/>
      </c>
      <c r="X86" s="9">
        <f>-IF(C86=1,LN(W86),LN(1-W86))</f>
        <v/>
      </c>
      <c r="Y86" s="8">
        <f>IF(C86=1,$AE$32,$AE$33)</f>
        <v/>
      </c>
      <c r="Z86" s="9">
        <f>Y86*X86</f>
        <v/>
      </c>
      <c r="AA86" s="10">
        <f>IF(W86&gt;$AE$34,1,0)</f>
        <v/>
      </c>
      <c r="AB86">
        <f>IF(AA86=C86,1,0)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$AE$12+D87*$AE$13+E87*$AE$14+F87*$AE$15+G87*$AE$16+H87*$AE$17+I87*$AE$18+J87*$AE$19+K87*$AE$20+L87*$AE$21+M87*$AE$22+N87*$AE$23+O87*$AE$24+P87*$AE$25+Q87*$AE$26+R87*$AE$27+S87*$AE$28+T87*$AE$29+U87*$AE$30</f>
        <v/>
      </c>
      <c r="W87" s="8">
        <f>1/(1+EXP(-V87))</f>
        <v/>
      </c>
      <c r="X87" s="9">
        <f>-IF(C87=1,LN(W87),LN(1-W87))</f>
        <v/>
      </c>
      <c r="Y87" s="8">
        <f>IF(C87=1,$AE$32,$AE$33)</f>
        <v/>
      </c>
      <c r="Z87" s="9">
        <f>Y87*X87</f>
        <v/>
      </c>
      <c r="AA87" s="10">
        <f>IF(W87&gt;$AE$34,1,0)</f>
        <v/>
      </c>
      <c r="AB87">
        <f>IF(AA87=C87,1,0)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$AE$12+D88*$AE$13+E88*$AE$14+F88*$AE$15+G88*$AE$16+H88*$AE$17+I88*$AE$18+J88*$AE$19+K88*$AE$20+L88*$AE$21+M88*$AE$22+N88*$AE$23+O88*$AE$24+P88*$AE$25+Q88*$AE$26+R88*$AE$27+S88*$AE$28+T88*$AE$29+U88*$AE$30</f>
        <v/>
      </c>
      <c r="W88" s="8">
        <f>1/(1+EXP(-V88))</f>
        <v/>
      </c>
      <c r="X88" s="9">
        <f>-IF(C88=1,LN(W88),LN(1-W88))</f>
        <v/>
      </c>
      <c r="Y88" s="8">
        <f>IF(C88=1,$AE$32,$AE$33)</f>
        <v/>
      </c>
      <c r="Z88" s="9">
        <f>Y88*X88</f>
        <v/>
      </c>
      <c r="AA88" s="10">
        <f>IF(W88&gt;$AE$34,1,0)</f>
        <v/>
      </c>
      <c r="AB88">
        <f>IF(AA88=C88,1,0)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$AE$12+D89*$AE$13+E89*$AE$14+F89*$AE$15+G89*$AE$16+H89*$AE$17+I89*$AE$18+J89*$AE$19+K89*$AE$20+L89*$AE$21+M89*$AE$22+N89*$AE$23+O89*$AE$24+P89*$AE$25+Q89*$AE$26+R89*$AE$27+S89*$AE$28+T89*$AE$29+U89*$AE$30</f>
        <v/>
      </c>
      <c r="W89" s="8">
        <f>1/(1+EXP(-V89))</f>
        <v/>
      </c>
      <c r="X89" s="9">
        <f>-IF(C89=1,LN(W89),LN(1-W89))</f>
        <v/>
      </c>
      <c r="Y89" s="8">
        <f>IF(C89=1,$AE$32,$AE$33)</f>
        <v/>
      </c>
      <c r="Z89" s="9">
        <f>Y89*X89</f>
        <v/>
      </c>
      <c r="AA89" s="10">
        <f>IF(W89&gt;$AE$34,1,0)</f>
        <v/>
      </c>
      <c r="AB89">
        <f>IF(AA89=C89,1,0)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$AE$12+D90*$AE$13+E90*$AE$14+F90*$AE$15+G90*$AE$16+H90*$AE$17+I90*$AE$18+J90*$AE$19+K90*$AE$20+L90*$AE$21+M90*$AE$22+N90*$AE$23+O90*$AE$24+P90*$AE$25+Q90*$AE$26+R90*$AE$27+S90*$AE$28+T90*$AE$29+U90*$AE$30</f>
        <v/>
      </c>
      <c r="W90" s="8">
        <f>1/(1+EXP(-V90))</f>
        <v/>
      </c>
      <c r="X90" s="9">
        <f>-IF(C90=1,LN(W90),LN(1-W90))</f>
        <v/>
      </c>
      <c r="Y90" s="8">
        <f>IF(C90=1,$AE$32,$AE$33)</f>
        <v/>
      </c>
      <c r="Z90" s="9">
        <f>Y90*X90</f>
        <v/>
      </c>
      <c r="AA90" s="10">
        <f>IF(W90&gt;$AE$34,1,0)</f>
        <v/>
      </c>
      <c r="AB90">
        <f>IF(AA90=C90,1,0)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$AE$12+D91*$AE$13+E91*$AE$14+F91*$AE$15+G91*$AE$16+H91*$AE$17+I91*$AE$18+J91*$AE$19+K91*$AE$20+L91*$AE$21+M91*$AE$22+N91*$AE$23+O91*$AE$24+P91*$AE$25+Q91*$AE$26+R91*$AE$27+S91*$AE$28+T91*$AE$29+U91*$AE$30</f>
        <v/>
      </c>
      <c r="W91" s="8">
        <f>1/(1+EXP(-V91))</f>
        <v/>
      </c>
      <c r="X91" s="9">
        <f>-IF(C91=1,LN(W91),LN(1-W91))</f>
        <v/>
      </c>
      <c r="Y91" s="8">
        <f>IF(C91=1,$AE$32,$AE$33)</f>
        <v/>
      </c>
      <c r="Z91" s="9">
        <f>Y91*X91</f>
        <v/>
      </c>
      <c r="AA91" s="10">
        <f>IF(W91&gt;$AE$34,1,0)</f>
        <v/>
      </c>
      <c r="AB91">
        <f>IF(AA91=C91,1,0)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$AE$12+D92*$AE$13+E92*$AE$14+F92*$AE$15+G92*$AE$16+H92*$AE$17+I92*$AE$18+J92*$AE$19+K92*$AE$20+L92*$AE$21+M92*$AE$22+N92*$AE$23+O92*$AE$24+P92*$AE$25+Q92*$AE$26+R92*$AE$27+S92*$AE$28+T92*$AE$29+U92*$AE$30</f>
        <v/>
      </c>
      <c r="W92" s="8">
        <f>1/(1+EXP(-V92))</f>
        <v/>
      </c>
      <c r="X92" s="9">
        <f>-IF(C92=1,LN(W92),LN(1-W92))</f>
        <v/>
      </c>
      <c r="Y92" s="8">
        <f>IF(C92=1,$AE$32,$AE$33)</f>
        <v/>
      </c>
      <c r="Z92" s="9">
        <f>Y92*X92</f>
        <v/>
      </c>
      <c r="AA92" s="10">
        <f>IF(W92&gt;$AE$34,1,0)</f>
        <v/>
      </c>
      <c r="AB92">
        <f>IF(AA92=C92,1,0)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$AE$12+D93*$AE$13+E93*$AE$14+F93*$AE$15+G93*$AE$16+H93*$AE$17+I93*$AE$18+J93*$AE$19+K93*$AE$20+L93*$AE$21+M93*$AE$22+N93*$AE$23+O93*$AE$24+P93*$AE$25+Q93*$AE$26+R93*$AE$27+S93*$AE$28+T93*$AE$29+U93*$AE$30</f>
        <v/>
      </c>
      <c r="W93" s="8">
        <f>1/(1+EXP(-V93))</f>
        <v/>
      </c>
      <c r="X93" s="9">
        <f>-IF(C93=1,LN(W93),LN(1-W93))</f>
        <v/>
      </c>
      <c r="Y93" s="8">
        <f>IF(C93=1,$AE$32,$AE$33)</f>
        <v/>
      </c>
      <c r="Z93" s="9">
        <f>Y93*X93</f>
        <v/>
      </c>
      <c r="AA93" s="10">
        <f>IF(W93&gt;$AE$34,1,0)</f>
        <v/>
      </c>
      <c r="AB93">
        <f>IF(AA93=C93,1,0)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$AE$12+D94*$AE$13+E94*$AE$14+F94*$AE$15+G94*$AE$16+H94*$AE$17+I94*$AE$18+J94*$AE$19+K94*$AE$20+L94*$AE$21+M94*$AE$22+N94*$AE$23+O94*$AE$24+P94*$AE$25+Q94*$AE$26+R94*$AE$27+S94*$AE$28+T94*$AE$29+U94*$AE$30</f>
        <v/>
      </c>
      <c r="W94" s="8">
        <f>1/(1+EXP(-V94))</f>
        <v/>
      </c>
      <c r="X94" s="9">
        <f>-IF(C94=1,LN(W94),LN(1-W94))</f>
        <v/>
      </c>
      <c r="Y94" s="8">
        <f>IF(C94=1,$AE$32,$AE$33)</f>
        <v/>
      </c>
      <c r="Z94" s="9">
        <f>Y94*X94</f>
        <v/>
      </c>
      <c r="AA94" s="10">
        <f>IF(W94&gt;$AE$34,1,0)</f>
        <v/>
      </c>
      <c r="AB94">
        <f>IF(AA94=C94,1,0)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$AE$12+D95*$AE$13+E95*$AE$14+F95*$AE$15+G95*$AE$16+H95*$AE$17+I95*$AE$18+J95*$AE$19+K95*$AE$20+L95*$AE$21+M95*$AE$22+N95*$AE$23+O95*$AE$24+P95*$AE$25+Q95*$AE$26+R95*$AE$27+S95*$AE$28+T95*$AE$29+U95*$AE$30</f>
        <v/>
      </c>
      <c r="W95" s="8">
        <f>1/(1+EXP(-V95))</f>
        <v/>
      </c>
      <c r="X95" s="9">
        <f>-IF(C95=1,LN(W95),LN(1-W95))</f>
        <v/>
      </c>
      <c r="Y95" s="8">
        <f>IF(C95=1,$AE$32,$AE$33)</f>
        <v/>
      </c>
      <c r="Z95" s="9">
        <f>Y95*X95</f>
        <v/>
      </c>
      <c r="AA95" s="10">
        <f>IF(W95&gt;$AE$34,1,0)</f>
        <v/>
      </c>
      <c r="AB95">
        <f>IF(AA95=C95,1,0)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$AE$12+D96*$AE$13+E96*$AE$14+F96*$AE$15+G96*$AE$16+H96*$AE$17+I96*$AE$18+J96*$AE$19+K96*$AE$20+L96*$AE$21+M96*$AE$22+N96*$AE$23+O96*$AE$24+P96*$AE$25+Q96*$AE$26+R96*$AE$27+S96*$AE$28+T96*$AE$29+U96*$AE$30</f>
        <v/>
      </c>
      <c r="W96" s="8">
        <f>1/(1+EXP(-V96))</f>
        <v/>
      </c>
      <c r="X96" s="9">
        <f>-IF(C96=1,LN(W96),LN(1-W96))</f>
        <v/>
      </c>
      <c r="Y96" s="8">
        <f>IF(C96=1,$AE$32,$AE$33)</f>
        <v/>
      </c>
      <c r="Z96" s="9">
        <f>Y96*X96</f>
        <v/>
      </c>
      <c r="AA96" s="10">
        <f>IF(W96&gt;$AE$34,1,0)</f>
        <v/>
      </c>
      <c r="AB96">
        <f>IF(AA96=C96,1,0)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$AE$12+D97*$AE$13+E97*$AE$14+F97*$AE$15+G97*$AE$16+H97*$AE$17+I97*$AE$18+J97*$AE$19+K97*$AE$20+L97*$AE$21+M97*$AE$22+N97*$AE$23+O97*$AE$24+P97*$AE$25+Q97*$AE$26+R97*$AE$27+S97*$AE$28+T97*$AE$29+U97*$AE$30</f>
        <v/>
      </c>
      <c r="W97" s="8">
        <f>1/(1+EXP(-V97))</f>
        <v/>
      </c>
      <c r="X97" s="9">
        <f>-IF(C97=1,LN(W97),LN(1-W97))</f>
        <v/>
      </c>
      <c r="Y97" s="8">
        <f>IF(C97=1,$AE$32,$AE$33)</f>
        <v/>
      </c>
      <c r="Z97" s="9">
        <f>Y97*X97</f>
        <v/>
      </c>
      <c r="AA97" s="10">
        <f>IF(W97&gt;$AE$34,1,0)</f>
        <v/>
      </c>
      <c r="AB97">
        <f>IF(AA97=C97,1,0)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$AE$12+D98*$AE$13+E98*$AE$14+F98*$AE$15+G98*$AE$16+H98*$AE$17+I98*$AE$18+J98*$AE$19+K98*$AE$20+L98*$AE$21+M98*$AE$22+N98*$AE$23+O98*$AE$24+P98*$AE$25+Q98*$AE$26+R98*$AE$27+S98*$AE$28+T98*$AE$29+U98*$AE$30</f>
        <v/>
      </c>
      <c r="W98" s="8">
        <f>1/(1+EXP(-V98))</f>
        <v/>
      </c>
      <c r="X98" s="9">
        <f>-IF(C98=1,LN(W98),LN(1-W98))</f>
        <v/>
      </c>
      <c r="Y98" s="8">
        <f>IF(C98=1,$AE$32,$AE$33)</f>
        <v/>
      </c>
      <c r="Z98" s="9">
        <f>Y98*X98</f>
        <v/>
      </c>
      <c r="AA98" s="10">
        <f>IF(W98&gt;$AE$34,1,0)</f>
        <v/>
      </c>
      <c r="AB98">
        <f>IF(AA98=C98,1,0)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$AE$12+D99*$AE$13+E99*$AE$14+F99*$AE$15+G99*$AE$16+H99*$AE$17+I99*$AE$18+J99*$AE$19+K99*$AE$20+L99*$AE$21+M99*$AE$22+N99*$AE$23+O99*$AE$24+P99*$AE$25+Q99*$AE$26+R99*$AE$27+S99*$AE$28+T99*$AE$29+U99*$AE$30</f>
        <v/>
      </c>
      <c r="W99" s="8">
        <f>1/(1+EXP(-V99))</f>
        <v/>
      </c>
      <c r="X99" s="9">
        <f>-IF(C99=1,LN(W99),LN(1-W99))</f>
        <v/>
      </c>
      <c r="Y99" s="8">
        <f>IF(C99=1,$AE$32,$AE$33)</f>
        <v/>
      </c>
      <c r="Z99" s="9">
        <f>Y99*X99</f>
        <v/>
      </c>
      <c r="AA99" s="10">
        <f>IF(W99&gt;$AE$34,1,0)</f>
        <v/>
      </c>
      <c r="AB99">
        <f>IF(AA99=C99,1,0)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$AE$12+D100*$AE$13+E100*$AE$14+F100*$AE$15+G100*$AE$16+H100*$AE$17+I100*$AE$18+J100*$AE$19+K100*$AE$20+L100*$AE$21+M100*$AE$22+N100*$AE$23+O100*$AE$24+P100*$AE$25+Q100*$AE$26+R100*$AE$27+S100*$AE$28+T100*$AE$29+U100*$AE$30</f>
        <v/>
      </c>
      <c r="W100" s="8">
        <f>1/(1+EXP(-V100))</f>
        <v/>
      </c>
      <c r="X100" s="9">
        <f>-IF(C100=1,LN(W100),LN(1-W100))</f>
        <v/>
      </c>
      <c r="Y100" s="8">
        <f>IF(C100=1,$AE$32,$AE$33)</f>
        <v/>
      </c>
      <c r="Z100" s="9">
        <f>Y100*X100</f>
        <v/>
      </c>
      <c r="AA100" s="10">
        <f>IF(W100&gt;$AE$34,1,0)</f>
        <v/>
      </c>
      <c r="AB100">
        <f>IF(AA100=C100,1,0)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$AE$12+D101*$AE$13+E101*$AE$14+F101*$AE$15+G101*$AE$16+H101*$AE$17+I101*$AE$18+J101*$AE$19+K101*$AE$20+L101*$AE$21+M101*$AE$22+N101*$AE$23+O101*$AE$24+P101*$AE$25+Q101*$AE$26+R101*$AE$27+S101*$AE$28+T101*$AE$29+U101*$AE$30</f>
        <v/>
      </c>
      <c r="W101" s="8">
        <f>1/(1+EXP(-V101))</f>
        <v/>
      </c>
      <c r="X101" s="9">
        <f>-IF(C101=1,LN(W101),LN(1-W101))</f>
        <v/>
      </c>
      <c r="Y101" s="8">
        <f>IF(C101=1,$AE$32,$AE$33)</f>
        <v/>
      </c>
      <c r="Z101" s="9">
        <f>Y101*X101</f>
        <v/>
      </c>
      <c r="AA101" s="10">
        <f>IF(W101&gt;$AE$34,1,0)</f>
        <v/>
      </c>
      <c r="AB101">
        <f>IF(AA101=C101,1,0)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$AE$12+D102*$AE$13+E102*$AE$14+F102*$AE$15+G102*$AE$16+H102*$AE$17+I102*$AE$18+J102*$AE$19+K102*$AE$20+L102*$AE$21+M102*$AE$22+N102*$AE$23+O102*$AE$24+P102*$AE$25+Q102*$AE$26+R102*$AE$27+S102*$AE$28+T102*$AE$29+U102*$AE$30</f>
        <v/>
      </c>
      <c r="W102" s="8">
        <f>1/(1+EXP(-V102))</f>
        <v/>
      </c>
      <c r="X102" s="9">
        <f>-IF(C102=1,LN(W102),LN(1-W102))</f>
        <v/>
      </c>
      <c r="Y102" s="8">
        <f>IF(C102=1,$AE$32,$AE$33)</f>
        <v/>
      </c>
      <c r="Z102" s="9">
        <f>Y102*X102</f>
        <v/>
      </c>
      <c r="AA102" s="10">
        <f>IF(W102&gt;$AE$34,1,0)</f>
        <v/>
      </c>
      <c r="AB102">
        <f>IF(AA102=C102,1,0)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$AE$12+D103*$AE$13+E103*$AE$14+F103*$AE$15+G103*$AE$16+H103*$AE$17+I103*$AE$18+J103*$AE$19+K103*$AE$20+L103*$AE$21+M103*$AE$22+N103*$AE$23+O103*$AE$24+P103*$AE$25+Q103*$AE$26+R103*$AE$27+S103*$AE$28+T103*$AE$29+U103*$AE$30</f>
        <v/>
      </c>
      <c r="W103" s="8">
        <f>1/(1+EXP(-V103))</f>
        <v/>
      </c>
      <c r="X103" s="9">
        <f>-IF(C103=1,LN(W103),LN(1-W103))</f>
        <v/>
      </c>
      <c r="Y103" s="8">
        <f>IF(C103=1,$AE$32,$AE$33)</f>
        <v/>
      </c>
      <c r="Z103" s="9">
        <f>Y103*X103</f>
        <v/>
      </c>
      <c r="AA103" s="10">
        <f>IF(W103&gt;$AE$34,1,0)</f>
        <v/>
      </c>
      <c r="AB103">
        <f>IF(AA103=C103,1,0)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$AE$12+D104*$AE$13+E104*$AE$14+F104*$AE$15+G104*$AE$16+H104*$AE$17+I104*$AE$18+J104*$AE$19+K104*$AE$20+L104*$AE$21+M104*$AE$22+N104*$AE$23+O104*$AE$24+P104*$AE$25+Q104*$AE$26+R104*$AE$27+S104*$AE$28+T104*$AE$29+U104*$AE$30</f>
        <v/>
      </c>
      <c r="W104" s="8">
        <f>1/(1+EXP(-V104))</f>
        <v/>
      </c>
      <c r="X104" s="9">
        <f>-IF(C104=1,LN(W104),LN(1-W104))</f>
        <v/>
      </c>
      <c r="Y104" s="8">
        <f>IF(C104=1,$AE$32,$AE$33)</f>
        <v/>
      </c>
      <c r="Z104" s="9">
        <f>Y104*X104</f>
        <v/>
      </c>
      <c r="AA104" s="10">
        <f>IF(W104&gt;$AE$34,1,0)</f>
        <v/>
      </c>
      <c r="AB104">
        <f>IF(AA104=C104,1,0)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$AE$12+D105*$AE$13+E105*$AE$14+F105*$AE$15+G105*$AE$16+H105*$AE$17+I105*$AE$18+J105*$AE$19+K105*$AE$20+L105*$AE$21+M105*$AE$22+N105*$AE$23+O105*$AE$24+P105*$AE$25+Q105*$AE$26+R105*$AE$27+S105*$AE$28+T105*$AE$29+U105*$AE$30</f>
        <v/>
      </c>
      <c r="W105" s="8">
        <f>1/(1+EXP(-V105))</f>
        <v/>
      </c>
      <c r="X105" s="9">
        <f>-IF(C105=1,LN(W105),LN(1-W105))</f>
        <v/>
      </c>
      <c r="Y105" s="8">
        <f>IF(C105=1,$AE$32,$AE$33)</f>
        <v/>
      </c>
      <c r="Z105" s="9">
        <f>Y105*X105</f>
        <v/>
      </c>
      <c r="AA105" s="10">
        <f>IF(W105&gt;$AE$34,1,0)</f>
        <v/>
      </c>
      <c r="AB105">
        <f>IF(AA105=C105,1,0)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$AE$12+D106*$AE$13+E106*$AE$14+F106*$AE$15+G106*$AE$16+H106*$AE$17+I106*$AE$18+J106*$AE$19+K106*$AE$20+L106*$AE$21+M106*$AE$22+N106*$AE$23+O106*$AE$24+P106*$AE$25+Q106*$AE$26+R106*$AE$27+S106*$AE$28+T106*$AE$29+U106*$AE$30</f>
        <v/>
      </c>
      <c r="W106" s="8">
        <f>1/(1+EXP(-V106))</f>
        <v/>
      </c>
      <c r="X106" s="9">
        <f>-IF(C106=1,LN(W106),LN(1-W106))</f>
        <v/>
      </c>
      <c r="Y106" s="8">
        <f>IF(C106=1,$AE$32,$AE$33)</f>
        <v/>
      </c>
      <c r="Z106" s="9">
        <f>Y106*X106</f>
        <v/>
      </c>
      <c r="AA106" s="10">
        <f>IF(W106&gt;$AE$34,1,0)</f>
        <v/>
      </c>
      <c r="AB106">
        <f>IF(AA106=C106,1,0)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$AE$12+D107*$AE$13+E107*$AE$14+F107*$AE$15+G107*$AE$16+H107*$AE$17+I107*$AE$18+J107*$AE$19+K107*$AE$20+L107*$AE$21+M107*$AE$22+N107*$AE$23+O107*$AE$24+P107*$AE$25+Q107*$AE$26+R107*$AE$27+S107*$AE$28+T107*$AE$29+U107*$AE$30</f>
        <v/>
      </c>
      <c r="W107" s="8">
        <f>1/(1+EXP(-V107))</f>
        <v/>
      </c>
      <c r="X107" s="9">
        <f>-IF(C107=1,LN(W107),LN(1-W107))</f>
        <v/>
      </c>
      <c r="Y107" s="8">
        <f>IF(C107=1,$AE$32,$AE$33)</f>
        <v/>
      </c>
      <c r="Z107" s="9">
        <f>Y107*X107</f>
        <v/>
      </c>
      <c r="AA107" s="10">
        <f>IF(W107&gt;$AE$34,1,0)</f>
        <v/>
      </c>
      <c r="AB107">
        <f>IF(AA107=C107,1,0)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$AE$12+D108*$AE$13+E108*$AE$14+F108*$AE$15+G108*$AE$16+H108*$AE$17+I108*$AE$18+J108*$AE$19+K108*$AE$20+L108*$AE$21+M108*$AE$22+N108*$AE$23+O108*$AE$24+P108*$AE$25+Q108*$AE$26+R108*$AE$27+S108*$AE$28+T108*$AE$29+U108*$AE$30</f>
        <v/>
      </c>
      <c r="W108" s="8">
        <f>1/(1+EXP(-V108))</f>
        <v/>
      </c>
      <c r="X108" s="9">
        <f>-IF(C108=1,LN(W108),LN(1-W108))</f>
        <v/>
      </c>
      <c r="Y108" s="8">
        <f>IF(C108=1,$AE$32,$AE$33)</f>
        <v/>
      </c>
      <c r="Z108" s="9">
        <f>Y108*X108</f>
        <v/>
      </c>
      <c r="AA108" s="10">
        <f>IF(W108&gt;$AE$34,1,0)</f>
        <v/>
      </c>
      <c r="AB108">
        <f>IF(AA108=C108,1,0)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$AE$12+D109*$AE$13+E109*$AE$14+F109*$AE$15+G109*$AE$16+H109*$AE$17+I109*$AE$18+J109*$AE$19+K109*$AE$20+L109*$AE$21+M109*$AE$22+N109*$AE$23+O109*$AE$24+P109*$AE$25+Q109*$AE$26+R109*$AE$27+S109*$AE$28+T109*$AE$29+U109*$AE$30</f>
        <v/>
      </c>
      <c r="W109" s="8">
        <f>1/(1+EXP(-V109))</f>
        <v/>
      </c>
      <c r="X109" s="9">
        <f>-IF(C109=1,LN(W109),LN(1-W109))</f>
        <v/>
      </c>
      <c r="Y109" s="8">
        <f>IF(C109=1,$AE$32,$AE$33)</f>
        <v/>
      </c>
      <c r="Z109" s="9">
        <f>Y109*X109</f>
        <v/>
      </c>
      <c r="AA109" s="10">
        <f>IF(W109&gt;$AE$34,1,0)</f>
        <v/>
      </c>
      <c r="AB109">
        <f>IF(AA109=C109,1,0)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$AE$12+D110*$AE$13+E110*$AE$14+F110*$AE$15+G110*$AE$16+H110*$AE$17+I110*$AE$18+J110*$AE$19+K110*$AE$20+L110*$AE$21+M110*$AE$22+N110*$AE$23+O110*$AE$24+P110*$AE$25+Q110*$AE$26+R110*$AE$27+S110*$AE$28+T110*$AE$29+U110*$AE$30</f>
        <v/>
      </c>
      <c r="W110" s="8">
        <f>1/(1+EXP(-V110))</f>
        <v/>
      </c>
      <c r="X110" s="9">
        <f>-IF(C110=1,LN(W110),LN(1-W110))</f>
        <v/>
      </c>
      <c r="Y110" s="8">
        <f>IF(C110=1,$AE$32,$AE$33)</f>
        <v/>
      </c>
      <c r="Z110" s="9">
        <f>Y110*X110</f>
        <v/>
      </c>
      <c r="AA110" s="10">
        <f>IF(W110&gt;$AE$34,1,0)</f>
        <v/>
      </c>
      <c r="AB110">
        <f>IF(AA110=C110,1,0)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$AE$12+D111*$AE$13+E111*$AE$14+F111*$AE$15+G111*$AE$16+H111*$AE$17+I111*$AE$18+J111*$AE$19+K111*$AE$20+L111*$AE$21+M111*$AE$22+N111*$AE$23+O111*$AE$24+P111*$AE$25+Q111*$AE$26+R111*$AE$27+S111*$AE$28+T111*$AE$29+U111*$AE$30</f>
        <v/>
      </c>
      <c r="W111" s="8">
        <f>1/(1+EXP(-V111))</f>
        <v/>
      </c>
      <c r="X111" s="9">
        <f>-IF(C111=1,LN(W111),LN(1-W111))</f>
        <v/>
      </c>
      <c r="Y111" s="8">
        <f>IF(C111=1,$AE$32,$AE$33)</f>
        <v/>
      </c>
      <c r="Z111" s="9">
        <f>Y111*X111</f>
        <v/>
      </c>
      <c r="AA111" s="10">
        <f>IF(W111&gt;$AE$34,1,0)</f>
        <v/>
      </c>
      <c r="AB111">
        <f>IF(AA111=C111,1,0)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$AE$12+D112*$AE$13+E112*$AE$14+F112*$AE$15+G112*$AE$16+H112*$AE$17+I112*$AE$18+J112*$AE$19+K112*$AE$20+L112*$AE$21+M112*$AE$22+N112*$AE$23+O112*$AE$24+P112*$AE$25+Q112*$AE$26+R112*$AE$27+S112*$AE$28+T112*$AE$29+U112*$AE$30</f>
        <v/>
      </c>
      <c r="W112" s="8">
        <f>1/(1+EXP(-V112))</f>
        <v/>
      </c>
      <c r="X112" s="9">
        <f>-IF(C112=1,LN(W112),LN(1-W112))</f>
        <v/>
      </c>
      <c r="Y112" s="8">
        <f>IF(C112=1,$AE$32,$AE$33)</f>
        <v/>
      </c>
      <c r="Z112" s="9">
        <f>Y112*X112</f>
        <v/>
      </c>
      <c r="AA112" s="10">
        <f>IF(W112&gt;$AE$34,1,0)</f>
        <v/>
      </c>
      <c r="AB112">
        <f>IF(AA112=C112,1,0)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$AE$12+D113*$AE$13+E113*$AE$14+F113*$AE$15+G113*$AE$16+H113*$AE$17+I113*$AE$18+J113*$AE$19+K113*$AE$20+L113*$AE$21+M113*$AE$22+N113*$AE$23+O113*$AE$24+P113*$AE$25+Q113*$AE$26+R113*$AE$27+S113*$AE$28+T113*$AE$29+U113*$AE$30</f>
        <v/>
      </c>
      <c r="W113" s="8">
        <f>1/(1+EXP(-V113))</f>
        <v/>
      </c>
      <c r="X113" s="9">
        <f>-IF(C113=1,LN(W113),LN(1-W113))</f>
        <v/>
      </c>
      <c r="Y113" s="8">
        <f>IF(C113=1,$AE$32,$AE$33)</f>
        <v/>
      </c>
      <c r="Z113" s="9">
        <f>Y113*X113</f>
        <v/>
      </c>
      <c r="AA113" s="10">
        <f>IF(W113&gt;$AE$34,1,0)</f>
        <v/>
      </c>
      <c r="AB113">
        <f>IF(AA113=C113,1,0)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$AE$12+D114*$AE$13+E114*$AE$14+F114*$AE$15+G114*$AE$16+H114*$AE$17+I114*$AE$18+J114*$AE$19+K114*$AE$20+L114*$AE$21+M114*$AE$22+N114*$AE$23+O114*$AE$24+P114*$AE$25+Q114*$AE$26+R114*$AE$27+S114*$AE$28+T114*$AE$29+U114*$AE$30</f>
        <v/>
      </c>
      <c r="W114" s="8">
        <f>1/(1+EXP(-V114))</f>
        <v/>
      </c>
      <c r="X114" s="9">
        <f>-IF(C114=1,LN(W114),LN(1-W114))</f>
        <v/>
      </c>
      <c r="Y114" s="8">
        <f>IF(C114=1,$AE$32,$AE$33)</f>
        <v/>
      </c>
      <c r="Z114" s="9">
        <f>Y114*X114</f>
        <v/>
      </c>
      <c r="AA114" s="10">
        <f>IF(W114&gt;$AE$34,1,0)</f>
        <v/>
      </c>
      <c r="AB114">
        <f>IF(AA114=C114,1,0)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$AE$12+D115*$AE$13+E115*$AE$14+F115*$AE$15+G115*$AE$16+H115*$AE$17+I115*$AE$18+J115*$AE$19+K115*$AE$20+L115*$AE$21+M115*$AE$22+N115*$AE$23+O115*$AE$24+P115*$AE$25+Q115*$AE$26+R115*$AE$27+S115*$AE$28+T115*$AE$29+U115*$AE$30</f>
        <v/>
      </c>
      <c r="W115" s="8">
        <f>1/(1+EXP(-V115))</f>
        <v/>
      </c>
      <c r="X115" s="9">
        <f>-IF(C115=1,LN(W115),LN(1-W115))</f>
        <v/>
      </c>
      <c r="Y115" s="8">
        <f>IF(C115=1,$AE$32,$AE$33)</f>
        <v/>
      </c>
      <c r="Z115" s="9">
        <f>Y115*X115</f>
        <v/>
      </c>
      <c r="AA115" s="10">
        <f>IF(W115&gt;$AE$34,1,0)</f>
        <v/>
      </c>
      <c r="AB115">
        <f>IF(AA115=C115,1,0)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$AE$12+D116*$AE$13+E116*$AE$14+F116*$AE$15+G116*$AE$16+H116*$AE$17+I116*$AE$18+J116*$AE$19+K116*$AE$20+L116*$AE$21+M116*$AE$22+N116*$AE$23+O116*$AE$24+P116*$AE$25+Q116*$AE$26+R116*$AE$27+S116*$AE$28+T116*$AE$29+U116*$AE$30</f>
        <v/>
      </c>
      <c r="W116" s="8">
        <f>1/(1+EXP(-V116))</f>
        <v/>
      </c>
      <c r="X116" s="9">
        <f>-IF(C116=1,LN(W116),LN(1-W116))</f>
        <v/>
      </c>
      <c r="Y116" s="8">
        <f>IF(C116=1,$AE$32,$AE$33)</f>
        <v/>
      </c>
      <c r="Z116" s="9">
        <f>Y116*X116</f>
        <v/>
      </c>
      <c r="AA116" s="10">
        <f>IF(W116&gt;$AE$34,1,0)</f>
        <v/>
      </c>
      <c r="AB116">
        <f>IF(AA116=C116,1,0)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$AE$12+D117*$AE$13+E117*$AE$14+F117*$AE$15+G117*$AE$16+H117*$AE$17+I117*$AE$18+J117*$AE$19+K117*$AE$20+L117*$AE$21+M117*$AE$22+N117*$AE$23+O117*$AE$24+P117*$AE$25+Q117*$AE$26+R117*$AE$27+S117*$AE$28+T117*$AE$29+U117*$AE$30</f>
        <v/>
      </c>
      <c r="W117" s="8">
        <f>1/(1+EXP(-V117))</f>
        <v/>
      </c>
      <c r="X117" s="9">
        <f>-IF(C117=1,LN(W117),LN(1-W117))</f>
        <v/>
      </c>
      <c r="Y117" s="8">
        <f>IF(C117=1,$AE$32,$AE$33)</f>
        <v/>
      </c>
      <c r="Z117" s="9">
        <f>Y117*X117</f>
        <v/>
      </c>
      <c r="AA117" s="10">
        <f>IF(W117&gt;$AE$34,1,0)</f>
        <v/>
      </c>
      <c r="AB117">
        <f>IF(AA117=C117,1,0)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$AE$12+D118*$AE$13+E118*$AE$14+F118*$AE$15+G118*$AE$16+H118*$AE$17+I118*$AE$18+J118*$AE$19+K118*$AE$20+L118*$AE$21+M118*$AE$22+N118*$AE$23+O118*$AE$24+P118*$AE$25+Q118*$AE$26+R118*$AE$27+S118*$AE$28+T118*$AE$29+U118*$AE$30</f>
        <v/>
      </c>
      <c r="W118" s="8">
        <f>1/(1+EXP(-V118))</f>
        <v/>
      </c>
      <c r="X118" s="9">
        <f>-IF(C118=1,LN(W118),LN(1-W118))</f>
        <v/>
      </c>
      <c r="Y118" s="8">
        <f>IF(C118=1,$AE$32,$AE$33)</f>
        <v/>
      </c>
      <c r="Z118" s="9">
        <f>Y118*X118</f>
        <v/>
      </c>
      <c r="AA118" s="10">
        <f>IF(W118&gt;$AE$34,1,0)</f>
        <v/>
      </c>
      <c r="AB118">
        <f>IF(AA118=C118,1,0)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$AE$12+D119*$AE$13+E119*$AE$14+F119*$AE$15+G119*$AE$16+H119*$AE$17+I119*$AE$18+J119*$AE$19+K119*$AE$20+L119*$AE$21+M119*$AE$22+N119*$AE$23+O119*$AE$24+P119*$AE$25+Q119*$AE$26+R119*$AE$27+S119*$AE$28+T119*$AE$29+U119*$AE$30</f>
        <v/>
      </c>
      <c r="W119" s="8">
        <f>1/(1+EXP(-V119))</f>
        <v/>
      </c>
      <c r="X119" s="9">
        <f>-IF(C119=1,LN(W119),LN(1-W119))</f>
        <v/>
      </c>
      <c r="Y119" s="8">
        <f>IF(C119=1,$AE$32,$AE$33)</f>
        <v/>
      </c>
      <c r="Z119" s="9">
        <f>Y119*X119</f>
        <v/>
      </c>
      <c r="AA119" s="10">
        <f>IF(W119&gt;$AE$34,1,0)</f>
        <v/>
      </c>
      <c r="AB119">
        <f>IF(AA119=C119,1,0)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$AE$12+D120*$AE$13+E120*$AE$14+F120*$AE$15+G120*$AE$16+H120*$AE$17+I120*$AE$18+J120*$AE$19+K120*$AE$20+L120*$AE$21+M120*$AE$22+N120*$AE$23+O120*$AE$24+P120*$AE$25+Q120*$AE$26+R120*$AE$27+S120*$AE$28+T120*$AE$29+U120*$AE$30</f>
        <v/>
      </c>
      <c r="W120" s="8">
        <f>1/(1+EXP(-V120))</f>
        <v/>
      </c>
      <c r="X120" s="9">
        <f>-IF(C120=1,LN(W120),LN(1-W120))</f>
        <v/>
      </c>
      <c r="Y120" s="8">
        <f>IF(C120=1,$AE$32,$AE$33)</f>
        <v/>
      </c>
      <c r="Z120" s="9">
        <f>Y120*X120</f>
        <v/>
      </c>
      <c r="AA120" s="10">
        <f>IF(W120&gt;$AE$34,1,0)</f>
        <v/>
      </c>
      <c r="AB120">
        <f>IF(AA120=C120,1,0)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$AE$12+D121*$AE$13+E121*$AE$14+F121*$AE$15+G121*$AE$16+H121*$AE$17+I121*$AE$18+J121*$AE$19+K121*$AE$20+L121*$AE$21+M121*$AE$22+N121*$AE$23+O121*$AE$24+P121*$AE$25+Q121*$AE$26+R121*$AE$27+S121*$AE$28+T121*$AE$29+U121*$AE$30</f>
        <v/>
      </c>
      <c r="W121" s="8">
        <f>1/(1+EXP(-V121))</f>
        <v/>
      </c>
      <c r="X121" s="9">
        <f>-IF(C121=1,LN(W121),LN(1-W121))</f>
        <v/>
      </c>
      <c r="Y121" s="8">
        <f>IF(C121=1,$AE$32,$AE$33)</f>
        <v/>
      </c>
      <c r="Z121" s="9">
        <f>Y121*X121</f>
        <v/>
      </c>
      <c r="AA121" s="10">
        <f>IF(W121&gt;$AE$34,1,0)</f>
        <v/>
      </c>
      <c r="AB121">
        <f>IF(AA121=C121,1,0)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$AE$12+D122*$AE$13+E122*$AE$14+F122*$AE$15+G122*$AE$16+H122*$AE$17+I122*$AE$18+J122*$AE$19+K122*$AE$20+L122*$AE$21+M122*$AE$22+N122*$AE$23+O122*$AE$24+P122*$AE$25+Q122*$AE$26+R122*$AE$27+S122*$AE$28+T122*$AE$29+U122*$AE$30</f>
        <v/>
      </c>
      <c r="W122" s="8">
        <f>1/(1+EXP(-V122))</f>
        <v/>
      </c>
      <c r="X122" s="9">
        <f>-IF(C122=1,LN(W122),LN(1-W122))</f>
        <v/>
      </c>
      <c r="Y122" s="8">
        <f>IF(C122=1,$AE$32,$AE$33)</f>
        <v/>
      </c>
      <c r="Z122" s="9">
        <f>Y122*X122</f>
        <v/>
      </c>
      <c r="AA122" s="10">
        <f>IF(W122&gt;$AE$34,1,0)</f>
        <v/>
      </c>
      <c r="AB122">
        <f>IF(AA122=C122,1,0)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$AE$12+D123*$AE$13+E123*$AE$14+F123*$AE$15+G123*$AE$16+H123*$AE$17+I123*$AE$18+J123*$AE$19+K123*$AE$20+L123*$AE$21+M123*$AE$22+N123*$AE$23+O123*$AE$24+P123*$AE$25+Q123*$AE$26+R123*$AE$27+S123*$AE$28+T123*$AE$29+U123*$AE$30</f>
        <v/>
      </c>
      <c r="W123" s="8">
        <f>1/(1+EXP(-V123))</f>
        <v/>
      </c>
      <c r="X123" s="9">
        <f>-IF(C123=1,LN(W123),LN(1-W123))</f>
        <v/>
      </c>
      <c r="Y123" s="8">
        <f>IF(C123=1,$AE$32,$AE$33)</f>
        <v/>
      </c>
      <c r="Z123" s="9">
        <f>Y123*X123</f>
        <v/>
      </c>
      <c r="AA123" s="10">
        <f>IF(W123&gt;$AE$34,1,0)</f>
        <v/>
      </c>
      <c r="AB123">
        <f>IF(AA123=C123,1,0)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$AE$12+D124*$AE$13+E124*$AE$14+F124*$AE$15+G124*$AE$16+H124*$AE$17+I124*$AE$18+J124*$AE$19+K124*$AE$20+L124*$AE$21+M124*$AE$22+N124*$AE$23+O124*$AE$24+P124*$AE$25+Q124*$AE$26+R124*$AE$27+S124*$AE$28+T124*$AE$29+U124*$AE$30</f>
        <v/>
      </c>
      <c r="W124" s="8">
        <f>1/(1+EXP(-V124))</f>
        <v/>
      </c>
      <c r="X124" s="9">
        <f>-IF(C124=1,LN(W124),LN(1-W124))</f>
        <v/>
      </c>
      <c r="Y124" s="8">
        <f>IF(C124=1,$AE$32,$AE$33)</f>
        <v/>
      </c>
      <c r="Z124" s="9">
        <f>Y124*X124</f>
        <v/>
      </c>
      <c r="AA124" s="10">
        <f>IF(W124&gt;$AE$34,1,0)</f>
        <v/>
      </c>
      <c r="AB124">
        <f>IF(AA124=C124,1,0)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$AE$12+D125*$AE$13+E125*$AE$14+F125*$AE$15+G125*$AE$16+H125*$AE$17+I125*$AE$18+J125*$AE$19+K125*$AE$20+L125*$AE$21+M125*$AE$22+N125*$AE$23+O125*$AE$24+P125*$AE$25+Q125*$AE$26+R125*$AE$27+S125*$AE$28+T125*$AE$29+U125*$AE$30</f>
        <v/>
      </c>
      <c r="W125" s="8">
        <f>1/(1+EXP(-V125))</f>
        <v/>
      </c>
      <c r="X125" s="9">
        <f>-IF(C125=1,LN(W125),LN(1-W125))</f>
        <v/>
      </c>
      <c r="Y125" s="8">
        <f>IF(C125=1,$AE$32,$AE$33)</f>
        <v/>
      </c>
      <c r="Z125" s="9">
        <f>Y125*X125</f>
        <v/>
      </c>
      <c r="AA125" s="10">
        <f>IF(W125&gt;$AE$34,1,0)</f>
        <v/>
      </c>
      <c r="AB125">
        <f>IF(AA125=C125,1,0)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$AE$12+D126*$AE$13+E126*$AE$14+F126*$AE$15+G126*$AE$16+H126*$AE$17+I126*$AE$18+J126*$AE$19+K126*$AE$20+L126*$AE$21+M126*$AE$22+N126*$AE$23+O126*$AE$24+P126*$AE$25+Q126*$AE$26+R126*$AE$27+S126*$AE$28+T126*$AE$29+U126*$AE$30</f>
        <v/>
      </c>
      <c r="W126" s="8">
        <f>1/(1+EXP(-V126))</f>
        <v/>
      </c>
      <c r="X126" s="9">
        <f>-IF(C126=1,LN(W126),LN(1-W126))</f>
        <v/>
      </c>
      <c r="Y126" s="8">
        <f>IF(C126=1,$AE$32,$AE$33)</f>
        <v/>
      </c>
      <c r="Z126" s="9">
        <f>Y126*X126</f>
        <v/>
      </c>
      <c r="AA126" s="10">
        <f>IF(W126&gt;$AE$34,1,0)</f>
        <v/>
      </c>
      <c r="AB126">
        <f>IF(AA126=C126,1,0)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$AE$12+D127*$AE$13+E127*$AE$14+F127*$AE$15+G127*$AE$16+H127*$AE$17+I127*$AE$18+J127*$AE$19+K127*$AE$20+L127*$AE$21+M127*$AE$22+N127*$AE$23+O127*$AE$24+P127*$AE$25+Q127*$AE$26+R127*$AE$27+S127*$AE$28+T127*$AE$29+U127*$AE$30</f>
        <v/>
      </c>
      <c r="W127" s="8">
        <f>1/(1+EXP(-V127))</f>
        <v/>
      </c>
      <c r="X127" s="9">
        <f>-IF(C127=1,LN(W127),LN(1-W127))</f>
        <v/>
      </c>
      <c r="Y127" s="8">
        <f>IF(C127=1,$AE$32,$AE$33)</f>
        <v/>
      </c>
      <c r="Z127" s="9">
        <f>Y127*X127</f>
        <v/>
      </c>
      <c r="AA127" s="10">
        <f>IF(W127&gt;$AE$34,1,0)</f>
        <v/>
      </c>
      <c r="AB127">
        <f>IF(AA127=C127,1,0)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$AE$12+D128*$AE$13+E128*$AE$14+F128*$AE$15+G128*$AE$16+H128*$AE$17+I128*$AE$18+J128*$AE$19+K128*$AE$20+L128*$AE$21+M128*$AE$22+N128*$AE$23+O128*$AE$24+P128*$AE$25+Q128*$AE$26+R128*$AE$27+S128*$AE$28+T128*$AE$29+U128*$AE$30</f>
        <v/>
      </c>
      <c r="W128" s="8">
        <f>1/(1+EXP(-V128))</f>
        <v/>
      </c>
      <c r="X128" s="9">
        <f>-IF(C128=1,LN(W128),LN(1-W128))</f>
        <v/>
      </c>
      <c r="Y128" s="8">
        <f>IF(C128=1,$AE$32,$AE$33)</f>
        <v/>
      </c>
      <c r="Z128" s="9">
        <f>Y128*X128</f>
        <v/>
      </c>
      <c r="AA128" s="10">
        <f>IF(W128&gt;$AE$34,1,0)</f>
        <v/>
      </c>
      <c r="AB128">
        <f>IF(AA128=C128,1,0)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$AE$12+D129*$AE$13+E129*$AE$14+F129*$AE$15+G129*$AE$16+H129*$AE$17+I129*$AE$18+J129*$AE$19+K129*$AE$20+L129*$AE$21+M129*$AE$22+N129*$AE$23+O129*$AE$24+P129*$AE$25+Q129*$AE$26+R129*$AE$27+S129*$AE$28+T129*$AE$29+U129*$AE$30</f>
        <v/>
      </c>
      <c r="W129" s="8">
        <f>1/(1+EXP(-V129))</f>
        <v/>
      </c>
      <c r="X129" s="9">
        <f>-IF(C129=1,LN(W129),LN(1-W129))</f>
        <v/>
      </c>
      <c r="Y129" s="8">
        <f>IF(C129=1,$AE$32,$AE$33)</f>
        <v/>
      </c>
      <c r="Z129" s="9">
        <f>Y129*X129</f>
        <v/>
      </c>
      <c r="AA129" s="10">
        <f>IF(W129&gt;$AE$34,1,0)</f>
        <v/>
      </c>
      <c r="AB129">
        <f>IF(AA129=C129,1,0)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$AE$12+D130*$AE$13+E130*$AE$14+F130*$AE$15+G130*$AE$16+H130*$AE$17+I130*$AE$18+J130*$AE$19+K130*$AE$20+L130*$AE$21+M130*$AE$22+N130*$AE$23+O130*$AE$24+P130*$AE$25+Q130*$AE$26+R130*$AE$27+S130*$AE$28+T130*$AE$29+U130*$AE$30</f>
        <v/>
      </c>
      <c r="W130" s="8">
        <f>1/(1+EXP(-V130))</f>
        <v/>
      </c>
      <c r="X130" s="9">
        <f>-IF(C130=1,LN(W130),LN(1-W130))</f>
        <v/>
      </c>
      <c r="Y130" s="8">
        <f>IF(C130=1,$AE$32,$AE$33)</f>
        <v/>
      </c>
      <c r="Z130" s="9">
        <f>Y130*X130</f>
        <v/>
      </c>
      <c r="AA130" s="10">
        <f>IF(W130&gt;$AE$34,1,0)</f>
        <v/>
      </c>
      <c r="AB130">
        <f>IF(AA130=C130,1,0)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$AE$12+D131*$AE$13+E131*$AE$14+F131*$AE$15+G131*$AE$16+H131*$AE$17+I131*$AE$18+J131*$AE$19+K131*$AE$20+L131*$AE$21+M131*$AE$22+N131*$AE$23+O131*$AE$24+P131*$AE$25+Q131*$AE$26+R131*$AE$27+S131*$AE$28+T131*$AE$29+U131*$AE$30</f>
        <v/>
      </c>
      <c r="W131" s="8">
        <f>1/(1+EXP(-V131))</f>
        <v/>
      </c>
      <c r="X131" s="9">
        <f>-IF(C131=1,LN(W131),LN(1-W131))</f>
        <v/>
      </c>
      <c r="Y131" s="8">
        <f>IF(C131=1,$AE$32,$AE$33)</f>
        <v/>
      </c>
      <c r="Z131" s="9">
        <f>Y131*X131</f>
        <v/>
      </c>
      <c r="AA131" s="10">
        <f>IF(W131&gt;$AE$34,1,0)</f>
        <v/>
      </c>
      <c r="AB131">
        <f>IF(AA131=C131,1,0)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$AE$12+D132*$AE$13+E132*$AE$14+F132*$AE$15+G132*$AE$16+H132*$AE$17+I132*$AE$18+J132*$AE$19+K132*$AE$20+L132*$AE$21+M132*$AE$22+N132*$AE$23+O132*$AE$24+P132*$AE$25+Q132*$AE$26+R132*$AE$27+S132*$AE$28+T132*$AE$29+U132*$AE$30</f>
        <v/>
      </c>
      <c r="W132" s="8">
        <f>1/(1+EXP(-V132))</f>
        <v/>
      </c>
      <c r="X132" s="9">
        <f>-IF(C132=1,LN(W132),LN(1-W132))</f>
        <v/>
      </c>
      <c r="Y132" s="8">
        <f>IF(C132=1,$AE$32,$AE$33)</f>
        <v/>
      </c>
      <c r="Z132" s="9">
        <f>Y132*X132</f>
        <v/>
      </c>
      <c r="AA132" s="10">
        <f>IF(W132&gt;$AE$34,1,0)</f>
        <v/>
      </c>
      <c r="AB132">
        <f>IF(AA132=C132,1,0)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$AE$12+D133*$AE$13+E133*$AE$14+F133*$AE$15+G133*$AE$16+H133*$AE$17+I133*$AE$18+J133*$AE$19+K133*$AE$20+L133*$AE$21+M133*$AE$22+N133*$AE$23+O133*$AE$24+P133*$AE$25+Q133*$AE$26+R133*$AE$27+S133*$AE$28+T133*$AE$29+U133*$AE$30</f>
        <v/>
      </c>
      <c r="W133" s="8">
        <f>1/(1+EXP(-V133))</f>
        <v/>
      </c>
      <c r="X133" s="9">
        <f>-IF(C133=1,LN(W133),LN(1-W133))</f>
        <v/>
      </c>
      <c r="Y133" s="8">
        <f>IF(C133=1,$AE$32,$AE$33)</f>
        <v/>
      </c>
      <c r="Z133" s="9">
        <f>Y133*X133</f>
        <v/>
      </c>
      <c r="AA133" s="10">
        <f>IF(W133&gt;$AE$34,1,0)</f>
        <v/>
      </c>
      <c r="AB133">
        <f>IF(AA133=C133,1,0)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$AE$12+D134*$AE$13+E134*$AE$14+F134*$AE$15+G134*$AE$16+H134*$AE$17+I134*$AE$18+J134*$AE$19+K134*$AE$20+L134*$AE$21+M134*$AE$22+N134*$AE$23+O134*$AE$24+P134*$AE$25+Q134*$AE$26+R134*$AE$27+S134*$AE$28+T134*$AE$29+U134*$AE$30</f>
        <v/>
      </c>
      <c r="W134" s="8">
        <f>1/(1+EXP(-V134))</f>
        <v/>
      </c>
      <c r="X134" s="9">
        <f>-IF(C134=1,LN(W134),LN(1-W134))</f>
        <v/>
      </c>
      <c r="Y134" s="8">
        <f>IF(C134=1,$AE$32,$AE$33)</f>
        <v/>
      </c>
      <c r="Z134" s="9">
        <f>Y134*X134</f>
        <v/>
      </c>
      <c r="AA134" s="10">
        <f>IF(W134&gt;$AE$34,1,0)</f>
        <v/>
      </c>
      <c r="AB134">
        <f>IF(AA134=C134,1,0)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$AE$12+D135*$AE$13+E135*$AE$14+F135*$AE$15+G135*$AE$16+H135*$AE$17+I135*$AE$18+J135*$AE$19+K135*$AE$20+L135*$AE$21+M135*$AE$22+N135*$AE$23+O135*$AE$24+P135*$AE$25+Q135*$AE$26+R135*$AE$27+S135*$AE$28+T135*$AE$29+U135*$AE$30</f>
        <v/>
      </c>
      <c r="W135" s="8">
        <f>1/(1+EXP(-V135))</f>
        <v/>
      </c>
      <c r="X135" s="9">
        <f>-IF(C135=1,LN(W135),LN(1-W135))</f>
        <v/>
      </c>
      <c r="Y135" s="8">
        <f>IF(C135=1,$AE$32,$AE$33)</f>
        <v/>
      </c>
      <c r="Z135" s="9">
        <f>Y135*X135</f>
        <v/>
      </c>
      <c r="AA135" s="10">
        <f>IF(W135&gt;$AE$34,1,0)</f>
        <v/>
      </c>
      <c r="AB135">
        <f>IF(AA135=C135,1,0)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$AE$12+D136*$AE$13+E136*$AE$14+F136*$AE$15+G136*$AE$16+H136*$AE$17+I136*$AE$18+J136*$AE$19+K136*$AE$20+L136*$AE$21+M136*$AE$22+N136*$AE$23+O136*$AE$24+P136*$AE$25+Q136*$AE$26+R136*$AE$27+S136*$AE$28+T136*$AE$29+U136*$AE$30</f>
        <v/>
      </c>
      <c r="W136" s="8">
        <f>1/(1+EXP(-V136))</f>
        <v/>
      </c>
      <c r="X136" s="9">
        <f>-IF(C136=1,LN(W136),LN(1-W136))</f>
        <v/>
      </c>
      <c r="Y136" s="8">
        <f>IF(C136=1,$AE$32,$AE$33)</f>
        <v/>
      </c>
      <c r="Z136" s="9">
        <f>Y136*X136</f>
        <v/>
      </c>
      <c r="AA136" s="10">
        <f>IF(W136&gt;$AE$34,1,0)</f>
        <v/>
      </c>
      <c r="AB136">
        <f>IF(AA136=C136,1,0)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$AE$12+D137*$AE$13+E137*$AE$14+F137*$AE$15+G137*$AE$16+H137*$AE$17+I137*$AE$18+J137*$AE$19+K137*$AE$20+L137*$AE$21+M137*$AE$22+N137*$AE$23+O137*$AE$24+P137*$AE$25+Q137*$AE$26+R137*$AE$27+S137*$AE$28+T137*$AE$29+U137*$AE$30</f>
        <v/>
      </c>
      <c r="W137" s="8">
        <f>1/(1+EXP(-V137))</f>
        <v/>
      </c>
      <c r="X137" s="9">
        <f>-IF(C137=1,LN(W137),LN(1-W137))</f>
        <v/>
      </c>
      <c r="Y137" s="8">
        <f>IF(C137=1,$AE$32,$AE$33)</f>
        <v/>
      </c>
      <c r="Z137" s="9">
        <f>Y137*X137</f>
        <v/>
      </c>
      <c r="AA137" s="10">
        <f>IF(W137&gt;$AE$34,1,0)</f>
        <v/>
      </c>
      <c r="AB137">
        <f>IF(AA137=C137,1,0)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$AE$12+D138*$AE$13+E138*$AE$14+F138*$AE$15+G138*$AE$16+H138*$AE$17+I138*$AE$18+J138*$AE$19+K138*$AE$20+L138*$AE$21+M138*$AE$22+N138*$AE$23+O138*$AE$24+P138*$AE$25+Q138*$AE$26+R138*$AE$27+S138*$AE$28+T138*$AE$29+U138*$AE$30</f>
        <v/>
      </c>
      <c r="W138" s="8">
        <f>1/(1+EXP(-V138))</f>
        <v/>
      </c>
      <c r="X138" s="9">
        <f>-IF(C138=1,LN(W138),LN(1-W138))</f>
        <v/>
      </c>
      <c r="Y138" s="8">
        <f>IF(C138=1,$AE$32,$AE$33)</f>
        <v/>
      </c>
      <c r="Z138" s="9">
        <f>Y138*X138</f>
        <v/>
      </c>
      <c r="AA138" s="10">
        <f>IF(W138&gt;$AE$34,1,0)</f>
        <v/>
      </c>
      <c r="AB138">
        <f>IF(AA138=C138,1,0)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$AE$12+D139*$AE$13+E139*$AE$14+F139*$AE$15+G139*$AE$16+H139*$AE$17+I139*$AE$18+J139*$AE$19+K139*$AE$20+L139*$AE$21+M139*$AE$22+N139*$AE$23+O139*$AE$24+P139*$AE$25+Q139*$AE$26+R139*$AE$27+S139*$AE$28+T139*$AE$29+U139*$AE$30</f>
        <v/>
      </c>
      <c r="W139" s="8">
        <f>1/(1+EXP(-V139))</f>
        <v/>
      </c>
      <c r="X139" s="9">
        <f>-IF(C139=1,LN(W139),LN(1-W139))</f>
        <v/>
      </c>
      <c r="Y139" s="8">
        <f>IF(C139=1,$AE$32,$AE$33)</f>
        <v/>
      </c>
      <c r="Z139" s="9">
        <f>Y139*X139</f>
        <v/>
      </c>
      <c r="AA139" s="10">
        <f>IF(W139&gt;$AE$34,1,0)</f>
        <v/>
      </c>
      <c r="AB139">
        <f>IF(AA139=C139,1,0)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$AE$12+D140*$AE$13+E140*$AE$14+F140*$AE$15+G140*$AE$16+H140*$AE$17+I140*$AE$18+J140*$AE$19+K140*$AE$20+L140*$AE$21+M140*$AE$22+N140*$AE$23+O140*$AE$24+P140*$AE$25+Q140*$AE$26+R140*$AE$27+S140*$AE$28+T140*$AE$29+U140*$AE$30</f>
        <v/>
      </c>
      <c r="W140" s="8">
        <f>1/(1+EXP(-V140))</f>
        <v/>
      </c>
      <c r="X140" s="9">
        <f>-IF(C140=1,LN(W140),LN(1-W140))</f>
        <v/>
      </c>
      <c r="Y140" s="8">
        <f>IF(C140=1,$AE$32,$AE$33)</f>
        <v/>
      </c>
      <c r="Z140" s="9">
        <f>Y140*X140</f>
        <v/>
      </c>
      <c r="AA140" s="10">
        <f>IF(W140&gt;$AE$34,1,0)</f>
        <v/>
      </c>
      <c r="AB140">
        <f>IF(AA140=C140,1,0)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$AE$12+D141*$AE$13+E141*$AE$14+F141*$AE$15+G141*$AE$16+H141*$AE$17+I141*$AE$18+J141*$AE$19+K141*$AE$20+L141*$AE$21+M141*$AE$22+N141*$AE$23+O141*$AE$24+P141*$AE$25+Q141*$AE$26+R141*$AE$27+S141*$AE$28+T141*$AE$29+U141*$AE$30</f>
        <v/>
      </c>
      <c r="W141" s="8">
        <f>1/(1+EXP(-V141))</f>
        <v/>
      </c>
      <c r="X141" s="9">
        <f>-IF(C141=1,LN(W141),LN(1-W141))</f>
        <v/>
      </c>
      <c r="Y141" s="8">
        <f>IF(C141=1,$AE$32,$AE$33)</f>
        <v/>
      </c>
      <c r="Z141" s="9">
        <f>Y141*X141</f>
        <v/>
      </c>
      <c r="AA141" s="10">
        <f>IF(W141&gt;$AE$34,1,0)</f>
        <v/>
      </c>
      <c r="AB141">
        <f>IF(AA141=C141,1,0)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$AE$12+D142*$AE$13+E142*$AE$14+F142*$AE$15+G142*$AE$16+H142*$AE$17+I142*$AE$18+J142*$AE$19+K142*$AE$20+L142*$AE$21+M142*$AE$22+N142*$AE$23+O142*$AE$24+P142*$AE$25+Q142*$AE$26+R142*$AE$27+S142*$AE$28+T142*$AE$29+U142*$AE$30</f>
        <v/>
      </c>
      <c r="W142" s="8">
        <f>1/(1+EXP(-V142))</f>
        <v/>
      </c>
      <c r="X142" s="9">
        <f>-IF(C142=1,LN(W142),LN(1-W142))</f>
        <v/>
      </c>
      <c r="Y142" s="8">
        <f>IF(C142=1,$AE$32,$AE$33)</f>
        <v/>
      </c>
      <c r="Z142" s="9">
        <f>Y142*X142</f>
        <v/>
      </c>
      <c r="AA142" s="10">
        <f>IF(W142&gt;$AE$34,1,0)</f>
        <v/>
      </c>
      <c r="AB142">
        <f>IF(AA142=C142,1,0)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$AE$12+D143*$AE$13+E143*$AE$14+F143*$AE$15+G143*$AE$16+H143*$AE$17+I143*$AE$18+J143*$AE$19+K143*$AE$20+L143*$AE$21+M143*$AE$22+N143*$AE$23+O143*$AE$24+P143*$AE$25+Q143*$AE$26+R143*$AE$27+S143*$AE$28+T143*$AE$29+U143*$AE$30</f>
        <v/>
      </c>
      <c r="W143" s="8">
        <f>1/(1+EXP(-V143))</f>
        <v/>
      </c>
      <c r="X143" s="9">
        <f>-IF(C143=1,LN(W143),LN(1-W143))</f>
        <v/>
      </c>
      <c r="Y143" s="8">
        <f>IF(C143=1,$AE$32,$AE$33)</f>
        <v/>
      </c>
      <c r="Z143" s="9">
        <f>Y143*X143</f>
        <v/>
      </c>
      <c r="AA143" s="10">
        <f>IF(W143&gt;$AE$34,1,0)</f>
        <v/>
      </c>
      <c r="AB143">
        <f>IF(AA143=C143,1,0)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$AE$12+D144*$AE$13+E144*$AE$14+F144*$AE$15+G144*$AE$16+H144*$AE$17+I144*$AE$18+J144*$AE$19+K144*$AE$20+L144*$AE$21+M144*$AE$22+N144*$AE$23+O144*$AE$24+P144*$AE$25+Q144*$AE$26+R144*$AE$27+S144*$AE$28+T144*$AE$29+U144*$AE$30</f>
        <v/>
      </c>
      <c r="W144" s="8">
        <f>1/(1+EXP(-V144))</f>
        <v/>
      </c>
      <c r="X144" s="9">
        <f>-IF(C144=1,LN(W144),LN(1-W144))</f>
        <v/>
      </c>
      <c r="Y144" s="8">
        <f>IF(C144=1,$AE$32,$AE$33)</f>
        <v/>
      </c>
      <c r="Z144" s="9">
        <f>Y144*X144</f>
        <v/>
      </c>
      <c r="AA144" s="10">
        <f>IF(W144&gt;$AE$34,1,0)</f>
        <v/>
      </c>
      <c r="AB144">
        <f>IF(AA144=C144,1,0)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$AE$12+D145*$AE$13+E145*$AE$14+F145*$AE$15+G145*$AE$16+H145*$AE$17+I145*$AE$18+J145*$AE$19+K145*$AE$20+L145*$AE$21+M145*$AE$22+N145*$AE$23+O145*$AE$24+P145*$AE$25+Q145*$AE$26+R145*$AE$27+S145*$AE$28+T145*$AE$29+U145*$AE$30</f>
        <v/>
      </c>
      <c r="W145" s="8">
        <f>1/(1+EXP(-V145))</f>
        <v/>
      </c>
      <c r="X145" s="9">
        <f>-IF(C145=1,LN(W145),LN(1-W145))</f>
        <v/>
      </c>
      <c r="Y145" s="8">
        <f>IF(C145=1,$AE$32,$AE$33)</f>
        <v/>
      </c>
      <c r="Z145" s="9">
        <f>Y145*X145</f>
        <v/>
      </c>
      <c r="AA145" s="10">
        <f>IF(W145&gt;$AE$34,1,0)</f>
        <v/>
      </c>
      <c r="AB145">
        <f>IF(AA145=C145,1,0)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$AE$12+D146*$AE$13+E146*$AE$14+F146*$AE$15+G146*$AE$16+H146*$AE$17+I146*$AE$18+J146*$AE$19+K146*$AE$20+L146*$AE$21+M146*$AE$22+N146*$AE$23+O146*$AE$24+P146*$AE$25+Q146*$AE$26+R146*$AE$27+S146*$AE$28+T146*$AE$29+U146*$AE$30</f>
        <v/>
      </c>
      <c r="W146" s="8">
        <f>1/(1+EXP(-V146))</f>
        <v/>
      </c>
      <c r="X146" s="9">
        <f>-IF(C146=1,LN(W146),LN(1-W146))</f>
        <v/>
      </c>
      <c r="Y146" s="8">
        <f>IF(C146=1,$AE$32,$AE$33)</f>
        <v/>
      </c>
      <c r="Z146" s="9">
        <f>Y146*X146</f>
        <v/>
      </c>
      <c r="AA146" s="10">
        <f>IF(W146&gt;$AE$34,1,0)</f>
        <v/>
      </c>
      <c r="AB146">
        <f>IF(AA146=C146,1,0)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$AE$12+D147*$AE$13+E147*$AE$14+F147*$AE$15+G147*$AE$16+H147*$AE$17+I147*$AE$18+J147*$AE$19+K147*$AE$20+L147*$AE$21+M147*$AE$22+N147*$AE$23+O147*$AE$24+P147*$AE$25+Q147*$AE$26+R147*$AE$27+S147*$AE$28+T147*$AE$29+U147*$AE$30</f>
        <v/>
      </c>
      <c r="W147" s="8">
        <f>1/(1+EXP(-V147))</f>
        <v/>
      </c>
      <c r="X147" s="9">
        <f>-IF(C147=1,LN(W147),LN(1-W147))</f>
        <v/>
      </c>
      <c r="Y147" s="8">
        <f>IF(C147=1,$AE$32,$AE$33)</f>
        <v/>
      </c>
      <c r="Z147" s="9">
        <f>Y147*X147</f>
        <v/>
      </c>
      <c r="AA147" s="10">
        <f>IF(W147&gt;$AE$34,1,0)</f>
        <v/>
      </c>
      <c r="AB147">
        <f>IF(AA147=C147,1,0)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$AE$12+D148*$AE$13+E148*$AE$14+F148*$AE$15+G148*$AE$16+H148*$AE$17+I148*$AE$18+J148*$AE$19+K148*$AE$20+L148*$AE$21+M148*$AE$22+N148*$AE$23+O148*$AE$24+P148*$AE$25+Q148*$AE$26+R148*$AE$27+S148*$AE$28+T148*$AE$29+U148*$AE$30</f>
        <v/>
      </c>
      <c r="W148" s="8">
        <f>1/(1+EXP(-V148))</f>
        <v/>
      </c>
      <c r="X148" s="9">
        <f>-IF(C148=1,LN(W148),LN(1-W148))</f>
        <v/>
      </c>
      <c r="Y148" s="8">
        <f>IF(C148=1,$AE$32,$AE$33)</f>
        <v/>
      </c>
      <c r="Z148" s="9">
        <f>Y148*X148</f>
        <v/>
      </c>
      <c r="AA148" s="10">
        <f>IF(W148&gt;$AE$34,1,0)</f>
        <v/>
      </c>
      <c r="AB148">
        <f>IF(AA148=C148,1,0)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$AE$12+D149*$AE$13+E149*$AE$14+F149*$AE$15+G149*$AE$16+H149*$AE$17+I149*$AE$18+J149*$AE$19+K149*$AE$20+L149*$AE$21+M149*$AE$22+N149*$AE$23+O149*$AE$24+P149*$AE$25+Q149*$AE$26+R149*$AE$27+S149*$AE$28+T149*$AE$29+U149*$AE$30</f>
        <v/>
      </c>
      <c r="W149" s="8">
        <f>1/(1+EXP(-V149))</f>
        <v/>
      </c>
      <c r="X149" s="9">
        <f>-IF(C149=1,LN(W149),LN(1-W149))</f>
        <v/>
      </c>
      <c r="Y149" s="8">
        <f>IF(C149=1,$AE$32,$AE$33)</f>
        <v/>
      </c>
      <c r="Z149" s="9">
        <f>Y149*X149</f>
        <v/>
      </c>
      <c r="AA149" s="10">
        <f>IF(W149&gt;$AE$34,1,0)</f>
        <v/>
      </c>
      <c r="AB149">
        <f>IF(AA149=C149,1,0)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$AE$12+D150*$AE$13+E150*$AE$14+F150*$AE$15+G150*$AE$16+H150*$AE$17+I150*$AE$18+J150*$AE$19+K150*$AE$20+L150*$AE$21+M150*$AE$22+N150*$AE$23+O150*$AE$24+P150*$AE$25+Q150*$AE$26+R150*$AE$27+S150*$AE$28+T150*$AE$29+U150*$AE$30</f>
        <v/>
      </c>
      <c r="W150" s="8">
        <f>1/(1+EXP(-V150))</f>
        <v/>
      </c>
      <c r="X150" s="9">
        <f>-IF(C150=1,LN(W150),LN(1-W150))</f>
        <v/>
      </c>
      <c r="Y150" s="8">
        <f>IF(C150=1,$AE$32,$AE$33)</f>
        <v/>
      </c>
      <c r="Z150" s="9">
        <f>Y150*X150</f>
        <v/>
      </c>
      <c r="AA150" s="10">
        <f>IF(W150&gt;$AE$34,1,0)</f>
        <v/>
      </c>
      <c r="AB150">
        <f>IF(AA150=C150,1,0)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$AE$12+D151*$AE$13+E151*$AE$14+F151*$AE$15+G151*$AE$16+H151*$AE$17+I151*$AE$18+J151*$AE$19+K151*$AE$20+L151*$AE$21+M151*$AE$22+N151*$AE$23+O151*$AE$24+P151*$AE$25+Q151*$AE$26+R151*$AE$27+S151*$AE$28+T151*$AE$29+U151*$AE$30</f>
        <v/>
      </c>
      <c r="W151" s="8">
        <f>1/(1+EXP(-V151))</f>
        <v/>
      </c>
      <c r="X151" s="9">
        <f>-IF(C151=1,LN(W151),LN(1-W151))</f>
        <v/>
      </c>
      <c r="Y151" s="8">
        <f>IF(C151=1,$AE$32,$AE$33)</f>
        <v/>
      </c>
      <c r="Z151" s="9">
        <f>Y151*X151</f>
        <v/>
      </c>
      <c r="AA151" s="10">
        <f>IF(W151&gt;$AE$34,1,0)</f>
        <v/>
      </c>
      <c r="AB151">
        <f>IF(AA151=C151,1,0)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$AE$12+D152*$AE$13+E152*$AE$14+F152*$AE$15+G152*$AE$16+H152*$AE$17+I152*$AE$18+J152*$AE$19+K152*$AE$20+L152*$AE$21+M152*$AE$22+N152*$AE$23+O152*$AE$24+P152*$AE$25+Q152*$AE$26+R152*$AE$27+S152*$AE$28+T152*$AE$29+U152*$AE$30</f>
        <v/>
      </c>
      <c r="W152" s="8">
        <f>1/(1+EXP(-V152))</f>
        <v/>
      </c>
      <c r="X152" s="9">
        <f>-IF(C152=1,LN(W152),LN(1-W152))</f>
        <v/>
      </c>
      <c r="Y152" s="8">
        <f>IF(C152=1,$AE$32,$AE$33)</f>
        <v/>
      </c>
      <c r="Z152" s="9">
        <f>Y152*X152</f>
        <v/>
      </c>
      <c r="AA152" s="10">
        <f>IF(W152&gt;$AE$34,1,0)</f>
        <v/>
      </c>
      <c r="AB152">
        <f>IF(AA152=C152,1,0)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$AE$12+D153*$AE$13+E153*$AE$14+F153*$AE$15+G153*$AE$16+H153*$AE$17+I153*$AE$18+J153*$AE$19+K153*$AE$20+L153*$AE$21+M153*$AE$22+N153*$AE$23+O153*$AE$24+P153*$AE$25+Q153*$AE$26+R153*$AE$27+S153*$AE$28+T153*$AE$29+U153*$AE$30</f>
        <v/>
      </c>
      <c r="W153" s="8">
        <f>1/(1+EXP(-V153))</f>
        <v/>
      </c>
      <c r="X153" s="9">
        <f>-IF(C153=1,LN(W153),LN(1-W153))</f>
        <v/>
      </c>
      <c r="Y153" s="8">
        <f>IF(C153=1,$AE$32,$AE$33)</f>
        <v/>
      </c>
      <c r="Z153" s="9">
        <f>Y153*X153</f>
        <v/>
      </c>
      <c r="AA153" s="10">
        <f>IF(W153&gt;$AE$34,1,0)</f>
        <v/>
      </c>
      <c r="AB153">
        <f>IF(AA153=C153,1,0)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$AE$12+D154*$AE$13+E154*$AE$14+F154*$AE$15+G154*$AE$16+H154*$AE$17+I154*$AE$18+J154*$AE$19+K154*$AE$20+L154*$AE$21+M154*$AE$22+N154*$AE$23+O154*$AE$24+P154*$AE$25+Q154*$AE$26+R154*$AE$27+S154*$AE$28+T154*$AE$29+U154*$AE$30</f>
        <v/>
      </c>
      <c r="W154" s="8">
        <f>1/(1+EXP(-V154))</f>
        <v/>
      </c>
      <c r="X154" s="9">
        <f>-IF(C154=1,LN(W154),LN(1-W154))</f>
        <v/>
      </c>
      <c r="Y154" s="8">
        <f>IF(C154=1,$AE$32,$AE$33)</f>
        <v/>
      </c>
      <c r="Z154" s="9">
        <f>Y154*X154</f>
        <v/>
      </c>
      <c r="AA154" s="10">
        <f>IF(W154&gt;$AE$34,1,0)</f>
        <v/>
      </c>
      <c r="AB154">
        <f>IF(AA154=C154,1,0)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$AE$12+D155*$AE$13+E155*$AE$14+F155*$AE$15+G155*$AE$16+H155*$AE$17+I155*$AE$18+J155*$AE$19+K155*$AE$20+L155*$AE$21+M155*$AE$22+N155*$AE$23+O155*$AE$24+P155*$AE$25+Q155*$AE$26+R155*$AE$27+S155*$AE$28+T155*$AE$29+U155*$AE$30</f>
        <v/>
      </c>
      <c r="W155" s="8">
        <f>1/(1+EXP(-V155))</f>
        <v/>
      </c>
      <c r="X155" s="9">
        <f>-IF(C155=1,LN(W155),LN(1-W155))</f>
        <v/>
      </c>
      <c r="Y155" s="8">
        <f>IF(C155=1,$AE$32,$AE$33)</f>
        <v/>
      </c>
      <c r="Z155" s="9">
        <f>Y155*X155</f>
        <v/>
      </c>
      <c r="AA155" s="10">
        <f>IF(W155&gt;$AE$34,1,0)</f>
        <v/>
      </c>
      <c r="AB155">
        <f>IF(AA155=C155,1,0)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$AE$12+D156*$AE$13+E156*$AE$14+F156*$AE$15+G156*$AE$16+H156*$AE$17+I156*$AE$18+J156*$AE$19+K156*$AE$20+L156*$AE$21+M156*$AE$22+N156*$AE$23+O156*$AE$24+P156*$AE$25+Q156*$AE$26+R156*$AE$27+S156*$AE$28+T156*$AE$29+U156*$AE$30</f>
        <v/>
      </c>
      <c r="W156" s="8">
        <f>1/(1+EXP(-V156))</f>
        <v/>
      </c>
      <c r="X156" s="9">
        <f>-IF(C156=1,LN(W156),LN(1-W156))</f>
        <v/>
      </c>
      <c r="Y156" s="8">
        <f>IF(C156=1,$AE$32,$AE$33)</f>
        <v/>
      </c>
      <c r="Z156" s="9">
        <f>Y156*X156</f>
        <v/>
      </c>
      <c r="AA156" s="10">
        <f>IF(W156&gt;$AE$34,1,0)</f>
        <v/>
      </c>
      <c r="AB156">
        <f>IF(AA156=C156,1,0)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$AE$12+D157*$AE$13+E157*$AE$14+F157*$AE$15+G157*$AE$16+H157*$AE$17+I157*$AE$18+J157*$AE$19+K157*$AE$20+L157*$AE$21+M157*$AE$22+N157*$AE$23+O157*$AE$24+P157*$AE$25+Q157*$AE$26+R157*$AE$27+S157*$AE$28+T157*$AE$29+U157*$AE$30</f>
        <v/>
      </c>
      <c r="W157" s="8">
        <f>1/(1+EXP(-V157))</f>
        <v/>
      </c>
      <c r="X157" s="9">
        <f>-IF(C157=1,LN(W157),LN(1-W157))</f>
        <v/>
      </c>
      <c r="Y157" s="8">
        <f>IF(C157=1,$AE$32,$AE$33)</f>
        <v/>
      </c>
      <c r="Z157" s="9">
        <f>Y157*X157</f>
        <v/>
      </c>
      <c r="AA157" s="10">
        <f>IF(W157&gt;$AE$34,1,0)</f>
        <v/>
      </c>
      <c r="AB157">
        <f>IF(AA157=C157,1,0)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$AE$12+D158*$AE$13+E158*$AE$14+F158*$AE$15+G158*$AE$16+H158*$AE$17+I158*$AE$18+J158*$AE$19+K158*$AE$20+L158*$AE$21+M158*$AE$22+N158*$AE$23+O158*$AE$24+P158*$AE$25+Q158*$AE$26+R158*$AE$27+S158*$AE$28+T158*$AE$29+U158*$AE$30</f>
        <v/>
      </c>
      <c r="W158" s="8">
        <f>1/(1+EXP(-V158))</f>
        <v/>
      </c>
      <c r="X158" s="9">
        <f>-IF(C158=1,LN(W158),LN(1-W158))</f>
        <v/>
      </c>
      <c r="Y158" s="8">
        <f>IF(C158=1,$AE$32,$AE$33)</f>
        <v/>
      </c>
      <c r="Z158" s="9">
        <f>Y158*X158</f>
        <v/>
      </c>
      <c r="AA158" s="10">
        <f>IF(W158&gt;$AE$34,1,0)</f>
        <v/>
      </c>
      <c r="AB158">
        <f>IF(AA158=C158,1,0)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$AE$12+D159*$AE$13+E159*$AE$14+F159*$AE$15+G159*$AE$16+H159*$AE$17+I159*$AE$18+J159*$AE$19+K159*$AE$20+L159*$AE$21+M159*$AE$22+N159*$AE$23+O159*$AE$24+P159*$AE$25+Q159*$AE$26+R159*$AE$27+S159*$AE$28+T159*$AE$29+U159*$AE$30</f>
        <v/>
      </c>
      <c r="W159" s="8">
        <f>1/(1+EXP(-V159))</f>
        <v/>
      </c>
      <c r="X159" s="9">
        <f>-IF(C159=1,LN(W159),LN(1-W159))</f>
        <v/>
      </c>
      <c r="Y159" s="8">
        <f>IF(C159=1,$AE$32,$AE$33)</f>
        <v/>
      </c>
      <c r="Z159" s="9">
        <f>Y159*X159</f>
        <v/>
      </c>
      <c r="AA159" s="10">
        <f>IF(W159&gt;$AE$34,1,0)</f>
        <v/>
      </c>
      <c r="AB159">
        <f>IF(AA159=C159,1,0)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$AE$12+D160*$AE$13+E160*$AE$14+F160*$AE$15+G160*$AE$16+H160*$AE$17+I160*$AE$18+J160*$AE$19+K160*$AE$20+L160*$AE$21+M160*$AE$22+N160*$AE$23+O160*$AE$24+P160*$AE$25+Q160*$AE$26+R160*$AE$27+S160*$AE$28+T160*$AE$29+U160*$AE$30</f>
        <v/>
      </c>
      <c r="W160" s="8">
        <f>1/(1+EXP(-V160))</f>
        <v/>
      </c>
      <c r="X160" s="9">
        <f>-IF(C160=1,LN(W160),LN(1-W160))</f>
        <v/>
      </c>
      <c r="Y160" s="8">
        <f>IF(C160=1,$AE$32,$AE$33)</f>
        <v/>
      </c>
      <c r="Z160" s="9">
        <f>Y160*X160</f>
        <v/>
      </c>
      <c r="AA160" s="10">
        <f>IF(W160&gt;$AE$34,1,0)</f>
        <v/>
      </c>
      <c r="AB160">
        <f>IF(AA160=C160,1,0)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$AE$12+D161*$AE$13+E161*$AE$14+F161*$AE$15+G161*$AE$16+H161*$AE$17+I161*$AE$18+J161*$AE$19+K161*$AE$20+L161*$AE$21+M161*$AE$22+N161*$AE$23+O161*$AE$24+P161*$AE$25+Q161*$AE$26+R161*$AE$27+S161*$AE$28+T161*$AE$29+U161*$AE$30</f>
        <v/>
      </c>
      <c r="W161" s="8">
        <f>1/(1+EXP(-V161))</f>
        <v/>
      </c>
      <c r="X161" s="9">
        <f>-IF(C161=1,LN(W161),LN(1-W161))</f>
        <v/>
      </c>
      <c r="Y161" s="8">
        <f>IF(C161=1,$AE$32,$AE$33)</f>
        <v/>
      </c>
      <c r="Z161" s="9">
        <f>Y161*X161</f>
        <v/>
      </c>
      <c r="AA161" s="10">
        <f>IF(W161&gt;$AE$34,1,0)</f>
        <v/>
      </c>
      <c r="AB161">
        <f>IF(AA161=C161,1,0)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$AE$12+D162*$AE$13+E162*$AE$14+F162*$AE$15+G162*$AE$16+H162*$AE$17+I162*$AE$18+J162*$AE$19+K162*$AE$20+L162*$AE$21+M162*$AE$22+N162*$AE$23+O162*$AE$24+P162*$AE$25+Q162*$AE$26+R162*$AE$27+S162*$AE$28+T162*$AE$29+U162*$AE$30</f>
        <v/>
      </c>
      <c r="W162" s="8">
        <f>1/(1+EXP(-V162))</f>
        <v/>
      </c>
      <c r="X162" s="9">
        <f>-IF(C162=1,LN(W162),LN(1-W162))</f>
        <v/>
      </c>
      <c r="Y162" s="8">
        <f>IF(C162=1,$AE$32,$AE$33)</f>
        <v/>
      </c>
      <c r="Z162" s="9">
        <f>Y162*X162</f>
        <v/>
      </c>
      <c r="AA162" s="10">
        <f>IF(W162&gt;$AE$34,1,0)</f>
        <v/>
      </c>
      <c r="AB162">
        <f>IF(AA162=C162,1,0)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$AE$12+D163*$AE$13+E163*$AE$14+F163*$AE$15+G163*$AE$16+H163*$AE$17+I163*$AE$18+J163*$AE$19+K163*$AE$20+L163*$AE$21+M163*$AE$22+N163*$AE$23+O163*$AE$24+P163*$AE$25+Q163*$AE$26+R163*$AE$27+S163*$AE$28+T163*$AE$29+U163*$AE$30</f>
        <v/>
      </c>
      <c r="W163" s="8">
        <f>1/(1+EXP(-V163))</f>
        <v/>
      </c>
      <c r="X163" s="9">
        <f>-IF(C163=1,LN(W163),LN(1-W163))</f>
        <v/>
      </c>
      <c r="Y163" s="8">
        <f>IF(C163=1,$AE$32,$AE$33)</f>
        <v/>
      </c>
      <c r="Z163" s="9">
        <f>Y163*X163</f>
        <v/>
      </c>
      <c r="AA163" s="10">
        <f>IF(W163&gt;$AE$34,1,0)</f>
        <v/>
      </c>
      <c r="AB163">
        <f>IF(AA163=C163,1,0)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$AE$12+D164*$AE$13+E164*$AE$14+F164*$AE$15+G164*$AE$16+H164*$AE$17+I164*$AE$18+J164*$AE$19+K164*$AE$20+L164*$AE$21+M164*$AE$22+N164*$AE$23+O164*$AE$24+P164*$AE$25+Q164*$AE$26+R164*$AE$27+S164*$AE$28+T164*$AE$29+U164*$AE$30</f>
        <v/>
      </c>
      <c r="W164" s="8">
        <f>1/(1+EXP(-V164))</f>
        <v/>
      </c>
      <c r="X164" s="9">
        <f>-IF(C164=1,LN(W164),LN(1-W164))</f>
        <v/>
      </c>
      <c r="Y164" s="8">
        <f>IF(C164=1,$AE$32,$AE$33)</f>
        <v/>
      </c>
      <c r="Z164" s="9">
        <f>Y164*X164</f>
        <v/>
      </c>
      <c r="AA164" s="10">
        <f>IF(W164&gt;$AE$34,1,0)</f>
        <v/>
      </c>
      <c r="AB164">
        <f>IF(AA164=C164,1,0)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$AE$12+D165*$AE$13+E165*$AE$14+F165*$AE$15+G165*$AE$16+H165*$AE$17+I165*$AE$18+J165*$AE$19+K165*$AE$20+L165*$AE$21+M165*$AE$22+N165*$AE$23+O165*$AE$24+P165*$AE$25+Q165*$AE$26+R165*$AE$27+S165*$AE$28+T165*$AE$29+U165*$AE$30</f>
        <v/>
      </c>
      <c r="W165" s="8">
        <f>1/(1+EXP(-V165))</f>
        <v/>
      </c>
      <c r="X165" s="9">
        <f>-IF(C165=1,LN(W165),LN(1-W165))</f>
        <v/>
      </c>
      <c r="Y165" s="8">
        <f>IF(C165=1,$AE$32,$AE$33)</f>
        <v/>
      </c>
      <c r="Z165" s="9">
        <f>Y165*X165</f>
        <v/>
      </c>
      <c r="AA165" s="10">
        <f>IF(W165&gt;$AE$34,1,0)</f>
        <v/>
      </c>
      <c r="AB165">
        <f>IF(AA165=C165,1,0)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$AE$12+D166*$AE$13+E166*$AE$14+F166*$AE$15+G166*$AE$16+H166*$AE$17+I166*$AE$18+J166*$AE$19+K166*$AE$20+L166*$AE$21+M166*$AE$22+N166*$AE$23+O166*$AE$24+P166*$AE$25+Q166*$AE$26+R166*$AE$27+S166*$AE$28+T166*$AE$29+U166*$AE$30</f>
        <v/>
      </c>
      <c r="W166" s="8">
        <f>1/(1+EXP(-V166))</f>
        <v/>
      </c>
      <c r="X166" s="9">
        <f>-IF(C166=1,LN(W166),LN(1-W166))</f>
        <v/>
      </c>
      <c r="Y166" s="8">
        <f>IF(C166=1,$AE$32,$AE$33)</f>
        <v/>
      </c>
      <c r="Z166" s="9">
        <f>Y166*X166</f>
        <v/>
      </c>
      <c r="AA166" s="10">
        <f>IF(W166&gt;$AE$34,1,0)</f>
        <v/>
      </c>
      <c r="AB166">
        <f>IF(AA166=C166,1,0)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$AE$12+D167*$AE$13+E167*$AE$14+F167*$AE$15+G167*$AE$16+H167*$AE$17+I167*$AE$18+J167*$AE$19+K167*$AE$20+L167*$AE$21+M167*$AE$22+N167*$AE$23+O167*$AE$24+P167*$AE$25+Q167*$AE$26+R167*$AE$27+S167*$AE$28+T167*$AE$29+U167*$AE$30</f>
        <v/>
      </c>
      <c r="W167" s="8">
        <f>1/(1+EXP(-V167))</f>
        <v/>
      </c>
      <c r="X167" s="9">
        <f>-IF(C167=1,LN(W167),LN(1-W167))</f>
        <v/>
      </c>
      <c r="Y167" s="8">
        <f>IF(C167=1,$AE$32,$AE$33)</f>
        <v/>
      </c>
      <c r="Z167" s="9">
        <f>Y167*X167</f>
        <v/>
      </c>
      <c r="AA167" s="10">
        <f>IF(W167&gt;$AE$34,1,0)</f>
        <v/>
      </c>
      <c r="AB167">
        <f>IF(AA167=C167,1,0)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$AE$12+D168*$AE$13+E168*$AE$14+F168*$AE$15+G168*$AE$16+H168*$AE$17+I168*$AE$18+J168*$AE$19+K168*$AE$20+L168*$AE$21+M168*$AE$22+N168*$AE$23+O168*$AE$24+P168*$AE$25+Q168*$AE$26+R168*$AE$27+S168*$AE$28+T168*$AE$29+U168*$AE$30</f>
        <v/>
      </c>
      <c r="W168" s="8">
        <f>1/(1+EXP(-V168))</f>
        <v/>
      </c>
      <c r="X168" s="9">
        <f>-IF(C168=1,LN(W168),LN(1-W168))</f>
        <v/>
      </c>
      <c r="Y168" s="8">
        <f>IF(C168=1,$AE$32,$AE$33)</f>
        <v/>
      </c>
      <c r="Z168" s="9">
        <f>Y168*X168</f>
        <v/>
      </c>
      <c r="AA168" s="10">
        <f>IF(W168&gt;$AE$34,1,0)</f>
        <v/>
      </c>
      <c r="AB168">
        <f>IF(AA168=C168,1,0)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$AE$12+D169*$AE$13+E169*$AE$14+F169*$AE$15+G169*$AE$16+H169*$AE$17+I169*$AE$18+J169*$AE$19+K169*$AE$20+L169*$AE$21+M169*$AE$22+N169*$AE$23+O169*$AE$24+P169*$AE$25+Q169*$AE$26+R169*$AE$27+S169*$AE$28+T169*$AE$29+U169*$AE$30</f>
        <v/>
      </c>
      <c r="W169" s="8">
        <f>1/(1+EXP(-V169))</f>
        <v/>
      </c>
      <c r="X169" s="9">
        <f>-IF(C169=1,LN(W169),LN(1-W169))</f>
        <v/>
      </c>
      <c r="Y169" s="8">
        <f>IF(C169=1,$AE$32,$AE$33)</f>
        <v/>
      </c>
      <c r="Z169" s="9">
        <f>Y169*X169</f>
        <v/>
      </c>
      <c r="AA169" s="10">
        <f>IF(W169&gt;$AE$34,1,0)</f>
        <v/>
      </c>
      <c r="AB169">
        <f>IF(AA169=C169,1,0)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$AE$12+D170*$AE$13+E170*$AE$14+F170*$AE$15+G170*$AE$16+H170*$AE$17+I170*$AE$18+J170*$AE$19+K170*$AE$20+L170*$AE$21+M170*$AE$22+N170*$AE$23+O170*$AE$24+P170*$AE$25+Q170*$AE$26+R170*$AE$27+S170*$AE$28+T170*$AE$29+U170*$AE$30</f>
        <v/>
      </c>
      <c r="W170" s="8">
        <f>1/(1+EXP(-V170))</f>
        <v/>
      </c>
      <c r="X170" s="9">
        <f>-IF(C170=1,LN(W170),LN(1-W170))</f>
        <v/>
      </c>
      <c r="Y170" s="8">
        <f>IF(C170=1,$AE$32,$AE$33)</f>
        <v/>
      </c>
      <c r="Z170" s="9">
        <f>Y170*X170</f>
        <v/>
      </c>
      <c r="AA170" s="10">
        <f>IF(W170&gt;$AE$34,1,0)</f>
        <v/>
      </c>
      <c r="AB170">
        <f>IF(AA170=C170,1,0)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$AE$12+D171*$AE$13+E171*$AE$14+F171*$AE$15+G171*$AE$16+H171*$AE$17+I171*$AE$18+J171*$AE$19+K171*$AE$20+L171*$AE$21+M171*$AE$22+N171*$AE$23+O171*$AE$24+P171*$AE$25+Q171*$AE$26+R171*$AE$27+S171*$AE$28+T171*$AE$29+U171*$AE$30</f>
        <v/>
      </c>
      <c r="W171" s="8">
        <f>1/(1+EXP(-V171))</f>
        <v/>
      </c>
      <c r="X171" s="9">
        <f>-IF(C171=1,LN(W171),LN(1-W171))</f>
        <v/>
      </c>
      <c r="Y171" s="8">
        <f>IF(C171=1,$AE$32,$AE$33)</f>
        <v/>
      </c>
      <c r="Z171" s="9">
        <f>Y171*X171</f>
        <v/>
      </c>
      <c r="AA171" s="10">
        <f>IF(W171&gt;$AE$34,1,0)</f>
        <v/>
      </c>
      <c r="AB171">
        <f>IF(AA171=C171,1,0)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$AE$12+D172*$AE$13+E172*$AE$14+F172*$AE$15+G172*$AE$16+H172*$AE$17+I172*$AE$18+J172*$AE$19+K172*$AE$20+L172*$AE$21+M172*$AE$22+N172*$AE$23+O172*$AE$24+P172*$AE$25+Q172*$AE$26+R172*$AE$27+S172*$AE$28+T172*$AE$29+U172*$AE$30</f>
        <v/>
      </c>
      <c r="W172" s="8">
        <f>1/(1+EXP(-V172))</f>
        <v/>
      </c>
      <c r="X172" s="9">
        <f>-IF(C172=1,LN(W172),LN(1-W172))</f>
        <v/>
      </c>
      <c r="Y172" s="8">
        <f>IF(C172=1,$AE$32,$AE$33)</f>
        <v/>
      </c>
      <c r="Z172" s="9">
        <f>Y172*X172</f>
        <v/>
      </c>
      <c r="AA172" s="10">
        <f>IF(W172&gt;$AE$34,1,0)</f>
        <v/>
      </c>
      <c r="AB172">
        <f>IF(AA172=C172,1,0)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$AE$12+D173*$AE$13+E173*$AE$14+F173*$AE$15+G173*$AE$16+H173*$AE$17+I173*$AE$18+J173*$AE$19+K173*$AE$20+L173*$AE$21+M173*$AE$22+N173*$AE$23+O173*$AE$24+P173*$AE$25+Q173*$AE$26+R173*$AE$27+S173*$AE$28+T173*$AE$29+U173*$AE$30</f>
        <v/>
      </c>
      <c r="W173" s="8">
        <f>1/(1+EXP(-V173))</f>
        <v/>
      </c>
      <c r="X173" s="9">
        <f>-IF(C173=1,LN(W173),LN(1-W173))</f>
        <v/>
      </c>
      <c r="Y173" s="8">
        <f>IF(C173=1,$AE$32,$AE$33)</f>
        <v/>
      </c>
      <c r="Z173" s="9">
        <f>Y173*X173</f>
        <v/>
      </c>
      <c r="AA173" s="10">
        <f>IF(W173&gt;$AE$34,1,0)</f>
        <v/>
      </c>
      <c r="AB173">
        <f>IF(AA173=C173,1,0)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$AE$12+D174*$AE$13+E174*$AE$14+F174*$AE$15+G174*$AE$16+H174*$AE$17+I174*$AE$18+J174*$AE$19+K174*$AE$20+L174*$AE$21+M174*$AE$22+N174*$AE$23+O174*$AE$24+P174*$AE$25+Q174*$AE$26+R174*$AE$27+S174*$AE$28+T174*$AE$29+U174*$AE$30</f>
        <v/>
      </c>
      <c r="W174" s="8">
        <f>1/(1+EXP(-V174))</f>
        <v/>
      </c>
      <c r="X174" s="9">
        <f>-IF(C174=1,LN(W174),LN(1-W174))</f>
        <v/>
      </c>
      <c r="Y174" s="8">
        <f>IF(C174=1,$AE$32,$AE$33)</f>
        <v/>
      </c>
      <c r="Z174" s="9">
        <f>Y174*X174</f>
        <v/>
      </c>
      <c r="AA174" s="10">
        <f>IF(W174&gt;$AE$34,1,0)</f>
        <v/>
      </c>
      <c r="AB174">
        <f>IF(AA174=C174,1,0)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$AE$12+D175*$AE$13+E175*$AE$14+F175*$AE$15+G175*$AE$16+H175*$AE$17+I175*$AE$18+J175*$AE$19+K175*$AE$20+L175*$AE$21+M175*$AE$22+N175*$AE$23+O175*$AE$24+P175*$AE$25+Q175*$AE$26+R175*$AE$27+S175*$AE$28+T175*$AE$29+U175*$AE$30</f>
        <v/>
      </c>
      <c r="W175" s="8">
        <f>1/(1+EXP(-V175))</f>
        <v/>
      </c>
      <c r="X175" s="9">
        <f>-IF(C175=1,LN(W175),LN(1-W175))</f>
        <v/>
      </c>
      <c r="Y175" s="8">
        <f>IF(C175=1,$AE$32,$AE$33)</f>
        <v/>
      </c>
      <c r="Z175" s="9">
        <f>Y175*X175</f>
        <v/>
      </c>
      <c r="AA175" s="10">
        <f>IF(W175&gt;$AE$34,1,0)</f>
        <v/>
      </c>
      <c r="AB175">
        <f>IF(AA175=C175,1,0)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$AE$12+D176*$AE$13+E176*$AE$14+F176*$AE$15+G176*$AE$16+H176*$AE$17+I176*$AE$18+J176*$AE$19+K176*$AE$20+L176*$AE$21+M176*$AE$22+N176*$AE$23+O176*$AE$24+P176*$AE$25+Q176*$AE$26+R176*$AE$27+S176*$AE$28+T176*$AE$29+U176*$AE$30</f>
        <v/>
      </c>
      <c r="W176" s="8">
        <f>1/(1+EXP(-V176))</f>
        <v/>
      </c>
      <c r="X176" s="9">
        <f>-IF(C176=1,LN(W176),LN(1-W176))</f>
        <v/>
      </c>
      <c r="Y176" s="8">
        <f>IF(C176=1,$AE$32,$AE$33)</f>
        <v/>
      </c>
      <c r="Z176" s="9">
        <f>Y176*X176</f>
        <v/>
      </c>
      <c r="AA176" s="10">
        <f>IF(W176&gt;$AE$34,1,0)</f>
        <v/>
      </c>
      <c r="AB176">
        <f>IF(AA176=C176,1,0)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$AE$12+D177*$AE$13+E177*$AE$14+F177*$AE$15+G177*$AE$16+H177*$AE$17+I177*$AE$18+J177*$AE$19+K177*$AE$20+L177*$AE$21+M177*$AE$22+N177*$AE$23+O177*$AE$24+P177*$AE$25+Q177*$AE$26+R177*$AE$27+S177*$AE$28+T177*$AE$29+U177*$AE$30</f>
        <v/>
      </c>
      <c r="W177" s="8">
        <f>1/(1+EXP(-V177))</f>
        <v/>
      </c>
      <c r="X177" s="9">
        <f>-IF(C177=1,LN(W177),LN(1-W177))</f>
        <v/>
      </c>
      <c r="Y177" s="8">
        <f>IF(C177=1,$AE$32,$AE$33)</f>
        <v/>
      </c>
      <c r="Z177" s="9">
        <f>Y177*X177</f>
        <v/>
      </c>
      <c r="AA177" s="10">
        <f>IF(W177&gt;$AE$34,1,0)</f>
        <v/>
      </c>
      <c r="AB177">
        <f>IF(AA177=C177,1,0)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$AE$12+D178*$AE$13+E178*$AE$14+F178*$AE$15+G178*$AE$16+H178*$AE$17+I178*$AE$18+J178*$AE$19+K178*$AE$20+L178*$AE$21+M178*$AE$22+N178*$AE$23+O178*$AE$24+P178*$AE$25+Q178*$AE$26+R178*$AE$27+S178*$AE$28+T178*$AE$29+U178*$AE$30</f>
        <v/>
      </c>
      <c r="W178" s="8">
        <f>1/(1+EXP(-V178))</f>
        <v/>
      </c>
      <c r="X178" s="9">
        <f>-IF(C178=1,LN(W178),LN(1-W178))</f>
        <v/>
      </c>
      <c r="Y178" s="8">
        <f>IF(C178=1,$AE$32,$AE$33)</f>
        <v/>
      </c>
      <c r="Z178" s="9">
        <f>Y178*X178</f>
        <v/>
      </c>
      <c r="AA178" s="10">
        <f>IF(W178&gt;$AE$34,1,0)</f>
        <v/>
      </c>
      <c r="AB178">
        <f>IF(AA178=C178,1,0)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$AE$12+D179*$AE$13+E179*$AE$14+F179*$AE$15+G179*$AE$16+H179*$AE$17+I179*$AE$18+J179*$AE$19+K179*$AE$20+L179*$AE$21+M179*$AE$22+N179*$AE$23+O179*$AE$24+P179*$AE$25+Q179*$AE$26+R179*$AE$27+S179*$AE$28+T179*$AE$29+U179*$AE$30</f>
        <v/>
      </c>
      <c r="W179" s="8">
        <f>1/(1+EXP(-V179))</f>
        <v/>
      </c>
      <c r="X179" s="9">
        <f>-IF(C179=1,LN(W179),LN(1-W179))</f>
        <v/>
      </c>
      <c r="Y179" s="8">
        <f>IF(C179=1,$AE$32,$AE$33)</f>
        <v/>
      </c>
      <c r="Z179" s="9">
        <f>Y179*X179</f>
        <v/>
      </c>
      <c r="AA179" s="10">
        <f>IF(W179&gt;$AE$34,1,0)</f>
        <v/>
      </c>
      <c r="AB179">
        <f>IF(AA179=C179,1,0)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$AE$12+D180*$AE$13+E180*$AE$14+F180*$AE$15+G180*$AE$16+H180*$AE$17+I180*$AE$18+J180*$AE$19+K180*$AE$20+L180*$AE$21+M180*$AE$22+N180*$AE$23+O180*$AE$24+P180*$AE$25+Q180*$AE$26+R180*$AE$27+S180*$AE$28+T180*$AE$29+U180*$AE$30</f>
        <v/>
      </c>
      <c r="W180" s="8">
        <f>1/(1+EXP(-V180))</f>
        <v/>
      </c>
      <c r="X180" s="9">
        <f>-IF(C180=1,LN(W180),LN(1-W180))</f>
        <v/>
      </c>
      <c r="Y180" s="8">
        <f>IF(C180=1,$AE$32,$AE$33)</f>
        <v/>
      </c>
      <c r="Z180" s="9">
        <f>Y180*X180</f>
        <v/>
      </c>
      <c r="AA180" s="10">
        <f>IF(W180&gt;$AE$34,1,0)</f>
        <v/>
      </c>
      <c r="AB180">
        <f>IF(AA180=C180,1,0)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$AE$12+D181*$AE$13+E181*$AE$14+F181*$AE$15+G181*$AE$16+H181*$AE$17+I181*$AE$18+J181*$AE$19+K181*$AE$20+L181*$AE$21+M181*$AE$22+N181*$AE$23+O181*$AE$24+P181*$AE$25+Q181*$AE$26+R181*$AE$27+S181*$AE$28+T181*$AE$29+U181*$AE$30</f>
        <v/>
      </c>
      <c r="W181" s="8">
        <f>1/(1+EXP(-V181))</f>
        <v/>
      </c>
      <c r="X181" s="9">
        <f>-IF(C181=1,LN(W181),LN(1-W181))</f>
        <v/>
      </c>
      <c r="Y181" s="8">
        <f>IF(C181=1,$AE$32,$AE$33)</f>
        <v/>
      </c>
      <c r="Z181" s="9">
        <f>Y181*X181</f>
        <v/>
      </c>
      <c r="AA181" s="10">
        <f>IF(W181&gt;$AE$34,1,0)</f>
        <v/>
      </c>
      <c r="AB181">
        <f>IF(AA181=C181,1,0)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$AE$12+D182*$AE$13+E182*$AE$14+F182*$AE$15+G182*$AE$16+H182*$AE$17+I182*$AE$18+J182*$AE$19+K182*$AE$20+L182*$AE$21+M182*$AE$22+N182*$AE$23+O182*$AE$24+P182*$AE$25+Q182*$AE$26+R182*$AE$27+S182*$AE$28+T182*$AE$29+U182*$AE$30</f>
        <v/>
      </c>
      <c r="W182" s="8">
        <f>1/(1+EXP(-V182))</f>
        <v/>
      </c>
      <c r="X182" s="9">
        <f>-IF(C182=1,LN(W182),LN(1-W182))</f>
        <v/>
      </c>
      <c r="Y182" s="8">
        <f>IF(C182=1,$AE$32,$AE$33)</f>
        <v/>
      </c>
      <c r="Z182" s="9">
        <f>Y182*X182</f>
        <v/>
      </c>
      <c r="AA182" s="10">
        <f>IF(W182&gt;$AE$34,1,0)</f>
        <v/>
      </c>
      <c r="AB182">
        <f>IF(AA182=C182,1,0)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$AE$12+D183*$AE$13+E183*$AE$14+F183*$AE$15+G183*$AE$16+H183*$AE$17+I183*$AE$18+J183*$AE$19+K183*$AE$20+L183*$AE$21+M183*$AE$22+N183*$AE$23+O183*$AE$24+P183*$AE$25+Q183*$AE$26+R183*$AE$27+S183*$AE$28+T183*$AE$29+U183*$AE$30</f>
        <v/>
      </c>
      <c r="W183" s="8">
        <f>1/(1+EXP(-V183))</f>
        <v/>
      </c>
      <c r="X183" s="9">
        <f>-IF(C183=1,LN(W183),LN(1-W183))</f>
        <v/>
      </c>
      <c r="Y183" s="8">
        <f>IF(C183=1,$AE$32,$AE$33)</f>
        <v/>
      </c>
      <c r="Z183" s="9">
        <f>Y183*X183</f>
        <v/>
      </c>
      <c r="AA183" s="10">
        <f>IF(W183&gt;$AE$34,1,0)</f>
        <v/>
      </c>
      <c r="AB183">
        <f>IF(AA183=C183,1,0)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$AE$12+D184*$AE$13+E184*$AE$14+F184*$AE$15+G184*$AE$16+H184*$AE$17+I184*$AE$18+J184*$AE$19+K184*$AE$20+L184*$AE$21+M184*$AE$22+N184*$AE$23+O184*$AE$24+P184*$AE$25+Q184*$AE$26+R184*$AE$27+S184*$AE$28+T184*$AE$29+U184*$AE$30</f>
        <v/>
      </c>
      <c r="W184" s="8">
        <f>1/(1+EXP(-V184))</f>
        <v/>
      </c>
      <c r="X184" s="9">
        <f>-IF(C184=1,LN(W184),LN(1-W184))</f>
        <v/>
      </c>
      <c r="Y184" s="8">
        <f>IF(C184=1,$AE$32,$AE$33)</f>
        <v/>
      </c>
      <c r="Z184" s="9">
        <f>Y184*X184</f>
        <v/>
      </c>
      <c r="AA184" s="10">
        <f>IF(W184&gt;$AE$34,1,0)</f>
        <v/>
      </c>
      <c r="AB184">
        <f>IF(AA184=C184,1,0)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$AE$12+D185*$AE$13+E185*$AE$14+F185*$AE$15+G185*$AE$16+H185*$AE$17+I185*$AE$18+J185*$AE$19+K185*$AE$20+L185*$AE$21+M185*$AE$22+N185*$AE$23+O185*$AE$24+P185*$AE$25+Q185*$AE$26+R185*$AE$27+S185*$AE$28+T185*$AE$29+U185*$AE$30</f>
        <v/>
      </c>
      <c r="W185" s="8">
        <f>1/(1+EXP(-V185))</f>
        <v/>
      </c>
      <c r="X185" s="9">
        <f>-IF(C185=1,LN(W185),LN(1-W185))</f>
        <v/>
      </c>
      <c r="Y185" s="8">
        <f>IF(C185=1,$AE$32,$AE$33)</f>
        <v/>
      </c>
      <c r="Z185" s="9">
        <f>Y185*X185</f>
        <v/>
      </c>
      <c r="AA185" s="10">
        <f>IF(W185&gt;$AE$34,1,0)</f>
        <v/>
      </c>
      <c r="AB185">
        <f>IF(AA185=C185,1,0)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$AE$12+D186*$AE$13+E186*$AE$14+F186*$AE$15+G186*$AE$16+H186*$AE$17+I186*$AE$18+J186*$AE$19+K186*$AE$20+L186*$AE$21+M186*$AE$22+N186*$AE$23+O186*$AE$24+P186*$AE$25+Q186*$AE$26+R186*$AE$27+S186*$AE$28+T186*$AE$29+U186*$AE$30</f>
        <v/>
      </c>
      <c r="W186" s="8">
        <f>1/(1+EXP(-V186))</f>
        <v/>
      </c>
      <c r="X186" s="9">
        <f>-IF(C186=1,LN(W186),LN(1-W186))</f>
        <v/>
      </c>
      <c r="Y186" s="8">
        <f>IF(C186=1,$AE$32,$AE$33)</f>
        <v/>
      </c>
      <c r="Z186" s="9">
        <f>Y186*X186</f>
        <v/>
      </c>
      <c r="AA186" s="10">
        <f>IF(W186&gt;$AE$34,1,0)</f>
        <v/>
      </c>
      <c r="AB186">
        <f>IF(AA186=C186,1,0)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$AE$12+D187*$AE$13+E187*$AE$14+F187*$AE$15+G187*$AE$16+H187*$AE$17+I187*$AE$18+J187*$AE$19+K187*$AE$20+L187*$AE$21+M187*$AE$22+N187*$AE$23+O187*$AE$24+P187*$AE$25+Q187*$AE$26+R187*$AE$27+S187*$AE$28+T187*$AE$29+U187*$AE$30</f>
        <v/>
      </c>
      <c r="W187" s="8">
        <f>1/(1+EXP(-V187))</f>
        <v/>
      </c>
      <c r="X187" s="9">
        <f>-IF(C187=1,LN(W187),LN(1-W187))</f>
        <v/>
      </c>
      <c r="Y187" s="8">
        <f>IF(C187=1,$AE$32,$AE$33)</f>
        <v/>
      </c>
      <c r="Z187" s="9">
        <f>Y187*X187</f>
        <v/>
      </c>
      <c r="AA187" s="10">
        <f>IF(W187&gt;$AE$34,1,0)</f>
        <v/>
      </c>
      <c r="AB187">
        <f>IF(AA187=C187,1,0)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$AE$12+D188*$AE$13+E188*$AE$14+F188*$AE$15+G188*$AE$16+H188*$AE$17+I188*$AE$18+J188*$AE$19+K188*$AE$20+L188*$AE$21+M188*$AE$22+N188*$AE$23+O188*$AE$24+P188*$AE$25+Q188*$AE$26+R188*$AE$27+S188*$AE$28+T188*$AE$29+U188*$AE$30</f>
        <v/>
      </c>
      <c r="W188" s="8">
        <f>1/(1+EXP(-V188))</f>
        <v/>
      </c>
      <c r="X188" s="9">
        <f>-IF(C188=1,LN(W188),LN(1-W188))</f>
        <v/>
      </c>
      <c r="Y188" s="8">
        <f>IF(C188=1,$AE$32,$AE$33)</f>
        <v/>
      </c>
      <c r="Z188" s="9">
        <f>Y188*X188</f>
        <v/>
      </c>
      <c r="AA188" s="10">
        <f>IF(W188&gt;$AE$34,1,0)</f>
        <v/>
      </c>
      <c r="AB188">
        <f>IF(AA188=C188,1,0)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$AE$12+D189*$AE$13+E189*$AE$14+F189*$AE$15+G189*$AE$16+H189*$AE$17+I189*$AE$18+J189*$AE$19+K189*$AE$20+L189*$AE$21+M189*$AE$22+N189*$AE$23+O189*$AE$24+P189*$AE$25+Q189*$AE$26+R189*$AE$27+S189*$AE$28+T189*$AE$29+U189*$AE$30</f>
        <v/>
      </c>
      <c r="W189" s="8">
        <f>1/(1+EXP(-V189))</f>
        <v/>
      </c>
      <c r="X189" s="9">
        <f>-IF(C189=1,LN(W189),LN(1-W189))</f>
        <v/>
      </c>
      <c r="Y189" s="8">
        <f>IF(C189=1,$AE$32,$AE$33)</f>
        <v/>
      </c>
      <c r="Z189" s="9">
        <f>Y189*X189</f>
        <v/>
      </c>
      <c r="AA189" s="10">
        <f>IF(W189&gt;$AE$34,1,0)</f>
        <v/>
      </c>
      <c r="AB189">
        <f>IF(AA189=C189,1,0)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$AE$12+D190*$AE$13+E190*$AE$14+F190*$AE$15+G190*$AE$16+H190*$AE$17+I190*$AE$18+J190*$AE$19+K190*$AE$20+L190*$AE$21+M190*$AE$22+N190*$AE$23+O190*$AE$24+P190*$AE$25+Q190*$AE$26+R190*$AE$27+S190*$AE$28+T190*$AE$29+U190*$AE$30</f>
        <v/>
      </c>
      <c r="W190" s="8">
        <f>1/(1+EXP(-V190))</f>
        <v/>
      </c>
      <c r="X190" s="9">
        <f>-IF(C190=1,LN(W190),LN(1-W190))</f>
        <v/>
      </c>
      <c r="Y190" s="8">
        <f>IF(C190=1,$AE$32,$AE$33)</f>
        <v/>
      </c>
      <c r="Z190" s="9">
        <f>Y190*X190</f>
        <v/>
      </c>
      <c r="AA190" s="10">
        <f>IF(W190&gt;$AE$34,1,0)</f>
        <v/>
      </c>
      <c r="AB190">
        <f>IF(AA190=C190,1,0)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$AE$12+D191*$AE$13+E191*$AE$14+F191*$AE$15+G191*$AE$16+H191*$AE$17+I191*$AE$18+J191*$AE$19+K191*$AE$20+L191*$AE$21+M191*$AE$22+N191*$AE$23+O191*$AE$24+P191*$AE$25+Q191*$AE$26+R191*$AE$27+S191*$AE$28+T191*$AE$29+U191*$AE$30</f>
        <v/>
      </c>
      <c r="W191" s="8">
        <f>1/(1+EXP(-V191))</f>
        <v/>
      </c>
      <c r="X191" s="9">
        <f>-IF(C191=1,LN(W191),LN(1-W191))</f>
        <v/>
      </c>
      <c r="Y191" s="8">
        <f>IF(C191=1,$AE$32,$AE$33)</f>
        <v/>
      </c>
      <c r="Z191" s="9">
        <f>Y191*X191</f>
        <v/>
      </c>
      <c r="AA191" s="10">
        <f>IF(W191&gt;$AE$34,1,0)</f>
        <v/>
      </c>
      <c r="AB191">
        <f>IF(AA191=C191,1,0)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$AE$12+D192*$AE$13+E192*$AE$14+F192*$AE$15+G192*$AE$16+H192*$AE$17+I192*$AE$18+J192*$AE$19+K192*$AE$20+L192*$AE$21+M192*$AE$22+N192*$AE$23+O192*$AE$24+P192*$AE$25+Q192*$AE$26+R192*$AE$27+S192*$AE$28+T192*$AE$29+U192*$AE$30</f>
        <v/>
      </c>
      <c r="W192" s="8">
        <f>1/(1+EXP(-V192))</f>
        <v/>
      </c>
      <c r="X192" s="9">
        <f>-IF(C192=1,LN(W192),LN(1-W192))</f>
        <v/>
      </c>
      <c r="Y192" s="8">
        <f>IF(C192=1,$AE$32,$AE$33)</f>
        <v/>
      </c>
      <c r="Z192" s="9">
        <f>Y192*X192</f>
        <v/>
      </c>
      <c r="AA192" s="10">
        <f>IF(W192&gt;$AE$34,1,0)</f>
        <v/>
      </c>
      <c r="AB192">
        <f>IF(AA192=C192,1,0)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$AE$12+D193*$AE$13+E193*$AE$14+F193*$AE$15+G193*$AE$16+H193*$AE$17+I193*$AE$18+J193*$AE$19+K193*$AE$20+L193*$AE$21+M193*$AE$22+N193*$AE$23+O193*$AE$24+P193*$AE$25+Q193*$AE$26+R193*$AE$27+S193*$AE$28+T193*$AE$29+U193*$AE$30</f>
        <v/>
      </c>
      <c r="W193" s="8">
        <f>1/(1+EXP(-V193))</f>
        <v/>
      </c>
      <c r="X193" s="9">
        <f>-IF(C193=1,LN(W193),LN(1-W193))</f>
        <v/>
      </c>
      <c r="Y193" s="8">
        <f>IF(C193=1,$AE$32,$AE$33)</f>
        <v/>
      </c>
      <c r="Z193" s="9">
        <f>Y193*X193</f>
        <v/>
      </c>
      <c r="AA193" s="10">
        <f>IF(W193&gt;$AE$34,1,0)</f>
        <v/>
      </c>
      <c r="AB193">
        <f>IF(AA193=C193,1,0)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$AE$12+D194*$AE$13+E194*$AE$14+F194*$AE$15+G194*$AE$16+H194*$AE$17+I194*$AE$18+J194*$AE$19+K194*$AE$20+L194*$AE$21+M194*$AE$22+N194*$AE$23+O194*$AE$24+P194*$AE$25+Q194*$AE$26+R194*$AE$27+S194*$AE$28+T194*$AE$29+U194*$AE$30</f>
        <v/>
      </c>
      <c r="W194" s="8">
        <f>1/(1+EXP(-V194))</f>
        <v/>
      </c>
      <c r="X194" s="9">
        <f>-IF(C194=1,LN(W194),LN(1-W194))</f>
        <v/>
      </c>
      <c r="Y194" s="8">
        <f>IF(C194=1,$AE$32,$AE$33)</f>
        <v/>
      </c>
      <c r="Z194" s="9">
        <f>Y194*X194</f>
        <v/>
      </c>
      <c r="AA194" s="10">
        <f>IF(W194&gt;$AE$34,1,0)</f>
        <v/>
      </c>
      <c r="AB194">
        <f>IF(AA194=C194,1,0)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$AE$12+D195*$AE$13+E195*$AE$14+F195*$AE$15+G195*$AE$16+H195*$AE$17+I195*$AE$18+J195*$AE$19+K195*$AE$20+L195*$AE$21+M195*$AE$22+N195*$AE$23+O195*$AE$24+P195*$AE$25+Q195*$AE$26+R195*$AE$27+S195*$AE$28+T195*$AE$29+U195*$AE$30</f>
        <v/>
      </c>
      <c r="W195" s="8">
        <f>1/(1+EXP(-V195))</f>
        <v/>
      </c>
      <c r="X195" s="9">
        <f>-IF(C195=1,LN(W195),LN(1-W195))</f>
        <v/>
      </c>
      <c r="Y195" s="8">
        <f>IF(C195=1,$AE$32,$AE$33)</f>
        <v/>
      </c>
      <c r="Z195" s="9">
        <f>Y195*X195</f>
        <v/>
      </c>
      <c r="AA195" s="10">
        <f>IF(W195&gt;$AE$34,1,0)</f>
        <v/>
      </c>
      <c r="AB195">
        <f>IF(AA195=C195,1,0)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$AE$12+D196*$AE$13+E196*$AE$14+F196*$AE$15+G196*$AE$16+H196*$AE$17+I196*$AE$18+J196*$AE$19+K196*$AE$20+L196*$AE$21+M196*$AE$22+N196*$AE$23+O196*$AE$24+P196*$AE$25+Q196*$AE$26+R196*$AE$27+S196*$AE$28+T196*$AE$29+U196*$AE$30</f>
        <v/>
      </c>
      <c r="W196" s="8">
        <f>1/(1+EXP(-V196))</f>
        <v/>
      </c>
      <c r="X196" s="9">
        <f>-IF(C196=1,LN(W196),LN(1-W196))</f>
        <v/>
      </c>
      <c r="Y196" s="8">
        <f>IF(C196=1,$AE$32,$AE$33)</f>
        <v/>
      </c>
      <c r="Z196" s="9">
        <f>Y196*X196</f>
        <v/>
      </c>
      <c r="AA196" s="10">
        <f>IF(W196&gt;$AE$34,1,0)</f>
        <v/>
      </c>
      <c r="AB196">
        <f>IF(AA196=C196,1,0)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$AE$12+D197*$AE$13+E197*$AE$14+F197*$AE$15+G197*$AE$16+H197*$AE$17+I197*$AE$18+J197*$AE$19+K197*$AE$20+L197*$AE$21+M197*$AE$22+N197*$AE$23+O197*$AE$24+P197*$AE$25+Q197*$AE$26+R197*$AE$27+S197*$AE$28+T197*$AE$29+U197*$AE$30</f>
        <v/>
      </c>
      <c r="W197" s="8">
        <f>1/(1+EXP(-V197))</f>
        <v/>
      </c>
      <c r="X197" s="9">
        <f>-IF(C197=1,LN(W197),LN(1-W197))</f>
        <v/>
      </c>
      <c r="Y197" s="8">
        <f>IF(C197=1,$AE$32,$AE$33)</f>
        <v/>
      </c>
      <c r="Z197" s="9">
        <f>Y197*X197</f>
        <v/>
      </c>
      <c r="AA197" s="10">
        <f>IF(W197&gt;$AE$34,1,0)</f>
        <v/>
      </c>
      <c r="AB197">
        <f>IF(AA197=C197,1,0)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$AE$12+D198*$AE$13+E198*$AE$14+F198*$AE$15+G198*$AE$16+H198*$AE$17+I198*$AE$18+J198*$AE$19+K198*$AE$20+L198*$AE$21+M198*$AE$22+N198*$AE$23+O198*$AE$24+P198*$AE$25+Q198*$AE$26+R198*$AE$27+S198*$AE$28+T198*$AE$29+U198*$AE$30</f>
        <v/>
      </c>
      <c r="W198" s="8">
        <f>1/(1+EXP(-V198))</f>
        <v/>
      </c>
      <c r="X198" s="9">
        <f>-IF(C198=1,LN(W198),LN(1-W198))</f>
        <v/>
      </c>
      <c r="Y198" s="8">
        <f>IF(C198=1,$AE$32,$AE$33)</f>
        <v/>
      </c>
      <c r="Z198" s="9">
        <f>Y198*X198</f>
        <v/>
      </c>
      <c r="AA198" s="10">
        <f>IF(W198&gt;$AE$34,1,0)</f>
        <v/>
      </c>
      <c r="AB198">
        <f>IF(AA198=C198,1,0)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$AE$12+D199*$AE$13+E199*$AE$14+F199*$AE$15+G199*$AE$16+H199*$AE$17+I199*$AE$18+J199*$AE$19+K199*$AE$20+L199*$AE$21+M199*$AE$22+N199*$AE$23+O199*$AE$24+P199*$AE$25+Q199*$AE$26+R199*$AE$27+S199*$AE$28+T199*$AE$29+U199*$AE$30</f>
        <v/>
      </c>
      <c r="W199" s="8">
        <f>1/(1+EXP(-V199))</f>
        <v/>
      </c>
      <c r="X199" s="9">
        <f>-IF(C199=1,LN(W199),LN(1-W199))</f>
        <v/>
      </c>
      <c r="Y199" s="8">
        <f>IF(C199=1,$AE$32,$AE$33)</f>
        <v/>
      </c>
      <c r="Z199" s="9">
        <f>Y199*X199</f>
        <v/>
      </c>
      <c r="AA199" s="10">
        <f>IF(W199&gt;$AE$34,1,0)</f>
        <v/>
      </c>
      <c r="AB199">
        <f>IF(AA199=C199,1,0)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$AE$12+D200*$AE$13+E200*$AE$14+F200*$AE$15+G200*$AE$16+H200*$AE$17+I200*$AE$18+J200*$AE$19+K200*$AE$20+L200*$AE$21+M200*$AE$22+N200*$AE$23+O200*$AE$24+P200*$AE$25+Q200*$AE$26+R200*$AE$27+S200*$AE$28+T200*$AE$29+U200*$AE$30</f>
        <v/>
      </c>
      <c r="W200" s="8">
        <f>1/(1+EXP(-V200))</f>
        <v/>
      </c>
      <c r="X200" s="9">
        <f>-IF(C200=1,LN(W200),LN(1-W200))</f>
        <v/>
      </c>
      <c r="Y200" s="8">
        <f>IF(C200=1,$AE$32,$AE$33)</f>
        <v/>
      </c>
      <c r="Z200" s="9">
        <f>Y200*X200</f>
        <v/>
      </c>
      <c r="AA200" s="10">
        <f>IF(W200&gt;$AE$34,1,0)</f>
        <v/>
      </c>
      <c r="AB200">
        <f>IF(AA200=C200,1,0)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$AE$12+D201*$AE$13+E201*$AE$14+F201*$AE$15+G201*$AE$16+H201*$AE$17+I201*$AE$18+J201*$AE$19+K201*$AE$20+L201*$AE$21+M201*$AE$22+N201*$AE$23+O201*$AE$24+P201*$AE$25+Q201*$AE$26+R201*$AE$27+S201*$AE$28+T201*$AE$29+U201*$AE$30</f>
        <v/>
      </c>
      <c r="W201" s="8">
        <f>1/(1+EXP(-V201))</f>
        <v/>
      </c>
      <c r="X201" s="9">
        <f>-IF(C201=1,LN(W201),LN(1-W201))</f>
        <v/>
      </c>
      <c r="Y201" s="8">
        <f>IF(C201=1,$AE$32,$AE$33)</f>
        <v/>
      </c>
      <c r="Z201" s="9">
        <f>Y201*X201</f>
        <v/>
      </c>
      <c r="AA201" s="10">
        <f>IF(W201&gt;$AE$34,1,0)</f>
        <v/>
      </c>
      <c r="AB201">
        <f>IF(AA201=C201,1,0)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$AE$12+D202*$AE$13+E202*$AE$14+F202*$AE$15+G202*$AE$16+H202*$AE$17+I202*$AE$18+J202*$AE$19+K202*$AE$20+L202*$AE$21+M202*$AE$22+N202*$AE$23+O202*$AE$24+P202*$AE$25+Q202*$AE$26+R202*$AE$27+S202*$AE$28+T202*$AE$29+U202*$AE$30</f>
        <v/>
      </c>
      <c r="W202" s="8">
        <f>1/(1+EXP(-V202))</f>
        <v/>
      </c>
      <c r="X202" s="9">
        <f>-IF(C202=1,LN(W202),LN(1-W202))</f>
        <v/>
      </c>
      <c r="Y202" s="8">
        <f>IF(C202=1,$AE$32,$AE$33)</f>
        <v/>
      </c>
      <c r="Z202" s="9">
        <f>Y202*X202</f>
        <v/>
      </c>
      <c r="AA202" s="10">
        <f>IF(W202&gt;$AE$34,1,0)</f>
        <v/>
      </c>
      <c r="AB202">
        <f>IF(AA202=C202,1,0)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$AE$12+D203*$AE$13+E203*$AE$14+F203*$AE$15+G203*$AE$16+H203*$AE$17+I203*$AE$18+J203*$AE$19+K203*$AE$20+L203*$AE$21+M203*$AE$22+N203*$AE$23+O203*$AE$24+P203*$AE$25+Q203*$AE$26+R203*$AE$27+S203*$AE$28+T203*$AE$29+U203*$AE$30</f>
        <v/>
      </c>
      <c r="W203" s="8">
        <f>1/(1+EXP(-V203))</f>
        <v/>
      </c>
      <c r="X203" s="9">
        <f>-IF(C203=1,LN(W203),LN(1-W203))</f>
        <v/>
      </c>
      <c r="Y203" s="8">
        <f>IF(C203=1,$AE$32,$AE$33)</f>
        <v/>
      </c>
      <c r="Z203" s="9">
        <f>Y203*X203</f>
        <v/>
      </c>
      <c r="AA203" s="10">
        <f>IF(W203&gt;$AE$34,1,0)</f>
        <v/>
      </c>
      <c r="AB203">
        <f>IF(AA203=C203,1,0)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$AE$12+D204*$AE$13+E204*$AE$14+F204*$AE$15+G204*$AE$16+H204*$AE$17+I204*$AE$18+J204*$AE$19+K204*$AE$20+L204*$AE$21+M204*$AE$22+N204*$AE$23+O204*$AE$24+P204*$AE$25+Q204*$AE$26+R204*$AE$27+S204*$AE$28+T204*$AE$29+U204*$AE$30</f>
        <v/>
      </c>
      <c r="W204" s="8">
        <f>1/(1+EXP(-V204))</f>
        <v/>
      </c>
      <c r="X204" s="9">
        <f>-IF(C204=1,LN(W204),LN(1-W204))</f>
        <v/>
      </c>
      <c r="Y204" s="8">
        <f>IF(C204=1,$AE$32,$AE$33)</f>
        <v/>
      </c>
      <c r="Z204" s="9">
        <f>Y204*X204</f>
        <v/>
      </c>
      <c r="AA204" s="10">
        <f>IF(W204&gt;$AE$34,1,0)</f>
        <v/>
      </c>
      <c r="AB204">
        <f>IF(AA204=C204,1,0)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$AE$12+D205*$AE$13+E205*$AE$14+F205*$AE$15+G205*$AE$16+H205*$AE$17+I205*$AE$18+J205*$AE$19+K205*$AE$20+L205*$AE$21+M205*$AE$22+N205*$AE$23+O205*$AE$24+P205*$AE$25+Q205*$AE$26+R205*$AE$27+S205*$AE$28+T205*$AE$29+U205*$AE$30</f>
        <v/>
      </c>
      <c r="W205" s="8">
        <f>1/(1+EXP(-V205))</f>
        <v/>
      </c>
      <c r="X205" s="9">
        <f>-IF(C205=1,LN(W205),LN(1-W205))</f>
        <v/>
      </c>
      <c r="Y205" s="8">
        <f>IF(C205=1,$AE$32,$AE$33)</f>
        <v/>
      </c>
      <c r="Z205" s="9">
        <f>Y205*X205</f>
        <v/>
      </c>
      <c r="AA205" s="10">
        <f>IF(W205&gt;$AE$34,1,0)</f>
        <v/>
      </c>
      <c r="AB205">
        <f>IF(AA205=C205,1,0)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$AE$12+D206*$AE$13+E206*$AE$14+F206*$AE$15+G206*$AE$16+H206*$AE$17+I206*$AE$18+J206*$AE$19+K206*$AE$20+L206*$AE$21+M206*$AE$22+N206*$AE$23+O206*$AE$24+P206*$AE$25+Q206*$AE$26+R206*$AE$27+S206*$AE$28+T206*$AE$29+U206*$AE$30</f>
        <v/>
      </c>
      <c r="W206" s="8">
        <f>1/(1+EXP(-V206))</f>
        <v/>
      </c>
      <c r="X206" s="9">
        <f>-IF(C206=1,LN(W206),LN(1-W206))</f>
        <v/>
      </c>
      <c r="Y206" s="8">
        <f>IF(C206=1,$AE$32,$AE$33)</f>
        <v/>
      </c>
      <c r="Z206" s="9">
        <f>Y206*X206</f>
        <v/>
      </c>
      <c r="AA206" s="10">
        <f>IF(W206&gt;$AE$34,1,0)</f>
        <v/>
      </c>
      <c r="AB206">
        <f>IF(AA206=C206,1,0)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$AE$12+D207*$AE$13+E207*$AE$14+F207*$AE$15+G207*$AE$16+H207*$AE$17+I207*$AE$18+J207*$AE$19+K207*$AE$20+L207*$AE$21+M207*$AE$22+N207*$AE$23+O207*$AE$24+P207*$AE$25+Q207*$AE$26+R207*$AE$27+S207*$AE$28+T207*$AE$29+U207*$AE$30</f>
        <v/>
      </c>
      <c r="W207" s="8">
        <f>1/(1+EXP(-V207))</f>
        <v/>
      </c>
      <c r="X207" s="9">
        <f>-IF(C207=1,LN(W207),LN(1-W207))</f>
        <v/>
      </c>
      <c r="Y207" s="8">
        <f>IF(C207=1,$AE$32,$AE$33)</f>
        <v/>
      </c>
      <c r="Z207" s="9">
        <f>Y207*X207</f>
        <v/>
      </c>
      <c r="AA207" s="10">
        <f>IF(W207&gt;$AE$34,1,0)</f>
        <v/>
      </c>
      <c r="AB207">
        <f>IF(AA207=C207,1,0)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$AE$12+D208*$AE$13+E208*$AE$14+F208*$AE$15+G208*$AE$16+H208*$AE$17+I208*$AE$18+J208*$AE$19+K208*$AE$20+L208*$AE$21+M208*$AE$22+N208*$AE$23+O208*$AE$24+P208*$AE$25+Q208*$AE$26+R208*$AE$27+S208*$AE$28+T208*$AE$29+U208*$AE$30</f>
        <v/>
      </c>
      <c r="W208" s="8">
        <f>1/(1+EXP(-V208))</f>
        <v/>
      </c>
      <c r="X208" s="9">
        <f>-IF(C208=1,LN(W208),LN(1-W208))</f>
        <v/>
      </c>
      <c r="Y208" s="8">
        <f>IF(C208=1,$AE$32,$AE$33)</f>
        <v/>
      </c>
      <c r="Z208" s="9">
        <f>Y208*X208</f>
        <v/>
      </c>
      <c r="AA208" s="10">
        <f>IF(W208&gt;$AE$34,1,0)</f>
        <v/>
      </c>
      <c r="AB208">
        <f>IF(AA208=C208,1,0)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$AE$12+D209*$AE$13+E209*$AE$14+F209*$AE$15+G209*$AE$16+H209*$AE$17+I209*$AE$18+J209*$AE$19+K209*$AE$20+L209*$AE$21+M209*$AE$22+N209*$AE$23+O209*$AE$24+P209*$AE$25+Q209*$AE$26+R209*$AE$27+S209*$AE$28+T209*$AE$29+U209*$AE$30</f>
        <v/>
      </c>
      <c r="W209" s="8">
        <f>1/(1+EXP(-V209))</f>
        <v/>
      </c>
      <c r="X209" s="9">
        <f>-IF(C209=1,LN(W209),LN(1-W209))</f>
        <v/>
      </c>
      <c r="Y209" s="8">
        <f>IF(C209=1,$AE$32,$AE$33)</f>
        <v/>
      </c>
      <c r="Z209" s="9">
        <f>Y209*X209</f>
        <v/>
      </c>
      <c r="AA209" s="10">
        <f>IF(W209&gt;$AE$34,1,0)</f>
        <v/>
      </c>
      <c r="AB209">
        <f>IF(AA209=C209,1,0)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$AE$12+D210*$AE$13+E210*$AE$14+F210*$AE$15+G210*$AE$16+H210*$AE$17+I210*$AE$18+J210*$AE$19+K210*$AE$20+L210*$AE$21+M210*$AE$22+N210*$AE$23+O210*$AE$24+P210*$AE$25+Q210*$AE$26+R210*$AE$27+S210*$AE$28+T210*$AE$29+U210*$AE$30</f>
        <v/>
      </c>
      <c r="W210" s="8">
        <f>1/(1+EXP(-V210))</f>
        <v/>
      </c>
      <c r="X210" s="9">
        <f>-IF(C210=1,LN(W210),LN(1-W210))</f>
        <v/>
      </c>
      <c r="Y210" s="8">
        <f>IF(C210=1,$AE$32,$AE$33)</f>
        <v/>
      </c>
      <c r="Z210" s="9">
        <f>Y210*X210</f>
        <v/>
      </c>
      <c r="AA210" s="10">
        <f>IF(W210&gt;$AE$34,1,0)</f>
        <v/>
      </c>
      <c r="AB210">
        <f>IF(AA210=C210,1,0)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$AE$12+D211*$AE$13+E211*$AE$14+F211*$AE$15+G211*$AE$16+H211*$AE$17+I211*$AE$18+J211*$AE$19+K211*$AE$20+L211*$AE$21+M211*$AE$22+N211*$AE$23+O211*$AE$24+P211*$AE$25+Q211*$AE$26+R211*$AE$27+S211*$AE$28+T211*$AE$29+U211*$AE$30</f>
        <v/>
      </c>
      <c r="W211" s="8">
        <f>1/(1+EXP(-V211))</f>
        <v/>
      </c>
      <c r="X211" s="9">
        <f>-IF(C211=1,LN(W211),LN(1-W211))</f>
        <v/>
      </c>
      <c r="Y211" s="8">
        <f>IF(C211=1,$AE$32,$AE$33)</f>
        <v/>
      </c>
      <c r="Z211" s="9">
        <f>Y211*X211</f>
        <v/>
      </c>
      <c r="AA211" s="10">
        <f>IF(W211&gt;$AE$34,1,0)</f>
        <v/>
      </c>
      <c r="AB211">
        <f>IF(AA211=C211,1,0)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$AE$12+D212*$AE$13+E212*$AE$14+F212*$AE$15+G212*$AE$16+H212*$AE$17+I212*$AE$18+J212*$AE$19+K212*$AE$20+L212*$AE$21+M212*$AE$22+N212*$AE$23+O212*$AE$24+P212*$AE$25+Q212*$AE$26+R212*$AE$27+S212*$AE$28+T212*$AE$29+U212*$AE$30</f>
        <v/>
      </c>
      <c r="W212" s="8">
        <f>1/(1+EXP(-V212))</f>
        <v/>
      </c>
      <c r="X212" s="9">
        <f>-IF(C212=1,LN(W212),LN(1-W212))</f>
        <v/>
      </c>
      <c r="Y212" s="8">
        <f>IF(C212=1,$AE$32,$AE$33)</f>
        <v/>
      </c>
      <c r="Z212" s="9">
        <f>Y212*X212</f>
        <v/>
      </c>
      <c r="AA212" s="10">
        <f>IF(W212&gt;$AE$34,1,0)</f>
        <v/>
      </c>
      <c r="AB212">
        <f>IF(AA212=C212,1,0)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$AE$12+D213*$AE$13+E213*$AE$14+F213*$AE$15+G213*$AE$16+H213*$AE$17+I213*$AE$18+J213*$AE$19+K213*$AE$20+L213*$AE$21+M213*$AE$22+N213*$AE$23+O213*$AE$24+P213*$AE$25+Q213*$AE$26+R213*$AE$27+S213*$AE$28+T213*$AE$29+U213*$AE$30</f>
        <v/>
      </c>
      <c r="W213" s="8">
        <f>1/(1+EXP(-V213))</f>
        <v/>
      </c>
      <c r="X213" s="9">
        <f>-IF(C213=1,LN(W213),LN(1-W213))</f>
        <v/>
      </c>
      <c r="Y213" s="8">
        <f>IF(C213=1,$AE$32,$AE$33)</f>
        <v/>
      </c>
      <c r="Z213" s="9">
        <f>Y213*X213</f>
        <v/>
      </c>
      <c r="AA213" s="10">
        <f>IF(W213&gt;$AE$34,1,0)</f>
        <v/>
      </c>
      <c r="AB213">
        <f>IF(AA213=C213,1,0)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$AE$12+D214*$AE$13+E214*$AE$14+F214*$AE$15+G214*$AE$16+H214*$AE$17+I214*$AE$18+J214*$AE$19+K214*$AE$20+L214*$AE$21+M214*$AE$22+N214*$AE$23+O214*$AE$24+P214*$AE$25+Q214*$AE$26+R214*$AE$27+S214*$AE$28+T214*$AE$29+U214*$AE$30</f>
        <v/>
      </c>
      <c r="W214" s="8">
        <f>1/(1+EXP(-V214))</f>
        <v/>
      </c>
      <c r="X214" s="9">
        <f>-IF(C214=1,LN(W214),LN(1-W214))</f>
        <v/>
      </c>
      <c r="Y214" s="8">
        <f>IF(C214=1,$AE$32,$AE$33)</f>
        <v/>
      </c>
      <c r="Z214" s="9">
        <f>Y214*X214</f>
        <v/>
      </c>
      <c r="AA214" s="10">
        <f>IF(W214&gt;$AE$34,1,0)</f>
        <v/>
      </c>
      <c r="AB214">
        <f>IF(AA214=C214,1,0)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$AE$12+D215*$AE$13+E215*$AE$14+F215*$AE$15+G215*$AE$16+H215*$AE$17+I215*$AE$18+J215*$AE$19+K215*$AE$20+L215*$AE$21+M215*$AE$22+N215*$AE$23+O215*$AE$24+P215*$AE$25+Q215*$AE$26+R215*$AE$27+S215*$AE$28+T215*$AE$29+U215*$AE$30</f>
        <v/>
      </c>
      <c r="W215" s="8">
        <f>1/(1+EXP(-V215))</f>
        <v/>
      </c>
      <c r="X215" s="9">
        <f>-IF(C215=1,LN(W215),LN(1-W215))</f>
        <v/>
      </c>
      <c r="Y215" s="8">
        <f>IF(C215=1,$AE$32,$AE$33)</f>
        <v/>
      </c>
      <c r="Z215" s="9">
        <f>Y215*X215</f>
        <v/>
      </c>
      <c r="AA215" s="10">
        <f>IF(W215&gt;$AE$34,1,0)</f>
        <v/>
      </c>
      <c r="AB215">
        <f>IF(AA215=C215,1,0)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$AE$12+D216*$AE$13+E216*$AE$14+F216*$AE$15+G216*$AE$16+H216*$AE$17+I216*$AE$18+J216*$AE$19+K216*$AE$20+L216*$AE$21+M216*$AE$22+N216*$AE$23+O216*$AE$24+P216*$AE$25+Q216*$AE$26+R216*$AE$27+S216*$AE$28+T216*$AE$29+U216*$AE$30</f>
        <v/>
      </c>
      <c r="W216" s="8">
        <f>1/(1+EXP(-V216))</f>
        <v/>
      </c>
      <c r="X216" s="9">
        <f>-IF(C216=1,LN(W216),LN(1-W216))</f>
        <v/>
      </c>
      <c r="Y216" s="8">
        <f>IF(C216=1,$AE$32,$AE$33)</f>
        <v/>
      </c>
      <c r="Z216" s="9">
        <f>Y216*X216</f>
        <v/>
      </c>
      <c r="AA216" s="10">
        <f>IF(W216&gt;$AE$34,1,0)</f>
        <v/>
      </c>
      <c r="AB216">
        <f>IF(AA216=C216,1,0)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$AE$12+D217*$AE$13+E217*$AE$14+F217*$AE$15+G217*$AE$16+H217*$AE$17+I217*$AE$18+J217*$AE$19+K217*$AE$20+L217*$AE$21+M217*$AE$22+N217*$AE$23+O217*$AE$24+P217*$AE$25+Q217*$AE$26+R217*$AE$27+S217*$AE$28+T217*$AE$29+U217*$AE$30</f>
        <v/>
      </c>
      <c r="W217" s="8">
        <f>1/(1+EXP(-V217))</f>
        <v/>
      </c>
      <c r="X217" s="9">
        <f>-IF(C217=1,LN(W217),LN(1-W217))</f>
        <v/>
      </c>
      <c r="Y217" s="8">
        <f>IF(C217=1,$AE$32,$AE$33)</f>
        <v/>
      </c>
      <c r="Z217" s="9">
        <f>Y217*X217</f>
        <v/>
      </c>
      <c r="AA217" s="10">
        <f>IF(W217&gt;$AE$34,1,0)</f>
        <v/>
      </c>
      <c r="AB217">
        <f>IF(AA217=C217,1,0)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$AE$12+D218*$AE$13+E218*$AE$14+F218*$AE$15+G218*$AE$16+H218*$AE$17+I218*$AE$18+J218*$AE$19+K218*$AE$20+L218*$AE$21+M218*$AE$22+N218*$AE$23+O218*$AE$24+P218*$AE$25+Q218*$AE$26+R218*$AE$27+S218*$AE$28+T218*$AE$29+U218*$AE$30</f>
        <v/>
      </c>
      <c r="W218" s="8">
        <f>1/(1+EXP(-V218))</f>
        <v/>
      </c>
      <c r="X218" s="9">
        <f>-IF(C218=1,LN(W218),LN(1-W218))</f>
        <v/>
      </c>
      <c r="Y218" s="8">
        <f>IF(C218=1,$AE$32,$AE$33)</f>
        <v/>
      </c>
      <c r="Z218" s="9">
        <f>Y218*X218</f>
        <v/>
      </c>
      <c r="AA218" s="10">
        <f>IF(W218&gt;$AE$34,1,0)</f>
        <v/>
      </c>
      <c r="AB218">
        <f>IF(AA218=C218,1,0)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$AE$12+D219*$AE$13+E219*$AE$14+F219*$AE$15+G219*$AE$16+H219*$AE$17+I219*$AE$18+J219*$AE$19+K219*$AE$20+L219*$AE$21+M219*$AE$22+N219*$AE$23+O219*$AE$24+P219*$AE$25+Q219*$AE$26+R219*$AE$27+S219*$AE$28+T219*$AE$29+U219*$AE$30</f>
        <v/>
      </c>
      <c r="W219" s="8">
        <f>1/(1+EXP(-V219))</f>
        <v/>
      </c>
      <c r="X219" s="9">
        <f>-IF(C219=1,LN(W219),LN(1-W219))</f>
        <v/>
      </c>
      <c r="Y219" s="8">
        <f>IF(C219=1,$AE$32,$AE$33)</f>
        <v/>
      </c>
      <c r="Z219" s="9">
        <f>Y219*X219</f>
        <v/>
      </c>
      <c r="AA219" s="10">
        <f>IF(W219&gt;$AE$34,1,0)</f>
        <v/>
      </c>
      <c r="AB219">
        <f>IF(AA219=C219,1,0)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$AE$12+D220*$AE$13+E220*$AE$14+F220*$AE$15+G220*$AE$16+H220*$AE$17+I220*$AE$18+J220*$AE$19+K220*$AE$20+L220*$AE$21+M220*$AE$22+N220*$AE$23+O220*$AE$24+P220*$AE$25+Q220*$AE$26+R220*$AE$27+S220*$AE$28+T220*$AE$29+U220*$AE$30</f>
        <v/>
      </c>
      <c r="W220" s="8">
        <f>1/(1+EXP(-V220))</f>
        <v/>
      </c>
      <c r="X220" s="9">
        <f>-IF(C220=1,LN(W220),LN(1-W220))</f>
        <v/>
      </c>
      <c r="Y220" s="8">
        <f>IF(C220=1,$AE$32,$AE$33)</f>
        <v/>
      </c>
      <c r="Z220" s="9">
        <f>Y220*X220</f>
        <v/>
      </c>
      <c r="AA220" s="10">
        <f>IF(W220&gt;$AE$34,1,0)</f>
        <v/>
      </c>
      <c r="AB220">
        <f>IF(AA220=C220,1,0)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$AE$12+D221*$AE$13+E221*$AE$14+F221*$AE$15+G221*$AE$16+H221*$AE$17+I221*$AE$18+J221*$AE$19+K221*$AE$20+L221*$AE$21+M221*$AE$22+N221*$AE$23+O221*$AE$24+P221*$AE$25+Q221*$AE$26+R221*$AE$27+S221*$AE$28+T221*$AE$29+U221*$AE$30</f>
        <v/>
      </c>
      <c r="W221" s="8">
        <f>1/(1+EXP(-V221))</f>
        <v/>
      </c>
      <c r="X221" s="9">
        <f>-IF(C221=1,LN(W221),LN(1-W221))</f>
        <v/>
      </c>
      <c r="Y221" s="8">
        <f>IF(C221=1,$AE$32,$AE$33)</f>
        <v/>
      </c>
      <c r="Z221" s="9">
        <f>Y221*X221</f>
        <v/>
      </c>
      <c r="AA221" s="10">
        <f>IF(W221&gt;$AE$34,1,0)</f>
        <v/>
      </c>
      <c r="AB221">
        <f>IF(AA221=C221,1,0)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$AE$12+D222*$AE$13+E222*$AE$14+F222*$AE$15+G222*$AE$16+H222*$AE$17+I222*$AE$18+J222*$AE$19+K222*$AE$20+L222*$AE$21+M222*$AE$22+N222*$AE$23+O222*$AE$24+P222*$AE$25+Q222*$AE$26+R222*$AE$27+S222*$AE$28+T222*$AE$29+U222*$AE$30</f>
        <v/>
      </c>
      <c r="W222" s="8">
        <f>1/(1+EXP(-V222))</f>
        <v/>
      </c>
      <c r="X222" s="9">
        <f>-IF(C222=1,LN(W222),LN(1-W222))</f>
        <v/>
      </c>
      <c r="Y222" s="8">
        <f>IF(C222=1,$AE$32,$AE$33)</f>
        <v/>
      </c>
      <c r="Z222" s="9">
        <f>Y222*X222</f>
        <v/>
      </c>
      <c r="AA222" s="10">
        <f>IF(W222&gt;$AE$34,1,0)</f>
        <v/>
      </c>
      <c r="AB222">
        <f>IF(AA222=C222,1,0)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$AE$12+D223*$AE$13+E223*$AE$14+F223*$AE$15+G223*$AE$16+H223*$AE$17+I223*$AE$18+J223*$AE$19+K223*$AE$20+L223*$AE$21+M223*$AE$22+N223*$AE$23+O223*$AE$24+P223*$AE$25+Q223*$AE$26+R223*$AE$27+S223*$AE$28+T223*$AE$29+U223*$AE$30</f>
        <v/>
      </c>
      <c r="W223" s="8">
        <f>1/(1+EXP(-V223))</f>
        <v/>
      </c>
      <c r="X223" s="9">
        <f>-IF(C223=1,LN(W223),LN(1-W223))</f>
        <v/>
      </c>
      <c r="Y223" s="8">
        <f>IF(C223=1,$AE$32,$AE$33)</f>
        <v/>
      </c>
      <c r="Z223" s="9">
        <f>Y223*X223</f>
        <v/>
      </c>
      <c r="AA223" s="10">
        <f>IF(W223&gt;$AE$34,1,0)</f>
        <v/>
      </c>
      <c r="AB223">
        <f>IF(AA223=C223,1,0)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$AE$12+D224*$AE$13+E224*$AE$14+F224*$AE$15+G224*$AE$16+H224*$AE$17+I224*$AE$18+J224*$AE$19+K224*$AE$20+L224*$AE$21+M224*$AE$22+N224*$AE$23+O224*$AE$24+P224*$AE$25+Q224*$AE$26+R224*$AE$27+S224*$AE$28+T224*$AE$29+U224*$AE$30</f>
        <v/>
      </c>
      <c r="W224" s="8">
        <f>1/(1+EXP(-V224))</f>
        <v/>
      </c>
      <c r="X224" s="9">
        <f>-IF(C224=1,LN(W224),LN(1-W224))</f>
        <v/>
      </c>
      <c r="Y224" s="8">
        <f>IF(C224=1,$AE$32,$AE$33)</f>
        <v/>
      </c>
      <c r="Z224" s="9">
        <f>Y224*X224</f>
        <v/>
      </c>
      <c r="AA224" s="10">
        <f>IF(W224&gt;$AE$34,1,0)</f>
        <v/>
      </c>
      <c r="AB224">
        <f>IF(AA224=C224,1,0)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$AE$12+D225*$AE$13+E225*$AE$14+F225*$AE$15+G225*$AE$16+H225*$AE$17+I225*$AE$18+J225*$AE$19+K225*$AE$20+L225*$AE$21+M225*$AE$22+N225*$AE$23+O225*$AE$24+P225*$AE$25+Q225*$AE$26+R225*$AE$27+S225*$AE$28+T225*$AE$29+U225*$AE$30</f>
        <v/>
      </c>
      <c r="W225" s="8">
        <f>1/(1+EXP(-V225))</f>
        <v/>
      </c>
      <c r="X225" s="9">
        <f>-IF(C225=1,LN(W225),LN(1-W225))</f>
        <v/>
      </c>
      <c r="Y225" s="8">
        <f>IF(C225=1,$AE$32,$AE$33)</f>
        <v/>
      </c>
      <c r="Z225" s="9">
        <f>Y225*X225</f>
        <v/>
      </c>
      <c r="AA225" s="10">
        <f>IF(W225&gt;$AE$34,1,0)</f>
        <v/>
      </c>
      <c r="AB225">
        <f>IF(AA225=C225,1,0)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$AE$12+D226*$AE$13+E226*$AE$14+F226*$AE$15+G226*$AE$16+H226*$AE$17+I226*$AE$18+J226*$AE$19+K226*$AE$20+L226*$AE$21+M226*$AE$22+N226*$AE$23+O226*$AE$24+P226*$AE$25+Q226*$AE$26+R226*$AE$27+S226*$AE$28+T226*$AE$29+U226*$AE$30</f>
        <v/>
      </c>
      <c r="W226" s="8">
        <f>1/(1+EXP(-V226))</f>
        <v/>
      </c>
      <c r="X226" s="9">
        <f>-IF(C226=1,LN(W226),LN(1-W226))</f>
        <v/>
      </c>
      <c r="Y226" s="8">
        <f>IF(C226=1,$AE$32,$AE$33)</f>
        <v/>
      </c>
      <c r="Z226" s="9">
        <f>Y226*X226</f>
        <v/>
      </c>
      <c r="AA226" s="10">
        <f>IF(W226&gt;$AE$34,1,0)</f>
        <v/>
      </c>
      <c r="AB226">
        <f>IF(AA226=C226,1,0)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$AE$12+D227*$AE$13+E227*$AE$14+F227*$AE$15+G227*$AE$16+H227*$AE$17+I227*$AE$18+J227*$AE$19+K227*$AE$20+L227*$AE$21+M227*$AE$22+N227*$AE$23+O227*$AE$24+P227*$AE$25+Q227*$AE$26+R227*$AE$27+S227*$AE$28+T227*$AE$29+U227*$AE$30</f>
        <v/>
      </c>
      <c r="W227" s="8">
        <f>1/(1+EXP(-V227))</f>
        <v/>
      </c>
      <c r="X227" s="9">
        <f>-IF(C227=1,LN(W227),LN(1-W227))</f>
        <v/>
      </c>
      <c r="Y227" s="8">
        <f>IF(C227=1,$AE$32,$AE$33)</f>
        <v/>
      </c>
      <c r="Z227" s="9">
        <f>Y227*X227</f>
        <v/>
      </c>
      <c r="AA227" s="10">
        <f>IF(W227&gt;$AE$34,1,0)</f>
        <v/>
      </c>
      <c r="AB227">
        <f>IF(AA227=C227,1,0)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$AE$12+D228*$AE$13+E228*$AE$14+F228*$AE$15+G228*$AE$16+H228*$AE$17+I228*$AE$18+J228*$AE$19+K228*$AE$20+L228*$AE$21+M228*$AE$22+N228*$AE$23+O228*$AE$24+P228*$AE$25+Q228*$AE$26+R228*$AE$27+S228*$AE$28+T228*$AE$29+U228*$AE$30</f>
        <v/>
      </c>
      <c r="W228" s="8">
        <f>1/(1+EXP(-V228))</f>
        <v/>
      </c>
      <c r="X228" s="9">
        <f>-IF(C228=1,LN(W228),LN(1-W228))</f>
        <v/>
      </c>
      <c r="Y228" s="8">
        <f>IF(C228=1,$AE$32,$AE$33)</f>
        <v/>
      </c>
      <c r="Z228" s="9">
        <f>Y228*X228</f>
        <v/>
      </c>
      <c r="AA228" s="10">
        <f>IF(W228&gt;$AE$34,1,0)</f>
        <v/>
      </c>
      <c r="AB228">
        <f>IF(AA228=C228,1,0)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$AE$12+D229*$AE$13+E229*$AE$14+F229*$AE$15+G229*$AE$16+H229*$AE$17+I229*$AE$18+J229*$AE$19+K229*$AE$20+L229*$AE$21+M229*$AE$22+N229*$AE$23+O229*$AE$24+P229*$AE$25+Q229*$AE$26+R229*$AE$27+S229*$AE$28+T229*$AE$29+U229*$AE$30</f>
        <v/>
      </c>
      <c r="W229" s="8">
        <f>1/(1+EXP(-V229))</f>
        <v/>
      </c>
      <c r="X229" s="9">
        <f>-IF(C229=1,LN(W229),LN(1-W229))</f>
        <v/>
      </c>
      <c r="Y229" s="8">
        <f>IF(C229=1,$AE$32,$AE$33)</f>
        <v/>
      </c>
      <c r="Z229" s="9">
        <f>Y229*X229</f>
        <v/>
      </c>
      <c r="AA229" s="10">
        <f>IF(W229&gt;$AE$34,1,0)</f>
        <v/>
      </c>
      <c r="AB229">
        <f>IF(AA229=C229,1,0)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$AE$12+D230*$AE$13+E230*$AE$14+F230*$AE$15+G230*$AE$16+H230*$AE$17+I230*$AE$18+J230*$AE$19+K230*$AE$20+L230*$AE$21+M230*$AE$22+N230*$AE$23+O230*$AE$24+P230*$AE$25+Q230*$AE$26+R230*$AE$27+S230*$AE$28+T230*$AE$29+U230*$AE$30</f>
        <v/>
      </c>
      <c r="W230" s="8">
        <f>1/(1+EXP(-V230))</f>
        <v/>
      </c>
      <c r="X230" s="9">
        <f>-IF(C230=1,LN(W230),LN(1-W230))</f>
        <v/>
      </c>
      <c r="Y230" s="8">
        <f>IF(C230=1,$AE$32,$AE$33)</f>
        <v/>
      </c>
      <c r="Z230" s="9">
        <f>Y230*X230</f>
        <v/>
      </c>
      <c r="AA230" s="10">
        <f>IF(W230&gt;$AE$34,1,0)</f>
        <v/>
      </c>
      <c r="AB230">
        <f>IF(AA230=C230,1,0)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$AE$12+D231*$AE$13+E231*$AE$14+F231*$AE$15+G231*$AE$16+H231*$AE$17+I231*$AE$18+J231*$AE$19+K231*$AE$20+L231*$AE$21+M231*$AE$22+N231*$AE$23+O231*$AE$24+P231*$AE$25+Q231*$AE$26+R231*$AE$27+S231*$AE$28+T231*$AE$29+U231*$AE$30</f>
        <v/>
      </c>
      <c r="W231" s="8">
        <f>1/(1+EXP(-V231))</f>
        <v/>
      </c>
      <c r="X231" s="9">
        <f>-IF(C231=1,LN(W231),LN(1-W231))</f>
        <v/>
      </c>
      <c r="Y231" s="8">
        <f>IF(C231=1,$AE$32,$AE$33)</f>
        <v/>
      </c>
      <c r="Z231" s="9">
        <f>Y231*X231</f>
        <v/>
      </c>
      <c r="AA231" s="10">
        <f>IF(W231&gt;$AE$34,1,0)</f>
        <v/>
      </c>
      <c r="AB231">
        <f>IF(AA231=C231,1,0)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$AE$12+D232*$AE$13+E232*$AE$14+F232*$AE$15+G232*$AE$16+H232*$AE$17+I232*$AE$18+J232*$AE$19+K232*$AE$20+L232*$AE$21+M232*$AE$22+N232*$AE$23+O232*$AE$24+P232*$AE$25+Q232*$AE$26+R232*$AE$27+S232*$AE$28+T232*$AE$29+U232*$AE$30</f>
        <v/>
      </c>
      <c r="W232" s="8">
        <f>1/(1+EXP(-V232))</f>
        <v/>
      </c>
      <c r="X232" s="9">
        <f>-IF(C232=1,LN(W232),LN(1-W232))</f>
        <v/>
      </c>
      <c r="Y232" s="8">
        <f>IF(C232=1,$AE$32,$AE$33)</f>
        <v/>
      </c>
      <c r="Z232" s="9">
        <f>Y232*X232</f>
        <v/>
      </c>
      <c r="AA232" s="10">
        <f>IF(W232&gt;$AE$34,1,0)</f>
        <v/>
      </c>
      <c r="AB232">
        <f>IF(AA232=C232,1,0)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$AE$12+D233*$AE$13+E233*$AE$14+F233*$AE$15+G233*$AE$16+H233*$AE$17+I233*$AE$18+J233*$AE$19+K233*$AE$20+L233*$AE$21+M233*$AE$22+N233*$AE$23+O233*$AE$24+P233*$AE$25+Q233*$AE$26+R233*$AE$27+S233*$AE$28+T233*$AE$29+U233*$AE$30</f>
        <v/>
      </c>
      <c r="W233" s="8">
        <f>1/(1+EXP(-V233))</f>
        <v/>
      </c>
      <c r="X233" s="9">
        <f>-IF(C233=1,LN(W233),LN(1-W233))</f>
        <v/>
      </c>
      <c r="Y233" s="8">
        <f>IF(C233=1,$AE$32,$AE$33)</f>
        <v/>
      </c>
      <c r="Z233" s="9">
        <f>Y233*X233</f>
        <v/>
      </c>
      <c r="AA233" s="10">
        <f>IF(W233&gt;$AE$34,1,0)</f>
        <v/>
      </c>
      <c r="AB233">
        <f>IF(AA233=C233,1,0)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$AE$12+D234*$AE$13+E234*$AE$14+F234*$AE$15+G234*$AE$16+H234*$AE$17+I234*$AE$18+J234*$AE$19+K234*$AE$20+L234*$AE$21+M234*$AE$22+N234*$AE$23+O234*$AE$24+P234*$AE$25+Q234*$AE$26+R234*$AE$27+S234*$AE$28+T234*$AE$29+U234*$AE$30</f>
        <v/>
      </c>
      <c r="W234" s="8">
        <f>1/(1+EXP(-V234))</f>
        <v/>
      </c>
      <c r="X234" s="9">
        <f>-IF(C234=1,LN(W234),LN(1-W234))</f>
        <v/>
      </c>
      <c r="Y234" s="8">
        <f>IF(C234=1,$AE$32,$AE$33)</f>
        <v/>
      </c>
      <c r="Z234" s="9">
        <f>Y234*X234</f>
        <v/>
      </c>
      <c r="AA234" s="10">
        <f>IF(W234&gt;$AE$34,1,0)</f>
        <v/>
      </c>
      <c r="AB234">
        <f>IF(AA234=C234,1,0)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$AE$12+D235*$AE$13+E235*$AE$14+F235*$AE$15+G235*$AE$16+H235*$AE$17+I235*$AE$18+J235*$AE$19+K235*$AE$20+L235*$AE$21+M235*$AE$22+N235*$AE$23+O235*$AE$24+P235*$AE$25+Q235*$AE$26+R235*$AE$27+S235*$AE$28+T235*$AE$29+U235*$AE$30</f>
        <v/>
      </c>
      <c r="W235" s="8">
        <f>1/(1+EXP(-V235))</f>
        <v/>
      </c>
      <c r="X235" s="9">
        <f>-IF(C235=1,LN(W235),LN(1-W235))</f>
        <v/>
      </c>
      <c r="Y235" s="8">
        <f>IF(C235=1,$AE$32,$AE$33)</f>
        <v/>
      </c>
      <c r="Z235" s="9">
        <f>Y235*X235</f>
        <v/>
      </c>
      <c r="AA235" s="10">
        <f>IF(W235&gt;$AE$34,1,0)</f>
        <v/>
      </c>
      <c r="AB235">
        <f>IF(AA235=C235,1,0)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$AE$12+D236*$AE$13+E236*$AE$14+F236*$AE$15+G236*$AE$16+H236*$AE$17+I236*$AE$18+J236*$AE$19+K236*$AE$20+L236*$AE$21+M236*$AE$22+N236*$AE$23+O236*$AE$24+P236*$AE$25+Q236*$AE$26+R236*$AE$27+S236*$AE$28+T236*$AE$29+U236*$AE$30</f>
        <v/>
      </c>
      <c r="W236" s="8">
        <f>1/(1+EXP(-V236))</f>
        <v/>
      </c>
      <c r="X236" s="9">
        <f>-IF(C236=1,LN(W236),LN(1-W236))</f>
        <v/>
      </c>
      <c r="Y236" s="8">
        <f>IF(C236=1,$AE$32,$AE$33)</f>
        <v/>
      </c>
      <c r="Z236" s="9">
        <f>Y236*X236</f>
        <v/>
      </c>
      <c r="AA236" s="10">
        <f>IF(W236&gt;$AE$34,1,0)</f>
        <v/>
      </c>
      <c r="AB236">
        <f>IF(AA236=C236,1,0)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$AE$12+D237*$AE$13+E237*$AE$14+F237*$AE$15+G237*$AE$16+H237*$AE$17+I237*$AE$18+J237*$AE$19+K237*$AE$20+L237*$AE$21+M237*$AE$22+N237*$AE$23+O237*$AE$24+P237*$AE$25+Q237*$AE$26+R237*$AE$27+S237*$AE$28+T237*$AE$29+U237*$AE$30</f>
        <v/>
      </c>
      <c r="W237" s="8">
        <f>1/(1+EXP(-V237))</f>
        <v/>
      </c>
      <c r="X237" s="9">
        <f>-IF(C237=1,LN(W237),LN(1-W237))</f>
        <v/>
      </c>
      <c r="Y237" s="8">
        <f>IF(C237=1,$AE$32,$AE$33)</f>
        <v/>
      </c>
      <c r="Z237" s="9">
        <f>Y237*X237</f>
        <v/>
      </c>
      <c r="AA237" s="10">
        <f>IF(W237&gt;$AE$34,1,0)</f>
        <v/>
      </c>
      <c r="AB237">
        <f>IF(AA237=C237,1,0)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$AE$12+D238*$AE$13+E238*$AE$14+F238*$AE$15+G238*$AE$16+H238*$AE$17+I238*$AE$18+J238*$AE$19+K238*$AE$20+L238*$AE$21+M238*$AE$22+N238*$AE$23+O238*$AE$24+P238*$AE$25+Q238*$AE$26+R238*$AE$27+S238*$AE$28+T238*$AE$29+U238*$AE$30</f>
        <v/>
      </c>
      <c r="W238" s="8">
        <f>1/(1+EXP(-V238))</f>
        <v/>
      </c>
      <c r="X238" s="9">
        <f>-IF(C238=1,LN(W238),LN(1-W238))</f>
        <v/>
      </c>
      <c r="Y238" s="8">
        <f>IF(C238=1,$AE$32,$AE$33)</f>
        <v/>
      </c>
      <c r="Z238" s="9">
        <f>Y238*X238</f>
        <v/>
      </c>
      <c r="AA238" s="10">
        <f>IF(W238&gt;$AE$34,1,0)</f>
        <v/>
      </c>
      <c r="AB238">
        <f>IF(AA238=C238,1,0)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$AE$12+D239*$AE$13+E239*$AE$14+F239*$AE$15+G239*$AE$16+H239*$AE$17+I239*$AE$18+J239*$AE$19+K239*$AE$20+L239*$AE$21+M239*$AE$22+N239*$AE$23+O239*$AE$24+P239*$AE$25+Q239*$AE$26+R239*$AE$27+S239*$AE$28+T239*$AE$29+U239*$AE$30</f>
        <v/>
      </c>
      <c r="W239" s="8">
        <f>1/(1+EXP(-V239))</f>
        <v/>
      </c>
      <c r="X239" s="9">
        <f>-IF(C239=1,LN(W239),LN(1-W239))</f>
        <v/>
      </c>
      <c r="Y239" s="8">
        <f>IF(C239=1,$AE$32,$AE$33)</f>
        <v/>
      </c>
      <c r="Z239" s="9">
        <f>Y239*X239</f>
        <v/>
      </c>
      <c r="AA239" s="10">
        <f>IF(W239&gt;$AE$34,1,0)</f>
        <v/>
      </c>
      <c r="AB239">
        <f>IF(AA239=C239,1,0)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$AE$12+D240*$AE$13+E240*$AE$14+F240*$AE$15+G240*$AE$16+H240*$AE$17+I240*$AE$18+J240*$AE$19+K240*$AE$20+L240*$AE$21+M240*$AE$22+N240*$AE$23+O240*$AE$24+P240*$AE$25+Q240*$AE$26+R240*$AE$27+S240*$AE$28+T240*$AE$29+U240*$AE$30</f>
        <v/>
      </c>
      <c r="W240" s="8">
        <f>1/(1+EXP(-V240))</f>
        <v/>
      </c>
      <c r="X240" s="9">
        <f>-IF(C240=1,LN(W240),LN(1-W240))</f>
        <v/>
      </c>
      <c r="Y240" s="8">
        <f>IF(C240=1,$AE$32,$AE$33)</f>
        <v/>
      </c>
      <c r="Z240" s="9">
        <f>Y240*X240</f>
        <v/>
      </c>
      <c r="AA240" s="10">
        <f>IF(W240&gt;$AE$34,1,0)</f>
        <v/>
      </c>
      <c r="AB240">
        <f>IF(AA240=C240,1,0)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$AE$12+D241*$AE$13+E241*$AE$14+F241*$AE$15+G241*$AE$16+H241*$AE$17+I241*$AE$18+J241*$AE$19+K241*$AE$20+L241*$AE$21+M241*$AE$22+N241*$AE$23+O241*$AE$24+P241*$AE$25+Q241*$AE$26+R241*$AE$27+S241*$AE$28+T241*$AE$29+U241*$AE$30</f>
        <v/>
      </c>
      <c r="W241" s="8">
        <f>1/(1+EXP(-V241))</f>
        <v/>
      </c>
      <c r="X241" s="9">
        <f>-IF(C241=1,LN(W241),LN(1-W241))</f>
        <v/>
      </c>
      <c r="Y241" s="8">
        <f>IF(C241=1,$AE$32,$AE$33)</f>
        <v/>
      </c>
      <c r="Z241" s="9">
        <f>Y241*X241</f>
        <v/>
      </c>
      <c r="AA241" s="10">
        <f>IF(W241&gt;$AE$34,1,0)</f>
        <v/>
      </c>
      <c r="AB241">
        <f>IF(AA241=C241,1,0)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$AE$12+D242*$AE$13+E242*$AE$14+F242*$AE$15+G242*$AE$16+H242*$AE$17+I242*$AE$18+J242*$AE$19+K242*$AE$20+L242*$AE$21+M242*$AE$22+N242*$AE$23+O242*$AE$24+P242*$AE$25+Q242*$AE$26+R242*$AE$27+S242*$AE$28+T242*$AE$29+U242*$AE$30</f>
        <v/>
      </c>
      <c r="W242" s="8">
        <f>1/(1+EXP(-V242))</f>
        <v/>
      </c>
      <c r="X242" s="9">
        <f>-IF(C242=1,LN(W242),LN(1-W242))</f>
        <v/>
      </c>
      <c r="Y242" s="8">
        <f>IF(C242=1,$AE$32,$AE$33)</f>
        <v/>
      </c>
      <c r="Z242" s="9">
        <f>Y242*X242</f>
        <v/>
      </c>
      <c r="AA242" s="10">
        <f>IF(W242&gt;$AE$34,1,0)</f>
        <v/>
      </c>
      <c r="AB242">
        <f>IF(AA242=C242,1,0)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$AE$12+D243*$AE$13+E243*$AE$14+F243*$AE$15+G243*$AE$16+H243*$AE$17+I243*$AE$18+J243*$AE$19+K243*$AE$20+L243*$AE$21+M243*$AE$22+N243*$AE$23+O243*$AE$24+P243*$AE$25+Q243*$AE$26+R243*$AE$27+S243*$AE$28+T243*$AE$29+U243*$AE$30</f>
        <v/>
      </c>
      <c r="W243" s="8">
        <f>1/(1+EXP(-V243))</f>
        <v/>
      </c>
      <c r="X243" s="9">
        <f>-IF(C243=1,LN(W243),LN(1-W243))</f>
        <v/>
      </c>
      <c r="Y243" s="8">
        <f>IF(C243=1,$AE$32,$AE$33)</f>
        <v/>
      </c>
      <c r="Z243" s="9">
        <f>Y243*X243</f>
        <v/>
      </c>
      <c r="AA243" s="10">
        <f>IF(W243&gt;$AE$34,1,0)</f>
        <v/>
      </c>
      <c r="AB243">
        <f>IF(AA243=C243,1,0)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$AE$12+D244*$AE$13+E244*$AE$14+F244*$AE$15+G244*$AE$16+H244*$AE$17+I244*$AE$18+J244*$AE$19+K244*$AE$20+L244*$AE$21+M244*$AE$22+N244*$AE$23+O244*$AE$24+P244*$AE$25+Q244*$AE$26+R244*$AE$27+S244*$AE$28+T244*$AE$29+U244*$AE$30</f>
        <v/>
      </c>
      <c r="W244" s="8">
        <f>1/(1+EXP(-V244))</f>
        <v/>
      </c>
      <c r="X244" s="9">
        <f>-IF(C244=1,LN(W244),LN(1-W244))</f>
        <v/>
      </c>
      <c r="Y244" s="8">
        <f>IF(C244=1,$AE$32,$AE$33)</f>
        <v/>
      </c>
      <c r="Z244" s="9">
        <f>Y244*X244</f>
        <v/>
      </c>
      <c r="AA244" s="10">
        <f>IF(W244&gt;$AE$34,1,0)</f>
        <v/>
      </c>
      <c r="AB244">
        <f>IF(AA244=C244,1,0)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$AE$12+D245*$AE$13+E245*$AE$14+F245*$AE$15+G245*$AE$16+H245*$AE$17+I245*$AE$18+J245*$AE$19+K245*$AE$20+L245*$AE$21+M245*$AE$22+N245*$AE$23+O245*$AE$24+P245*$AE$25+Q245*$AE$26+R245*$AE$27+S245*$AE$28+T245*$AE$29+U245*$AE$30</f>
        <v/>
      </c>
      <c r="W245" s="8">
        <f>1/(1+EXP(-V245))</f>
        <v/>
      </c>
      <c r="X245" s="9">
        <f>-IF(C245=1,LN(W245),LN(1-W245))</f>
        <v/>
      </c>
      <c r="Y245" s="8">
        <f>IF(C245=1,$AE$32,$AE$33)</f>
        <v/>
      </c>
      <c r="Z245" s="9">
        <f>Y245*X245</f>
        <v/>
      </c>
      <c r="AA245" s="10">
        <f>IF(W245&gt;$AE$34,1,0)</f>
        <v/>
      </c>
      <c r="AB245">
        <f>IF(AA245=C245,1,0)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$AE$12+D246*$AE$13+E246*$AE$14+F246*$AE$15+G246*$AE$16+H246*$AE$17+I246*$AE$18+J246*$AE$19+K246*$AE$20+L246*$AE$21+M246*$AE$22+N246*$AE$23+O246*$AE$24+P246*$AE$25+Q246*$AE$26+R246*$AE$27+S246*$AE$28+T246*$AE$29+U246*$AE$30</f>
        <v/>
      </c>
      <c r="W246" s="8">
        <f>1/(1+EXP(-V246))</f>
        <v/>
      </c>
      <c r="X246" s="9">
        <f>-IF(C246=1,LN(W246),LN(1-W246))</f>
        <v/>
      </c>
      <c r="Y246" s="8">
        <f>IF(C246=1,$AE$32,$AE$33)</f>
        <v/>
      </c>
      <c r="Z246" s="9">
        <f>Y246*X246</f>
        <v/>
      </c>
      <c r="AA246" s="10">
        <f>IF(W246&gt;$AE$34,1,0)</f>
        <v/>
      </c>
      <c r="AB246">
        <f>IF(AA246=C246,1,0)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$AE$12+D247*$AE$13+E247*$AE$14+F247*$AE$15+G247*$AE$16+H247*$AE$17+I247*$AE$18+J247*$AE$19+K247*$AE$20+L247*$AE$21+M247*$AE$22+N247*$AE$23+O247*$AE$24+P247*$AE$25+Q247*$AE$26+R247*$AE$27+S247*$AE$28+T247*$AE$29+U247*$AE$30</f>
        <v/>
      </c>
      <c r="W247" s="8">
        <f>1/(1+EXP(-V247))</f>
        <v/>
      </c>
      <c r="X247" s="9">
        <f>-IF(C247=1,LN(W247),LN(1-W247))</f>
        <v/>
      </c>
      <c r="Y247" s="8">
        <f>IF(C247=1,$AE$32,$AE$33)</f>
        <v/>
      </c>
      <c r="Z247" s="9">
        <f>Y247*X247</f>
        <v/>
      </c>
      <c r="AA247" s="10">
        <f>IF(W247&gt;$AE$34,1,0)</f>
        <v/>
      </c>
      <c r="AB247">
        <f>IF(AA247=C247,1,0)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$AE$12+D248*$AE$13+E248*$AE$14+F248*$AE$15+G248*$AE$16+H248*$AE$17+I248*$AE$18+J248*$AE$19+K248*$AE$20+L248*$AE$21+M248*$AE$22+N248*$AE$23+O248*$AE$24+P248*$AE$25+Q248*$AE$26+R248*$AE$27+S248*$AE$28+T248*$AE$29+U248*$AE$30</f>
        <v/>
      </c>
      <c r="W248" s="8">
        <f>1/(1+EXP(-V248))</f>
        <v/>
      </c>
      <c r="X248" s="9">
        <f>-IF(C248=1,LN(W248),LN(1-W248))</f>
        <v/>
      </c>
      <c r="Y248" s="8">
        <f>IF(C248=1,$AE$32,$AE$33)</f>
        <v/>
      </c>
      <c r="Z248" s="9">
        <f>Y248*X248</f>
        <v/>
      </c>
      <c r="AA248" s="10">
        <f>IF(W248&gt;$AE$34,1,0)</f>
        <v/>
      </c>
      <c r="AB248">
        <f>IF(AA248=C248,1,0)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$AE$12+D249*$AE$13+E249*$AE$14+F249*$AE$15+G249*$AE$16+H249*$AE$17+I249*$AE$18+J249*$AE$19+K249*$AE$20+L249*$AE$21+M249*$AE$22+N249*$AE$23+O249*$AE$24+P249*$AE$25+Q249*$AE$26+R249*$AE$27+S249*$AE$28+T249*$AE$29+U249*$AE$30</f>
        <v/>
      </c>
      <c r="W249" s="8">
        <f>1/(1+EXP(-V249))</f>
        <v/>
      </c>
      <c r="X249" s="9">
        <f>-IF(C249=1,LN(W249),LN(1-W249))</f>
        <v/>
      </c>
      <c r="Y249" s="8">
        <f>IF(C249=1,$AE$32,$AE$33)</f>
        <v/>
      </c>
      <c r="Z249" s="9">
        <f>Y249*X249</f>
        <v/>
      </c>
      <c r="AA249" s="10">
        <f>IF(W249&gt;$AE$34,1,0)</f>
        <v/>
      </c>
      <c r="AB249">
        <f>IF(AA249=C249,1,0)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$AE$12+D250*$AE$13+E250*$AE$14+F250*$AE$15+G250*$AE$16+H250*$AE$17+I250*$AE$18+J250*$AE$19+K250*$AE$20+L250*$AE$21+M250*$AE$22+N250*$AE$23+O250*$AE$24+P250*$AE$25+Q250*$AE$26+R250*$AE$27+S250*$AE$28+T250*$AE$29+U250*$AE$30</f>
        <v/>
      </c>
      <c r="W250" s="8">
        <f>1/(1+EXP(-V250))</f>
        <v/>
      </c>
      <c r="X250" s="9">
        <f>-IF(C250=1,LN(W250),LN(1-W250))</f>
        <v/>
      </c>
      <c r="Y250" s="8">
        <f>IF(C250=1,$AE$32,$AE$33)</f>
        <v/>
      </c>
      <c r="Z250" s="9">
        <f>Y250*X250</f>
        <v/>
      </c>
      <c r="AA250" s="10">
        <f>IF(W250&gt;$AE$34,1,0)</f>
        <v/>
      </c>
      <c r="AB250">
        <f>IF(AA250=C250,1,0)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$AE$12+D251*$AE$13+E251*$AE$14+F251*$AE$15+G251*$AE$16+H251*$AE$17+I251*$AE$18+J251*$AE$19+K251*$AE$20+L251*$AE$21+M251*$AE$22+N251*$AE$23+O251*$AE$24+P251*$AE$25+Q251*$AE$26+R251*$AE$27+S251*$AE$28+T251*$AE$29+U251*$AE$30</f>
        <v/>
      </c>
      <c r="W251" s="8">
        <f>1/(1+EXP(-V251))</f>
        <v/>
      </c>
      <c r="X251" s="9">
        <f>-IF(C251=1,LN(W251),LN(1-W251))</f>
        <v/>
      </c>
      <c r="Y251" s="8">
        <f>IF(C251=1,$AE$32,$AE$33)</f>
        <v/>
      </c>
      <c r="Z251" s="9">
        <f>Y251*X251</f>
        <v/>
      </c>
      <c r="AA251" s="10">
        <f>IF(W251&gt;$AE$34,1,0)</f>
        <v/>
      </c>
      <c r="AB251">
        <f>IF(AA251=C251,1,0)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$AE$12+D252*$AE$13+E252*$AE$14+F252*$AE$15+G252*$AE$16+H252*$AE$17+I252*$AE$18+J252*$AE$19+K252*$AE$20+L252*$AE$21+M252*$AE$22+N252*$AE$23+O252*$AE$24+P252*$AE$25+Q252*$AE$26+R252*$AE$27+S252*$AE$28+T252*$AE$29+U252*$AE$30</f>
        <v/>
      </c>
      <c r="W252" s="8">
        <f>1/(1+EXP(-V252))</f>
        <v/>
      </c>
      <c r="X252" s="9">
        <f>-IF(C252=1,LN(W252),LN(1-W252))</f>
        <v/>
      </c>
      <c r="Y252" s="8">
        <f>IF(C252=1,$AE$32,$AE$33)</f>
        <v/>
      </c>
      <c r="Z252" s="9">
        <f>Y252*X252</f>
        <v/>
      </c>
      <c r="AA252" s="10">
        <f>IF(W252&gt;$AE$34,1,0)</f>
        <v/>
      </c>
      <c r="AB252">
        <f>IF(AA252=C252,1,0)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$AE$12+D253*$AE$13+E253*$AE$14+F253*$AE$15+G253*$AE$16+H253*$AE$17+I253*$AE$18+J253*$AE$19+K253*$AE$20+L253*$AE$21+M253*$AE$22+N253*$AE$23+O253*$AE$24+P253*$AE$25+Q253*$AE$26+R253*$AE$27+S253*$AE$28+T253*$AE$29+U253*$AE$30</f>
        <v/>
      </c>
      <c r="W253" s="8">
        <f>1/(1+EXP(-V253))</f>
        <v/>
      </c>
      <c r="X253" s="9">
        <f>-IF(C253=1,LN(W253),LN(1-W253))</f>
        <v/>
      </c>
      <c r="Y253" s="8">
        <f>IF(C253=1,$AE$32,$AE$33)</f>
        <v/>
      </c>
      <c r="Z253" s="9">
        <f>Y253*X253</f>
        <v/>
      </c>
      <c r="AA253" s="10">
        <f>IF(W253&gt;$AE$34,1,0)</f>
        <v/>
      </c>
      <c r="AB253">
        <f>IF(AA253=C253,1,0)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$AE$12+D254*$AE$13+E254*$AE$14+F254*$AE$15+G254*$AE$16+H254*$AE$17+I254*$AE$18+J254*$AE$19+K254*$AE$20+L254*$AE$21+M254*$AE$22+N254*$AE$23+O254*$AE$24+P254*$AE$25+Q254*$AE$26+R254*$AE$27+S254*$AE$28+T254*$AE$29+U254*$AE$30</f>
        <v/>
      </c>
      <c r="W254" s="8">
        <f>1/(1+EXP(-V254))</f>
        <v/>
      </c>
      <c r="X254" s="9">
        <f>-IF(C254=1,LN(W254),LN(1-W254))</f>
        <v/>
      </c>
      <c r="Y254" s="8">
        <f>IF(C254=1,$AE$32,$AE$33)</f>
        <v/>
      </c>
      <c r="Z254" s="9">
        <f>Y254*X254</f>
        <v/>
      </c>
      <c r="AA254" s="10">
        <f>IF(W254&gt;$AE$34,1,0)</f>
        <v/>
      </c>
      <c r="AB254">
        <f>IF(AA254=C254,1,0)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$AE$12+D255*$AE$13+E255*$AE$14+F255*$AE$15+G255*$AE$16+H255*$AE$17+I255*$AE$18+J255*$AE$19+K255*$AE$20+L255*$AE$21+M255*$AE$22+N255*$AE$23+O255*$AE$24+P255*$AE$25+Q255*$AE$26+R255*$AE$27+S255*$AE$28+T255*$AE$29+U255*$AE$30</f>
        <v/>
      </c>
      <c r="W255" s="8">
        <f>1/(1+EXP(-V255))</f>
        <v/>
      </c>
      <c r="X255" s="9">
        <f>-IF(C255=1,LN(W255),LN(1-W255))</f>
        <v/>
      </c>
      <c r="Y255" s="8">
        <f>IF(C255=1,$AE$32,$AE$33)</f>
        <v/>
      </c>
      <c r="Z255" s="9">
        <f>Y255*X255</f>
        <v/>
      </c>
      <c r="AA255" s="10">
        <f>IF(W255&gt;$AE$34,1,0)</f>
        <v/>
      </c>
      <c r="AB255">
        <f>IF(AA255=C255,1,0)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$AE$12+D256*$AE$13+E256*$AE$14+F256*$AE$15+G256*$AE$16+H256*$AE$17+I256*$AE$18+J256*$AE$19+K256*$AE$20+L256*$AE$21+M256*$AE$22+N256*$AE$23+O256*$AE$24+P256*$AE$25+Q256*$AE$26+R256*$AE$27+S256*$AE$28+T256*$AE$29+U256*$AE$30</f>
        <v/>
      </c>
      <c r="W256" s="8">
        <f>1/(1+EXP(-V256))</f>
        <v/>
      </c>
      <c r="X256" s="9">
        <f>-IF(C256=1,LN(W256),LN(1-W256))</f>
        <v/>
      </c>
      <c r="Y256" s="8">
        <f>IF(C256=1,$AE$32,$AE$33)</f>
        <v/>
      </c>
      <c r="Z256" s="9">
        <f>Y256*X256</f>
        <v/>
      </c>
      <c r="AA256" s="10">
        <f>IF(W256&gt;$AE$34,1,0)</f>
        <v/>
      </c>
      <c r="AB256">
        <f>IF(AA256=C256,1,0)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$AE$12+D257*$AE$13+E257*$AE$14+F257*$AE$15+G257*$AE$16+H257*$AE$17+I257*$AE$18+J257*$AE$19+K257*$AE$20+L257*$AE$21+M257*$AE$22+N257*$AE$23+O257*$AE$24+P257*$AE$25+Q257*$AE$26+R257*$AE$27+S257*$AE$28+T257*$AE$29+U257*$AE$30</f>
        <v/>
      </c>
      <c r="W257" s="8">
        <f>1/(1+EXP(-V257))</f>
        <v/>
      </c>
      <c r="X257" s="9">
        <f>-IF(C257=1,LN(W257),LN(1-W257))</f>
        <v/>
      </c>
      <c r="Y257" s="8">
        <f>IF(C257=1,$AE$32,$AE$33)</f>
        <v/>
      </c>
      <c r="Z257" s="9">
        <f>Y257*X257</f>
        <v/>
      </c>
      <c r="AA257" s="10">
        <f>IF(W257&gt;$AE$34,1,0)</f>
        <v/>
      </c>
      <c r="AB257">
        <f>IF(AA257=C257,1,0)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$AE$12+D258*$AE$13+E258*$AE$14+F258*$AE$15+G258*$AE$16+H258*$AE$17+I258*$AE$18+J258*$AE$19+K258*$AE$20+L258*$AE$21+M258*$AE$22+N258*$AE$23+O258*$AE$24+P258*$AE$25+Q258*$AE$26+R258*$AE$27+S258*$AE$28+T258*$AE$29+U258*$AE$30</f>
        <v/>
      </c>
      <c r="W258" s="8">
        <f>1/(1+EXP(-V258))</f>
        <v/>
      </c>
      <c r="X258" s="9">
        <f>-IF(C258=1,LN(W258),LN(1-W258))</f>
        <v/>
      </c>
      <c r="Y258" s="8">
        <f>IF(C258=1,$AE$32,$AE$33)</f>
        <v/>
      </c>
      <c r="Z258" s="9">
        <f>Y258*X258</f>
        <v/>
      </c>
      <c r="AA258" s="10">
        <f>IF(W258&gt;$AE$34,1,0)</f>
        <v/>
      </c>
      <c r="AB258">
        <f>IF(AA258=C258,1,0)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$AE$12+D259*$AE$13+E259*$AE$14+F259*$AE$15+G259*$AE$16+H259*$AE$17+I259*$AE$18+J259*$AE$19+K259*$AE$20+L259*$AE$21+M259*$AE$22+N259*$AE$23+O259*$AE$24+P259*$AE$25+Q259*$AE$26+R259*$AE$27+S259*$AE$28+T259*$AE$29+U259*$AE$30</f>
        <v/>
      </c>
      <c r="W259" s="8">
        <f>1/(1+EXP(-V259))</f>
        <v/>
      </c>
      <c r="X259" s="9">
        <f>-IF(C259=1,LN(W259),LN(1-W259))</f>
        <v/>
      </c>
      <c r="Y259" s="8">
        <f>IF(C259=1,$AE$32,$AE$33)</f>
        <v/>
      </c>
      <c r="Z259" s="9">
        <f>Y259*X259</f>
        <v/>
      </c>
      <c r="AA259" s="10">
        <f>IF(W259&gt;$AE$34,1,0)</f>
        <v/>
      </c>
      <c r="AB259">
        <f>IF(AA259=C259,1,0)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$AE$12+D260*$AE$13+E260*$AE$14+F260*$AE$15+G260*$AE$16+H260*$AE$17+I260*$AE$18+J260*$AE$19+K260*$AE$20+L260*$AE$21+M260*$AE$22+N260*$AE$23+O260*$AE$24+P260*$AE$25+Q260*$AE$26+R260*$AE$27+S260*$AE$28+T260*$AE$29+U260*$AE$30</f>
        <v/>
      </c>
      <c r="W260" s="8">
        <f>1/(1+EXP(-V260))</f>
        <v/>
      </c>
      <c r="X260" s="9">
        <f>-IF(C260=1,LN(W260),LN(1-W260))</f>
        <v/>
      </c>
      <c r="Y260" s="8">
        <f>IF(C260=1,$AE$32,$AE$33)</f>
        <v/>
      </c>
      <c r="Z260" s="9">
        <f>Y260*X260</f>
        <v/>
      </c>
      <c r="AA260" s="10">
        <f>IF(W260&gt;$AE$34,1,0)</f>
        <v/>
      </c>
      <c r="AB260">
        <f>IF(AA260=C260,1,0)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$AE$12+D261*$AE$13+E261*$AE$14+F261*$AE$15+G261*$AE$16+H261*$AE$17+I261*$AE$18+J261*$AE$19+K261*$AE$20+L261*$AE$21+M261*$AE$22+N261*$AE$23+O261*$AE$24+P261*$AE$25+Q261*$AE$26+R261*$AE$27+S261*$AE$28+T261*$AE$29+U261*$AE$30</f>
        <v/>
      </c>
      <c r="W261" s="8">
        <f>1/(1+EXP(-V261))</f>
        <v/>
      </c>
      <c r="X261" s="9">
        <f>-IF(C261=1,LN(W261),LN(1-W261))</f>
        <v/>
      </c>
      <c r="Y261" s="8">
        <f>IF(C261=1,$AE$32,$AE$33)</f>
        <v/>
      </c>
      <c r="Z261" s="9">
        <f>Y261*X261</f>
        <v/>
      </c>
      <c r="AA261" s="10">
        <f>IF(W261&gt;$AE$34,1,0)</f>
        <v/>
      </c>
      <c r="AB261">
        <f>IF(AA261=C261,1,0)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$AE$12+D262*$AE$13+E262*$AE$14+F262*$AE$15+G262*$AE$16+H262*$AE$17+I262*$AE$18+J262*$AE$19+K262*$AE$20+L262*$AE$21+M262*$AE$22+N262*$AE$23+O262*$AE$24+P262*$AE$25+Q262*$AE$26+R262*$AE$27+S262*$AE$28+T262*$AE$29+U262*$AE$30</f>
        <v/>
      </c>
      <c r="W262" s="8">
        <f>1/(1+EXP(-V262))</f>
        <v/>
      </c>
      <c r="X262" s="9">
        <f>-IF(C262=1,LN(W262),LN(1-W262))</f>
        <v/>
      </c>
      <c r="Y262" s="8">
        <f>IF(C262=1,$AE$32,$AE$33)</f>
        <v/>
      </c>
      <c r="Z262" s="9">
        <f>Y262*X262</f>
        <v/>
      </c>
      <c r="AA262" s="10">
        <f>IF(W262&gt;$AE$34,1,0)</f>
        <v/>
      </c>
      <c r="AB262">
        <f>IF(AA262=C262,1,0)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$AE$12+D263*$AE$13+E263*$AE$14+F263*$AE$15+G263*$AE$16+H263*$AE$17+I263*$AE$18+J263*$AE$19+K263*$AE$20+L263*$AE$21+M263*$AE$22+N263*$AE$23+O263*$AE$24+P263*$AE$25+Q263*$AE$26+R263*$AE$27+S263*$AE$28+T263*$AE$29+U263*$AE$30</f>
        <v/>
      </c>
      <c r="W263" s="8">
        <f>1/(1+EXP(-V263))</f>
        <v/>
      </c>
      <c r="X263" s="9">
        <f>-IF(C263=1,LN(W263),LN(1-W263))</f>
        <v/>
      </c>
      <c r="Y263" s="8">
        <f>IF(C263=1,$AE$32,$AE$33)</f>
        <v/>
      </c>
      <c r="Z263" s="9">
        <f>Y263*X263</f>
        <v/>
      </c>
      <c r="AA263" s="10">
        <f>IF(W263&gt;$AE$34,1,0)</f>
        <v/>
      </c>
      <c r="AB263">
        <f>IF(AA263=C263,1,0)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$AE$12+D264*$AE$13+E264*$AE$14+F264*$AE$15+G264*$AE$16+H264*$AE$17+I264*$AE$18+J264*$AE$19+K264*$AE$20+L264*$AE$21+M264*$AE$22+N264*$AE$23+O264*$AE$24+P264*$AE$25+Q264*$AE$26+R264*$AE$27+S264*$AE$28+T264*$AE$29+U264*$AE$30</f>
        <v/>
      </c>
      <c r="W264" s="8">
        <f>1/(1+EXP(-V264))</f>
        <v/>
      </c>
      <c r="X264" s="9">
        <f>-IF(C264=1,LN(W264),LN(1-W264))</f>
        <v/>
      </c>
      <c r="Y264" s="8">
        <f>IF(C264=1,$AE$32,$AE$33)</f>
        <v/>
      </c>
      <c r="Z264" s="9">
        <f>Y264*X264</f>
        <v/>
      </c>
      <c r="AA264" s="10">
        <f>IF(W264&gt;$AE$34,1,0)</f>
        <v/>
      </c>
      <c r="AB264">
        <f>IF(AA264=C264,1,0)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$AE$12+D265*$AE$13+E265*$AE$14+F265*$AE$15+G265*$AE$16+H265*$AE$17+I265*$AE$18+J265*$AE$19+K265*$AE$20+L265*$AE$21+M265*$AE$22+N265*$AE$23+O265*$AE$24+P265*$AE$25+Q265*$AE$26+R265*$AE$27+S265*$AE$28+T265*$AE$29+U265*$AE$30</f>
        <v/>
      </c>
      <c r="W265" s="8">
        <f>1/(1+EXP(-V265))</f>
        <v/>
      </c>
      <c r="X265" s="9">
        <f>-IF(C265=1,LN(W265),LN(1-W265))</f>
        <v/>
      </c>
      <c r="Y265" s="8">
        <f>IF(C265=1,$AE$32,$AE$33)</f>
        <v/>
      </c>
      <c r="Z265" s="9">
        <f>Y265*X265</f>
        <v/>
      </c>
      <c r="AA265" s="10">
        <f>IF(W265&gt;$AE$34,1,0)</f>
        <v/>
      </c>
      <c r="AB265">
        <f>IF(AA265=C265,1,0)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$AE$12+D266*$AE$13+E266*$AE$14+F266*$AE$15+G266*$AE$16+H266*$AE$17+I266*$AE$18+J266*$AE$19+K266*$AE$20+L266*$AE$21+M266*$AE$22+N266*$AE$23+O266*$AE$24+P266*$AE$25+Q266*$AE$26+R266*$AE$27+S266*$AE$28+T266*$AE$29+U266*$AE$30</f>
        <v/>
      </c>
      <c r="W266" s="8">
        <f>1/(1+EXP(-V266))</f>
        <v/>
      </c>
      <c r="X266" s="9">
        <f>-IF(C266=1,LN(W266),LN(1-W266))</f>
        <v/>
      </c>
      <c r="Y266" s="8">
        <f>IF(C266=1,$AE$32,$AE$33)</f>
        <v/>
      </c>
      <c r="Z266" s="9">
        <f>Y266*X266</f>
        <v/>
      </c>
      <c r="AA266" s="10">
        <f>IF(W266&gt;$AE$34,1,0)</f>
        <v/>
      </c>
      <c r="AB266">
        <f>IF(AA266=C266,1,0)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$AE$12+D267*$AE$13+E267*$AE$14+F267*$AE$15+G267*$AE$16+H267*$AE$17+I267*$AE$18+J267*$AE$19+K267*$AE$20+L267*$AE$21+M267*$AE$22+N267*$AE$23+O267*$AE$24+P267*$AE$25+Q267*$AE$26+R267*$AE$27+S267*$AE$28+T267*$AE$29+U267*$AE$30</f>
        <v/>
      </c>
      <c r="W267" s="8">
        <f>1/(1+EXP(-V267))</f>
        <v/>
      </c>
      <c r="X267" s="9">
        <f>-IF(C267=1,LN(W267),LN(1-W267))</f>
        <v/>
      </c>
      <c r="Y267" s="8">
        <f>IF(C267=1,$AE$32,$AE$33)</f>
        <v/>
      </c>
      <c r="Z267" s="9">
        <f>Y267*X267</f>
        <v/>
      </c>
      <c r="AA267" s="10">
        <f>IF(W267&gt;$AE$34,1,0)</f>
        <v/>
      </c>
      <c r="AB267">
        <f>IF(AA267=C267,1,0)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$AE$12+D268*$AE$13+E268*$AE$14+F268*$AE$15+G268*$AE$16+H268*$AE$17+I268*$AE$18+J268*$AE$19+K268*$AE$20+L268*$AE$21+M268*$AE$22+N268*$AE$23+O268*$AE$24+P268*$AE$25+Q268*$AE$26+R268*$AE$27+S268*$AE$28+T268*$AE$29+U268*$AE$30</f>
        <v/>
      </c>
      <c r="W268" s="8">
        <f>1/(1+EXP(-V268))</f>
        <v/>
      </c>
      <c r="X268" s="9">
        <f>-IF(C268=1,LN(W268),LN(1-W268))</f>
        <v/>
      </c>
      <c r="Y268" s="8">
        <f>IF(C268=1,$AE$32,$AE$33)</f>
        <v/>
      </c>
      <c r="Z268" s="9">
        <f>Y268*X268</f>
        <v/>
      </c>
      <c r="AA268" s="10">
        <f>IF(W268&gt;$AE$34,1,0)</f>
        <v/>
      </c>
      <c r="AB268">
        <f>IF(AA268=C268,1,0)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$AE$12+D269*$AE$13+E269*$AE$14+F269*$AE$15+G269*$AE$16+H269*$AE$17+I269*$AE$18+J269*$AE$19+K269*$AE$20+L269*$AE$21+M269*$AE$22+N269*$AE$23+O269*$AE$24+P269*$AE$25+Q269*$AE$26+R269*$AE$27+S269*$AE$28+T269*$AE$29+U269*$AE$30</f>
        <v/>
      </c>
      <c r="W269" s="8">
        <f>1/(1+EXP(-V269))</f>
        <v/>
      </c>
      <c r="X269" s="9">
        <f>-IF(C269=1,LN(W269),LN(1-W269))</f>
        <v/>
      </c>
      <c r="Y269" s="8">
        <f>IF(C269=1,$AE$32,$AE$33)</f>
        <v/>
      </c>
      <c r="Z269" s="9">
        <f>Y269*X269</f>
        <v/>
      </c>
      <c r="AA269" s="10">
        <f>IF(W269&gt;$AE$34,1,0)</f>
        <v/>
      </c>
      <c r="AB269">
        <f>IF(AA269=C269,1,0)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$AE$12+D270*$AE$13+E270*$AE$14+F270*$AE$15+G270*$AE$16+H270*$AE$17+I270*$AE$18+J270*$AE$19+K270*$AE$20+L270*$AE$21+M270*$AE$22+N270*$AE$23+O270*$AE$24+P270*$AE$25+Q270*$AE$26+R270*$AE$27+S270*$AE$28+T270*$AE$29+U270*$AE$30</f>
        <v/>
      </c>
      <c r="W270" s="8">
        <f>1/(1+EXP(-V270))</f>
        <v/>
      </c>
      <c r="X270" s="9">
        <f>-IF(C270=1,LN(W270),LN(1-W270))</f>
        <v/>
      </c>
      <c r="Y270" s="8">
        <f>IF(C270=1,$AE$32,$AE$33)</f>
        <v/>
      </c>
      <c r="Z270" s="9">
        <f>Y270*X270</f>
        <v/>
      </c>
      <c r="AA270" s="10">
        <f>IF(W270&gt;$AE$34,1,0)</f>
        <v/>
      </c>
      <c r="AB270">
        <f>IF(AA270=C270,1,0)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$AE$12+D271*$AE$13+E271*$AE$14+F271*$AE$15+G271*$AE$16+H271*$AE$17+I271*$AE$18+J271*$AE$19+K271*$AE$20+L271*$AE$21+M271*$AE$22+N271*$AE$23+O271*$AE$24+P271*$AE$25+Q271*$AE$26+R271*$AE$27+S271*$AE$28+T271*$AE$29+U271*$AE$30</f>
        <v/>
      </c>
      <c r="W271" s="8">
        <f>1/(1+EXP(-V271))</f>
        <v/>
      </c>
      <c r="X271" s="9">
        <f>-IF(C271=1,LN(W271),LN(1-W271))</f>
        <v/>
      </c>
      <c r="Y271" s="8">
        <f>IF(C271=1,$AE$32,$AE$33)</f>
        <v/>
      </c>
      <c r="Z271" s="9">
        <f>Y271*X271</f>
        <v/>
      </c>
      <c r="AA271" s="10">
        <f>IF(W271&gt;$AE$34,1,0)</f>
        <v/>
      </c>
      <c r="AB271">
        <f>IF(AA271=C271,1,0)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$AE$12+D272*$AE$13+E272*$AE$14+F272*$AE$15+G272*$AE$16+H272*$AE$17+I272*$AE$18+J272*$AE$19+K272*$AE$20+L272*$AE$21+M272*$AE$22+N272*$AE$23+O272*$AE$24+P272*$AE$25+Q272*$AE$26+R272*$AE$27+S272*$AE$28+T272*$AE$29+U272*$AE$30</f>
        <v/>
      </c>
      <c r="W272" s="8">
        <f>1/(1+EXP(-V272))</f>
        <v/>
      </c>
      <c r="X272" s="9">
        <f>-IF(C272=1,LN(W272),LN(1-W272))</f>
        <v/>
      </c>
      <c r="Y272" s="8">
        <f>IF(C272=1,$AE$32,$AE$33)</f>
        <v/>
      </c>
      <c r="Z272" s="9">
        <f>Y272*X272</f>
        <v/>
      </c>
      <c r="AA272" s="10">
        <f>IF(W272&gt;$AE$34,1,0)</f>
        <v/>
      </c>
      <c r="AB272">
        <f>IF(AA272=C272,1,0)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$AE$12+D273*$AE$13+E273*$AE$14+F273*$AE$15+G273*$AE$16+H273*$AE$17+I273*$AE$18+J273*$AE$19+K273*$AE$20+L273*$AE$21+M273*$AE$22+N273*$AE$23+O273*$AE$24+P273*$AE$25+Q273*$AE$26+R273*$AE$27+S273*$AE$28+T273*$AE$29+U273*$AE$30</f>
        <v/>
      </c>
      <c r="W273" s="8">
        <f>1/(1+EXP(-V273))</f>
        <v/>
      </c>
      <c r="X273" s="9">
        <f>-IF(C273=1,LN(W273),LN(1-W273))</f>
        <v/>
      </c>
      <c r="Y273" s="8">
        <f>IF(C273=1,$AE$32,$AE$33)</f>
        <v/>
      </c>
      <c r="Z273" s="9">
        <f>Y273*X273</f>
        <v/>
      </c>
      <c r="AA273" s="10">
        <f>IF(W273&gt;$AE$34,1,0)</f>
        <v/>
      </c>
      <c r="AB273">
        <f>IF(AA273=C273,1,0)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$AE$12+D274*$AE$13+E274*$AE$14+F274*$AE$15+G274*$AE$16+H274*$AE$17+I274*$AE$18+J274*$AE$19+K274*$AE$20+L274*$AE$21+M274*$AE$22+N274*$AE$23+O274*$AE$24+P274*$AE$25+Q274*$AE$26+R274*$AE$27+S274*$AE$28+T274*$AE$29+U274*$AE$30</f>
        <v/>
      </c>
      <c r="W274" s="8">
        <f>1/(1+EXP(-V274))</f>
        <v/>
      </c>
      <c r="X274" s="9">
        <f>-IF(C274=1,LN(W274),LN(1-W274))</f>
        <v/>
      </c>
      <c r="Y274" s="8">
        <f>IF(C274=1,$AE$32,$AE$33)</f>
        <v/>
      </c>
      <c r="Z274" s="9">
        <f>Y274*X274</f>
        <v/>
      </c>
      <c r="AA274" s="10">
        <f>IF(W274&gt;$AE$34,1,0)</f>
        <v/>
      </c>
      <c r="AB274">
        <f>IF(AA274=C274,1,0)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$AE$12+D275*$AE$13+E275*$AE$14+F275*$AE$15+G275*$AE$16+H275*$AE$17+I275*$AE$18+J275*$AE$19+K275*$AE$20+L275*$AE$21+M275*$AE$22+N275*$AE$23+O275*$AE$24+P275*$AE$25+Q275*$AE$26+R275*$AE$27+S275*$AE$28+T275*$AE$29+U275*$AE$30</f>
        <v/>
      </c>
      <c r="W275" s="8">
        <f>1/(1+EXP(-V275))</f>
        <v/>
      </c>
      <c r="X275" s="9">
        <f>-IF(C275=1,LN(W275),LN(1-W275))</f>
        <v/>
      </c>
      <c r="Y275" s="8">
        <f>IF(C275=1,$AE$32,$AE$33)</f>
        <v/>
      </c>
      <c r="Z275" s="9">
        <f>Y275*X275</f>
        <v/>
      </c>
      <c r="AA275" s="10">
        <f>IF(W275&gt;$AE$34,1,0)</f>
        <v/>
      </c>
      <c r="AB275">
        <f>IF(AA275=C275,1,0)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$AE$12+D276*$AE$13+E276*$AE$14+F276*$AE$15+G276*$AE$16+H276*$AE$17+I276*$AE$18+J276*$AE$19+K276*$AE$20+L276*$AE$21+M276*$AE$22+N276*$AE$23+O276*$AE$24+P276*$AE$25+Q276*$AE$26+R276*$AE$27+S276*$AE$28+T276*$AE$29+U276*$AE$30</f>
        <v/>
      </c>
      <c r="W276" s="8">
        <f>1/(1+EXP(-V276))</f>
        <v/>
      </c>
      <c r="X276" s="9">
        <f>-IF(C276=1,LN(W276),LN(1-W276))</f>
        <v/>
      </c>
      <c r="Y276" s="8">
        <f>IF(C276=1,$AE$32,$AE$33)</f>
        <v/>
      </c>
      <c r="Z276" s="9">
        <f>Y276*X276</f>
        <v/>
      </c>
      <c r="AA276" s="10">
        <f>IF(W276&gt;$AE$34,1,0)</f>
        <v/>
      </c>
      <c r="AB276">
        <f>IF(AA276=C276,1,0)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$AE$12+D277*$AE$13+E277*$AE$14+F277*$AE$15+G277*$AE$16+H277*$AE$17+I277*$AE$18+J277*$AE$19+K277*$AE$20+L277*$AE$21+M277*$AE$22+N277*$AE$23+O277*$AE$24+P277*$AE$25+Q277*$AE$26+R277*$AE$27+S277*$AE$28+T277*$AE$29+U277*$AE$30</f>
        <v/>
      </c>
      <c r="W277" s="8">
        <f>1/(1+EXP(-V277))</f>
        <v/>
      </c>
      <c r="X277" s="9">
        <f>-IF(C277=1,LN(W277),LN(1-W277))</f>
        <v/>
      </c>
      <c r="Y277" s="8">
        <f>IF(C277=1,$AE$32,$AE$33)</f>
        <v/>
      </c>
      <c r="Z277" s="9">
        <f>Y277*X277</f>
        <v/>
      </c>
      <c r="AA277" s="10">
        <f>IF(W277&gt;$AE$34,1,0)</f>
        <v/>
      </c>
      <c r="AB277">
        <f>IF(AA277=C277,1,0)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$AE$12+D278*$AE$13+E278*$AE$14+F278*$AE$15+G278*$AE$16+H278*$AE$17+I278*$AE$18+J278*$AE$19+K278*$AE$20+L278*$AE$21+M278*$AE$22+N278*$AE$23+O278*$AE$24+P278*$AE$25+Q278*$AE$26+R278*$AE$27+S278*$AE$28+T278*$AE$29+U278*$AE$30</f>
        <v/>
      </c>
      <c r="W278" s="8">
        <f>1/(1+EXP(-V278))</f>
        <v/>
      </c>
      <c r="X278" s="9">
        <f>-IF(C278=1,LN(W278),LN(1-W278))</f>
        <v/>
      </c>
      <c r="Y278" s="8">
        <f>IF(C278=1,$AE$32,$AE$33)</f>
        <v/>
      </c>
      <c r="Z278" s="9">
        <f>Y278*X278</f>
        <v/>
      </c>
      <c r="AA278" s="10">
        <f>IF(W278&gt;$AE$34,1,0)</f>
        <v/>
      </c>
      <c r="AB278">
        <f>IF(AA278=C278,1,0)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$AE$12+D279*$AE$13+E279*$AE$14+F279*$AE$15+G279*$AE$16+H279*$AE$17+I279*$AE$18+J279*$AE$19+K279*$AE$20+L279*$AE$21+M279*$AE$22+N279*$AE$23+O279*$AE$24+P279*$AE$25+Q279*$AE$26+R279*$AE$27+S279*$AE$28+T279*$AE$29+U279*$AE$30</f>
        <v/>
      </c>
      <c r="W279" s="8">
        <f>1/(1+EXP(-V279))</f>
        <v/>
      </c>
      <c r="X279" s="9">
        <f>-IF(C279=1,LN(W279),LN(1-W279))</f>
        <v/>
      </c>
      <c r="Y279" s="8">
        <f>IF(C279=1,$AE$32,$AE$33)</f>
        <v/>
      </c>
      <c r="Z279" s="9">
        <f>Y279*X279</f>
        <v/>
      </c>
      <c r="AA279" s="10">
        <f>IF(W279&gt;$AE$34,1,0)</f>
        <v/>
      </c>
      <c r="AB279">
        <f>IF(AA279=C279,1,0)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$AE$12+D280*$AE$13+E280*$AE$14+F280*$AE$15+G280*$AE$16+H280*$AE$17+I280*$AE$18+J280*$AE$19+K280*$AE$20+L280*$AE$21+M280*$AE$22+N280*$AE$23+O280*$AE$24+P280*$AE$25+Q280*$AE$26+R280*$AE$27+S280*$AE$28+T280*$AE$29+U280*$AE$30</f>
        <v/>
      </c>
      <c r="W280" s="8">
        <f>1/(1+EXP(-V280))</f>
        <v/>
      </c>
      <c r="X280" s="9">
        <f>-IF(C280=1,LN(W280),LN(1-W280))</f>
        <v/>
      </c>
      <c r="Y280" s="8">
        <f>IF(C280=1,$AE$32,$AE$33)</f>
        <v/>
      </c>
      <c r="Z280" s="9">
        <f>Y280*X280</f>
        <v/>
      </c>
      <c r="AA280" s="10">
        <f>IF(W280&gt;$AE$34,1,0)</f>
        <v/>
      </c>
      <c r="AB280">
        <f>IF(AA280=C280,1,0)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$AE$12+D281*$AE$13+E281*$AE$14+F281*$AE$15+G281*$AE$16+H281*$AE$17+I281*$AE$18+J281*$AE$19+K281*$AE$20+L281*$AE$21+M281*$AE$22+N281*$AE$23+O281*$AE$24+P281*$AE$25+Q281*$AE$26+R281*$AE$27+S281*$AE$28+T281*$AE$29+U281*$AE$30</f>
        <v/>
      </c>
      <c r="W281" s="8">
        <f>1/(1+EXP(-V281))</f>
        <v/>
      </c>
      <c r="X281" s="9">
        <f>-IF(C281=1,LN(W281),LN(1-W281))</f>
        <v/>
      </c>
      <c r="Y281" s="8">
        <f>IF(C281=1,$AE$32,$AE$33)</f>
        <v/>
      </c>
      <c r="Z281" s="9">
        <f>Y281*X281</f>
        <v/>
      </c>
      <c r="AA281" s="10">
        <f>IF(W281&gt;$AE$34,1,0)</f>
        <v/>
      </c>
      <c r="AB281">
        <f>IF(AA281=C281,1,0)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$AE$12+D282*$AE$13+E282*$AE$14+F282*$AE$15+G282*$AE$16+H282*$AE$17+I282*$AE$18+J282*$AE$19+K282*$AE$20+L282*$AE$21+M282*$AE$22+N282*$AE$23+O282*$AE$24+P282*$AE$25+Q282*$AE$26+R282*$AE$27+S282*$AE$28+T282*$AE$29+U282*$AE$30</f>
        <v/>
      </c>
      <c r="W282" s="8">
        <f>1/(1+EXP(-V282))</f>
        <v/>
      </c>
      <c r="X282" s="9">
        <f>-IF(C282=1,LN(W282),LN(1-W282))</f>
        <v/>
      </c>
      <c r="Y282" s="8">
        <f>IF(C282=1,$AE$32,$AE$33)</f>
        <v/>
      </c>
      <c r="Z282" s="9">
        <f>Y282*X282</f>
        <v/>
      </c>
      <c r="AA282" s="10">
        <f>IF(W282&gt;$AE$34,1,0)</f>
        <v/>
      </c>
      <c r="AB282">
        <f>IF(AA282=C282,1,0)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$AE$12+D283*$AE$13+E283*$AE$14+F283*$AE$15+G283*$AE$16+H283*$AE$17+I283*$AE$18+J283*$AE$19+K283*$AE$20+L283*$AE$21+M283*$AE$22+N283*$AE$23+O283*$AE$24+P283*$AE$25+Q283*$AE$26+R283*$AE$27+S283*$AE$28+T283*$AE$29+U283*$AE$30</f>
        <v/>
      </c>
      <c r="W283" s="8">
        <f>1/(1+EXP(-V283))</f>
        <v/>
      </c>
      <c r="X283" s="9">
        <f>-IF(C283=1,LN(W283),LN(1-W283))</f>
        <v/>
      </c>
      <c r="Y283" s="8">
        <f>IF(C283=1,$AE$32,$AE$33)</f>
        <v/>
      </c>
      <c r="Z283" s="9">
        <f>Y283*X283</f>
        <v/>
      </c>
      <c r="AA283" s="10">
        <f>IF(W283&gt;$AE$34,1,0)</f>
        <v/>
      </c>
      <c r="AB283">
        <f>IF(AA283=C283,1,0)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$AE$12+D284*$AE$13+E284*$AE$14+F284*$AE$15+G284*$AE$16+H284*$AE$17+I284*$AE$18+J284*$AE$19+K284*$AE$20+L284*$AE$21+M284*$AE$22+N284*$AE$23+O284*$AE$24+P284*$AE$25+Q284*$AE$26+R284*$AE$27+S284*$AE$28+T284*$AE$29+U284*$AE$30</f>
        <v/>
      </c>
      <c r="W284" s="8">
        <f>1/(1+EXP(-V284))</f>
        <v/>
      </c>
      <c r="X284" s="9">
        <f>-IF(C284=1,LN(W284),LN(1-W284))</f>
        <v/>
      </c>
      <c r="Y284" s="8">
        <f>IF(C284=1,$AE$32,$AE$33)</f>
        <v/>
      </c>
      <c r="Z284" s="9">
        <f>Y284*X284</f>
        <v/>
      </c>
      <c r="AA284" s="10">
        <f>IF(W284&gt;$AE$34,1,0)</f>
        <v/>
      </c>
      <c r="AB284">
        <f>IF(AA284=C284,1,0)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$AE$12+D285*$AE$13+E285*$AE$14+F285*$AE$15+G285*$AE$16+H285*$AE$17+I285*$AE$18+J285*$AE$19+K285*$AE$20+L285*$AE$21+M285*$AE$22+N285*$AE$23+O285*$AE$24+P285*$AE$25+Q285*$AE$26+R285*$AE$27+S285*$AE$28+T285*$AE$29+U285*$AE$30</f>
        <v/>
      </c>
      <c r="W285" s="8">
        <f>1/(1+EXP(-V285))</f>
        <v/>
      </c>
      <c r="X285" s="9">
        <f>-IF(C285=1,LN(W285),LN(1-W285))</f>
        <v/>
      </c>
      <c r="Y285" s="8">
        <f>IF(C285=1,$AE$32,$AE$33)</f>
        <v/>
      </c>
      <c r="Z285" s="9">
        <f>Y285*X285</f>
        <v/>
      </c>
      <c r="AA285" s="10">
        <f>IF(W285&gt;$AE$34,1,0)</f>
        <v/>
      </c>
      <c r="AB285">
        <f>IF(AA285=C285,1,0)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$AE$12+D286*$AE$13+E286*$AE$14+F286*$AE$15+G286*$AE$16+H286*$AE$17+I286*$AE$18+J286*$AE$19+K286*$AE$20+L286*$AE$21+M286*$AE$22+N286*$AE$23+O286*$AE$24+P286*$AE$25+Q286*$AE$26+R286*$AE$27+S286*$AE$28+T286*$AE$29+U286*$AE$30</f>
        <v/>
      </c>
      <c r="W286" s="8">
        <f>1/(1+EXP(-V286))</f>
        <v/>
      </c>
      <c r="X286" s="9">
        <f>-IF(C286=1,LN(W286),LN(1-W286))</f>
        <v/>
      </c>
      <c r="Y286" s="8">
        <f>IF(C286=1,$AE$32,$AE$33)</f>
        <v/>
      </c>
      <c r="Z286" s="9">
        <f>Y286*X286</f>
        <v/>
      </c>
      <c r="AA286" s="10">
        <f>IF(W286&gt;$AE$34,1,0)</f>
        <v/>
      </c>
      <c r="AB286">
        <f>IF(AA286=C286,1,0)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$AE$12+D287*$AE$13+E287*$AE$14+F287*$AE$15+G287*$AE$16+H287*$AE$17+I287*$AE$18+J287*$AE$19+K287*$AE$20+L287*$AE$21+M287*$AE$22+N287*$AE$23+O287*$AE$24+P287*$AE$25+Q287*$AE$26+R287*$AE$27+S287*$AE$28+T287*$AE$29+U287*$AE$30</f>
        <v/>
      </c>
      <c r="W287" s="8">
        <f>1/(1+EXP(-V287))</f>
        <v/>
      </c>
      <c r="X287" s="9">
        <f>-IF(C287=1,LN(W287),LN(1-W287))</f>
        <v/>
      </c>
      <c r="Y287" s="8">
        <f>IF(C287=1,$AE$32,$AE$33)</f>
        <v/>
      </c>
      <c r="Z287" s="9">
        <f>Y287*X287</f>
        <v/>
      </c>
      <c r="AA287" s="10">
        <f>IF(W287&gt;$AE$34,1,0)</f>
        <v/>
      </c>
      <c r="AB287">
        <f>IF(AA287=C287,1,0)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$AE$12+D288*$AE$13+E288*$AE$14+F288*$AE$15+G288*$AE$16+H288*$AE$17+I288*$AE$18+J288*$AE$19+K288*$AE$20+L288*$AE$21+M288*$AE$22+N288*$AE$23+O288*$AE$24+P288*$AE$25+Q288*$AE$26+R288*$AE$27+S288*$AE$28+T288*$AE$29+U288*$AE$30</f>
        <v/>
      </c>
      <c r="W288" s="8">
        <f>1/(1+EXP(-V288))</f>
        <v/>
      </c>
      <c r="X288" s="9">
        <f>-IF(C288=1,LN(W288),LN(1-W288))</f>
        <v/>
      </c>
      <c r="Y288" s="8">
        <f>IF(C288=1,$AE$32,$AE$33)</f>
        <v/>
      </c>
      <c r="Z288" s="9">
        <f>Y288*X288</f>
        <v/>
      </c>
      <c r="AA288" s="10">
        <f>IF(W288&gt;$AE$34,1,0)</f>
        <v/>
      </c>
      <c r="AB288">
        <f>IF(AA288=C288,1,0)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$AE$12+D289*$AE$13+E289*$AE$14+F289*$AE$15+G289*$AE$16+H289*$AE$17+I289*$AE$18+J289*$AE$19+K289*$AE$20+L289*$AE$21+M289*$AE$22+N289*$AE$23+O289*$AE$24+P289*$AE$25+Q289*$AE$26+R289*$AE$27+S289*$AE$28+T289*$AE$29+U289*$AE$30</f>
        <v/>
      </c>
      <c r="W289" s="8">
        <f>1/(1+EXP(-V289))</f>
        <v/>
      </c>
      <c r="X289" s="9">
        <f>-IF(C289=1,LN(W289),LN(1-W289))</f>
        <v/>
      </c>
      <c r="Y289" s="8">
        <f>IF(C289=1,$AE$32,$AE$33)</f>
        <v/>
      </c>
      <c r="Z289" s="9">
        <f>Y289*X289</f>
        <v/>
      </c>
      <c r="AA289" s="10">
        <f>IF(W289&gt;$AE$34,1,0)</f>
        <v/>
      </c>
      <c r="AB289">
        <f>IF(AA289=C289,1,0)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$AE$12+D290*$AE$13+E290*$AE$14+F290*$AE$15+G290*$AE$16+H290*$AE$17+I290*$AE$18+J290*$AE$19+K290*$AE$20+L290*$AE$21+M290*$AE$22+N290*$AE$23+O290*$AE$24+P290*$AE$25+Q290*$AE$26+R290*$AE$27+S290*$AE$28+T290*$AE$29+U290*$AE$30</f>
        <v/>
      </c>
      <c r="W290" s="8">
        <f>1/(1+EXP(-V290))</f>
        <v/>
      </c>
      <c r="X290" s="9">
        <f>-IF(C290=1,LN(W290),LN(1-W290))</f>
        <v/>
      </c>
      <c r="Y290" s="8">
        <f>IF(C290=1,$AE$32,$AE$33)</f>
        <v/>
      </c>
      <c r="Z290" s="9">
        <f>Y290*X290</f>
        <v/>
      </c>
      <c r="AA290" s="10">
        <f>IF(W290&gt;$AE$34,1,0)</f>
        <v/>
      </c>
      <c r="AB290">
        <f>IF(AA290=C290,1,0)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$AE$12+D291*$AE$13+E291*$AE$14+F291*$AE$15+G291*$AE$16+H291*$AE$17+I291*$AE$18+J291*$AE$19+K291*$AE$20+L291*$AE$21+M291*$AE$22+N291*$AE$23+O291*$AE$24+P291*$AE$25+Q291*$AE$26+R291*$AE$27+S291*$AE$28+T291*$AE$29+U291*$AE$30</f>
        <v/>
      </c>
      <c r="W291" s="8">
        <f>1/(1+EXP(-V291))</f>
        <v/>
      </c>
      <c r="X291" s="9">
        <f>-IF(C291=1,LN(W291),LN(1-W291))</f>
        <v/>
      </c>
      <c r="Y291" s="8">
        <f>IF(C291=1,$AE$32,$AE$33)</f>
        <v/>
      </c>
      <c r="Z291" s="9">
        <f>Y291*X291</f>
        <v/>
      </c>
      <c r="AA291" s="10">
        <f>IF(W291&gt;$AE$34,1,0)</f>
        <v/>
      </c>
      <c r="AB291">
        <f>IF(AA291=C291,1,0)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$AE$12+D292*$AE$13+E292*$AE$14+F292*$AE$15+G292*$AE$16+H292*$AE$17+I292*$AE$18+J292*$AE$19+K292*$AE$20+L292*$AE$21+M292*$AE$22+N292*$AE$23+O292*$AE$24+P292*$AE$25+Q292*$AE$26+R292*$AE$27+S292*$AE$28+T292*$AE$29+U292*$AE$30</f>
        <v/>
      </c>
      <c r="W292" s="8">
        <f>1/(1+EXP(-V292))</f>
        <v/>
      </c>
      <c r="X292" s="9">
        <f>-IF(C292=1,LN(W292),LN(1-W292))</f>
        <v/>
      </c>
      <c r="Y292" s="8">
        <f>IF(C292=1,$AE$32,$AE$33)</f>
        <v/>
      </c>
      <c r="Z292" s="9">
        <f>Y292*X292</f>
        <v/>
      </c>
      <c r="AA292" s="10">
        <f>IF(W292&gt;$AE$34,1,0)</f>
        <v/>
      </c>
      <c r="AB292">
        <f>IF(AA292=C292,1,0)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$AE$12+D293*$AE$13+E293*$AE$14+F293*$AE$15+G293*$AE$16+H293*$AE$17+I293*$AE$18+J293*$AE$19+K293*$AE$20+L293*$AE$21+M293*$AE$22+N293*$AE$23+O293*$AE$24+P293*$AE$25+Q293*$AE$26+R293*$AE$27+S293*$AE$28+T293*$AE$29+U293*$AE$30</f>
        <v/>
      </c>
      <c r="W293" s="8">
        <f>1/(1+EXP(-V293))</f>
        <v/>
      </c>
      <c r="X293" s="9">
        <f>-IF(C293=1,LN(W293),LN(1-W293))</f>
        <v/>
      </c>
      <c r="Y293" s="8">
        <f>IF(C293=1,$AE$32,$AE$33)</f>
        <v/>
      </c>
      <c r="Z293" s="9">
        <f>Y293*X293</f>
        <v/>
      </c>
      <c r="AA293" s="10">
        <f>IF(W293&gt;$AE$34,1,0)</f>
        <v/>
      </c>
      <c r="AB293">
        <f>IF(AA293=C293,1,0)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$AE$12+D294*$AE$13+E294*$AE$14+F294*$AE$15+G294*$AE$16+H294*$AE$17+I294*$AE$18+J294*$AE$19+K294*$AE$20+L294*$AE$21+M294*$AE$22+N294*$AE$23+O294*$AE$24+P294*$AE$25+Q294*$AE$26+R294*$AE$27+S294*$AE$28+T294*$AE$29+U294*$AE$30</f>
        <v/>
      </c>
      <c r="W294" s="8">
        <f>1/(1+EXP(-V294))</f>
        <v/>
      </c>
      <c r="X294" s="9">
        <f>-IF(C294=1,LN(W294),LN(1-W294))</f>
        <v/>
      </c>
      <c r="Y294" s="8">
        <f>IF(C294=1,$AE$32,$AE$33)</f>
        <v/>
      </c>
      <c r="Z294" s="9">
        <f>Y294*X294</f>
        <v/>
      </c>
      <c r="AA294" s="10">
        <f>IF(W294&gt;$AE$34,1,0)</f>
        <v/>
      </c>
      <c r="AB294">
        <f>IF(AA294=C294,1,0)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$AE$12+D295*$AE$13+E295*$AE$14+F295*$AE$15+G295*$AE$16+H295*$AE$17+I295*$AE$18+J295*$AE$19+K295*$AE$20+L295*$AE$21+M295*$AE$22+N295*$AE$23+O295*$AE$24+P295*$AE$25+Q295*$AE$26+R295*$AE$27+S295*$AE$28+T295*$AE$29+U295*$AE$30</f>
        <v/>
      </c>
      <c r="W295" s="8">
        <f>1/(1+EXP(-V295))</f>
        <v/>
      </c>
      <c r="X295" s="9">
        <f>-IF(C295=1,LN(W295),LN(1-W295))</f>
        <v/>
      </c>
      <c r="Y295" s="8">
        <f>IF(C295=1,$AE$32,$AE$33)</f>
        <v/>
      </c>
      <c r="Z295" s="9">
        <f>Y295*X295</f>
        <v/>
      </c>
      <c r="AA295" s="10">
        <f>IF(W295&gt;$AE$34,1,0)</f>
        <v/>
      </c>
      <c r="AB295">
        <f>IF(AA295=C295,1,0)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$AE$12+D296*$AE$13+E296*$AE$14+F296*$AE$15+G296*$AE$16+H296*$AE$17+I296*$AE$18+J296*$AE$19+K296*$AE$20+L296*$AE$21+M296*$AE$22+N296*$AE$23+O296*$AE$24+P296*$AE$25+Q296*$AE$26+R296*$AE$27+S296*$AE$28+T296*$AE$29+U296*$AE$30</f>
        <v/>
      </c>
      <c r="W296" s="8">
        <f>1/(1+EXP(-V296))</f>
        <v/>
      </c>
      <c r="X296" s="9">
        <f>-IF(C296=1,LN(W296),LN(1-W296))</f>
        <v/>
      </c>
      <c r="Y296" s="8">
        <f>IF(C296=1,$AE$32,$AE$33)</f>
        <v/>
      </c>
      <c r="Z296" s="9">
        <f>Y296*X296</f>
        <v/>
      </c>
      <c r="AA296" s="10">
        <f>IF(W296&gt;$AE$34,1,0)</f>
        <v/>
      </c>
      <c r="AB296">
        <f>IF(AA296=C296,1,0)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$AE$12+D297*$AE$13+E297*$AE$14+F297*$AE$15+G297*$AE$16+H297*$AE$17+I297*$AE$18+J297*$AE$19+K297*$AE$20+L297*$AE$21+M297*$AE$22+N297*$AE$23+O297*$AE$24+P297*$AE$25+Q297*$AE$26+R297*$AE$27+S297*$AE$28+T297*$AE$29+U297*$AE$30</f>
        <v/>
      </c>
      <c r="W297" s="8">
        <f>1/(1+EXP(-V297))</f>
        <v/>
      </c>
      <c r="X297" s="9">
        <f>-IF(C297=1,LN(W297),LN(1-W297))</f>
        <v/>
      </c>
      <c r="Y297" s="8">
        <f>IF(C297=1,$AE$32,$AE$33)</f>
        <v/>
      </c>
      <c r="Z297" s="9">
        <f>Y297*X297</f>
        <v/>
      </c>
      <c r="AA297" s="10">
        <f>IF(W297&gt;$AE$34,1,0)</f>
        <v/>
      </c>
      <c r="AB297">
        <f>IF(AA297=C297,1,0)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$AE$12+D298*$AE$13+E298*$AE$14+F298*$AE$15+G298*$AE$16+H298*$AE$17+I298*$AE$18+J298*$AE$19+K298*$AE$20+L298*$AE$21+M298*$AE$22+N298*$AE$23+O298*$AE$24+P298*$AE$25+Q298*$AE$26+R298*$AE$27+S298*$AE$28+T298*$AE$29+U298*$AE$30</f>
        <v/>
      </c>
      <c r="W298" s="8">
        <f>1/(1+EXP(-V298))</f>
        <v/>
      </c>
      <c r="X298" s="9">
        <f>-IF(C298=1,LN(W298),LN(1-W298))</f>
        <v/>
      </c>
      <c r="Y298" s="8">
        <f>IF(C298=1,$AE$32,$AE$33)</f>
        <v/>
      </c>
      <c r="Z298" s="9">
        <f>Y298*X298</f>
        <v/>
      </c>
      <c r="AA298" s="10">
        <f>IF(W298&gt;$AE$34,1,0)</f>
        <v/>
      </c>
      <c r="AB298">
        <f>IF(AA298=C298,1,0)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$AE$12+D299*$AE$13+E299*$AE$14+F299*$AE$15+G299*$AE$16+H299*$AE$17+I299*$AE$18+J299*$AE$19+K299*$AE$20+L299*$AE$21+M299*$AE$22+N299*$AE$23+O299*$AE$24+P299*$AE$25+Q299*$AE$26+R299*$AE$27+S299*$AE$28+T299*$AE$29+U299*$AE$30</f>
        <v/>
      </c>
      <c r="W299" s="8">
        <f>1/(1+EXP(-V299))</f>
        <v/>
      </c>
      <c r="X299" s="9">
        <f>-IF(C299=1,LN(W299),LN(1-W299))</f>
        <v/>
      </c>
      <c r="Y299" s="8">
        <f>IF(C299=1,$AE$32,$AE$33)</f>
        <v/>
      </c>
      <c r="Z299" s="9">
        <f>Y299*X299</f>
        <v/>
      </c>
      <c r="AA299" s="10">
        <f>IF(W299&gt;$AE$34,1,0)</f>
        <v/>
      </c>
      <c r="AB299">
        <f>IF(AA299=C299,1,0)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$AE$12+D300*$AE$13+E300*$AE$14+F300*$AE$15+G300*$AE$16+H300*$AE$17+I300*$AE$18+J300*$AE$19+K300*$AE$20+L300*$AE$21+M300*$AE$22+N300*$AE$23+O300*$AE$24+P300*$AE$25+Q300*$AE$26+R300*$AE$27+S300*$AE$28+T300*$AE$29+U300*$AE$30</f>
        <v/>
      </c>
      <c r="W300" s="8">
        <f>1/(1+EXP(-V300))</f>
        <v/>
      </c>
      <c r="X300" s="9">
        <f>-IF(C300=1,LN(W300),LN(1-W300))</f>
        <v/>
      </c>
      <c r="Y300" s="8">
        <f>IF(C300=1,$AE$32,$AE$33)</f>
        <v/>
      </c>
      <c r="Z300" s="9">
        <f>Y300*X300</f>
        <v/>
      </c>
      <c r="AA300" s="10">
        <f>IF(W300&gt;$AE$34,1,0)</f>
        <v/>
      </c>
      <c r="AB300">
        <f>IF(AA300=C300,1,0)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$AE$12+D301*$AE$13+E301*$AE$14+F301*$AE$15+G301*$AE$16+H301*$AE$17+I301*$AE$18+J301*$AE$19+K301*$AE$20+L301*$AE$21+M301*$AE$22+N301*$AE$23+O301*$AE$24+P301*$AE$25+Q301*$AE$26+R301*$AE$27+S301*$AE$28+T301*$AE$29+U301*$AE$30</f>
        <v/>
      </c>
      <c r="W301" s="8">
        <f>1/(1+EXP(-V301))</f>
        <v/>
      </c>
      <c r="X301" s="9">
        <f>-IF(C301=1,LN(W301),LN(1-W301))</f>
        <v/>
      </c>
      <c r="Y301" s="8">
        <f>IF(C301=1,$AE$32,$AE$33)</f>
        <v/>
      </c>
      <c r="Z301" s="9">
        <f>Y301*X301</f>
        <v/>
      </c>
      <c r="AA301" s="10">
        <f>IF(W301&gt;$AE$34,1,0)</f>
        <v/>
      </c>
      <c r="AB301">
        <f>IF(AA301=C301,1,0)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$AE$12+D302*$AE$13+E302*$AE$14+F302*$AE$15+G302*$AE$16+H302*$AE$17+I302*$AE$18+J302*$AE$19+K302*$AE$20+L302*$AE$21+M302*$AE$22+N302*$AE$23+O302*$AE$24+P302*$AE$25+Q302*$AE$26+R302*$AE$27+S302*$AE$28+T302*$AE$29+U302*$AE$30</f>
        <v/>
      </c>
      <c r="W302" s="8">
        <f>1/(1+EXP(-V302))</f>
        <v/>
      </c>
      <c r="X302" s="9">
        <f>-IF(C302=1,LN(W302),LN(1-W302))</f>
        <v/>
      </c>
      <c r="Y302" s="8">
        <f>IF(C302=1,$AE$32,$AE$33)</f>
        <v/>
      </c>
      <c r="Z302" s="9">
        <f>Y302*X302</f>
        <v/>
      </c>
      <c r="AA302" s="10">
        <f>IF(W302&gt;$AE$34,1,0)</f>
        <v/>
      </c>
      <c r="AB302">
        <f>IF(AA302=C302,1,0)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$AE$12+D303*$AE$13+E303*$AE$14+F303*$AE$15+G303*$AE$16+H303*$AE$17+I303*$AE$18+J303*$AE$19+K303*$AE$20+L303*$AE$21+M303*$AE$22+N303*$AE$23+O303*$AE$24+P303*$AE$25+Q303*$AE$26+R303*$AE$27+S303*$AE$28+T303*$AE$29+U303*$AE$30</f>
        <v/>
      </c>
      <c r="W303" s="8">
        <f>1/(1+EXP(-V303))</f>
        <v/>
      </c>
      <c r="X303" s="9">
        <f>-IF(C303=1,LN(W303),LN(1-W303))</f>
        <v/>
      </c>
      <c r="Y303" s="8">
        <f>IF(C303=1,$AE$32,$AE$33)</f>
        <v/>
      </c>
      <c r="Z303" s="9">
        <f>Y303*X303</f>
        <v/>
      </c>
      <c r="AA303" s="10">
        <f>IF(W303&gt;$AE$34,1,0)</f>
        <v/>
      </c>
      <c r="AB303">
        <f>IF(AA303=C303,1,0)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$AE$12+D304*$AE$13+E304*$AE$14+F304*$AE$15+G304*$AE$16+H304*$AE$17+I304*$AE$18+J304*$AE$19+K304*$AE$20+L304*$AE$21+M304*$AE$22+N304*$AE$23+O304*$AE$24+P304*$AE$25+Q304*$AE$26+R304*$AE$27+S304*$AE$28+T304*$AE$29+U304*$AE$30</f>
        <v/>
      </c>
      <c r="W304" s="8">
        <f>1/(1+EXP(-V304))</f>
        <v/>
      </c>
      <c r="X304" s="9">
        <f>-IF(C304=1,LN(W304),LN(1-W304))</f>
        <v/>
      </c>
      <c r="Y304" s="8">
        <f>IF(C304=1,$AE$32,$AE$33)</f>
        <v/>
      </c>
      <c r="Z304" s="9">
        <f>Y304*X304</f>
        <v/>
      </c>
      <c r="AA304" s="10">
        <f>IF(W304&gt;$AE$34,1,0)</f>
        <v/>
      </c>
      <c r="AB304">
        <f>IF(AA304=C304,1,0)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$AE$12+D305*$AE$13+E305*$AE$14+F305*$AE$15+G305*$AE$16+H305*$AE$17+I305*$AE$18+J305*$AE$19+K305*$AE$20+L305*$AE$21+M305*$AE$22+N305*$AE$23+O305*$AE$24+P305*$AE$25+Q305*$AE$26+R305*$AE$27+S305*$AE$28+T305*$AE$29+U305*$AE$30</f>
        <v/>
      </c>
      <c r="W305" s="8">
        <f>1/(1+EXP(-V305))</f>
        <v/>
      </c>
      <c r="X305" s="9">
        <f>-IF(C305=1,LN(W305),LN(1-W305))</f>
        <v/>
      </c>
      <c r="Y305" s="8">
        <f>IF(C305=1,$AE$32,$AE$33)</f>
        <v/>
      </c>
      <c r="Z305" s="9">
        <f>Y305*X305</f>
        <v/>
      </c>
      <c r="AA305" s="10">
        <f>IF(W305&gt;$AE$34,1,0)</f>
        <v/>
      </c>
      <c r="AB305">
        <f>IF(AA305=C305,1,0)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$AE$12+D306*$AE$13+E306*$AE$14+F306*$AE$15+G306*$AE$16+H306*$AE$17+I306*$AE$18+J306*$AE$19+K306*$AE$20+L306*$AE$21+M306*$AE$22+N306*$AE$23+O306*$AE$24+P306*$AE$25+Q306*$AE$26+R306*$AE$27+S306*$AE$28+T306*$AE$29+U306*$AE$30</f>
        <v/>
      </c>
      <c r="W306" s="8">
        <f>1/(1+EXP(-V306))</f>
        <v/>
      </c>
      <c r="X306" s="9">
        <f>-IF(C306=1,LN(W306),LN(1-W306))</f>
        <v/>
      </c>
      <c r="Y306" s="8">
        <f>IF(C306=1,$AE$32,$AE$33)</f>
        <v/>
      </c>
      <c r="Z306" s="9">
        <f>Y306*X306</f>
        <v/>
      </c>
      <c r="AA306" s="10">
        <f>IF(W306&gt;$AE$34,1,0)</f>
        <v/>
      </c>
      <c r="AB306">
        <f>IF(AA306=C306,1,0)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$AE$12+D307*$AE$13+E307*$AE$14+F307*$AE$15+G307*$AE$16+H307*$AE$17+I307*$AE$18+J307*$AE$19+K307*$AE$20+L307*$AE$21+M307*$AE$22+N307*$AE$23+O307*$AE$24+P307*$AE$25+Q307*$AE$26+R307*$AE$27+S307*$AE$28+T307*$AE$29+U307*$AE$30</f>
        <v/>
      </c>
      <c r="W307" s="8">
        <f>1/(1+EXP(-V307))</f>
        <v/>
      </c>
      <c r="X307" s="9">
        <f>-IF(C307=1,LN(W307),LN(1-W307))</f>
        <v/>
      </c>
      <c r="Y307" s="8">
        <f>IF(C307=1,$AE$32,$AE$33)</f>
        <v/>
      </c>
      <c r="Z307" s="9">
        <f>Y307*X307</f>
        <v/>
      </c>
      <c r="AA307" s="10">
        <f>IF(W307&gt;$AE$34,1,0)</f>
        <v/>
      </c>
      <c r="AB307">
        <f>IF(AA307=C307,1,0)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$AE$12+D308*$AE$13+E308*$AE$14+F308*$AE$15+G308*$AE$16+H308*$AE$17+I308*$AE$18+J308*$AE$19+K308*$AE$20+L308*$AE$21+M308*$AE$22+N308*$AE$23+O308*$AE$24+P308*$AE$25+Q308*$AE$26+R308*$AE$27+S308*$AE$28+T308*$AE$29+U308*$AE$30</f>
        <v/>
      </c>
      <c r="W308" s="8">
        <f>1/(1+EXP(-V308))</f>
        <v/>
      </c>
      <c r="X308" s="9">
        <f>-IF(C308=1,LN(W308),LN(1-W308))</f>
        <v/>
      </c>
      <c r="Y308" s="8">
        <f>IF(C308=1,$AE$32,$AE$33)</f>
        <v/>
      </c>
      <c r="Z308" s="9">
        <f>Y308*X308</f>
        <v/>
      </c>
      <c r="AA308" s="10">
        <f>IF(W308&gt;$AE$34,1,0)</f>
        <v/>
      </c>
      <c r="AB308">
        <f>IF(AA308=C308,1,0)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$AE$12+D309*$AE$13+E309*$AE$14+F309*$AE$15+G309*$AE$16+H309*$AE$17+I309*$AE$18+J309*$AE$19+K309*$AE$20+L309*$AE$21+M309*$AE$22+N309*$AE$23+O309*$AE$24+P309*$AE$25+Q309*$AE$26+R309*$AE$27+S309*$AE$28+T309*$AE$29+U309*$AE$30</f>
        <v/>
      </c>
      <c r="W309" s="8">
        <f>1/(1+EXP(-V309))</f>
        <v/>
      </c>
      <c r="X309" s="9">
        <f>-IF(C309=1,LN(W309),LN(1-W309))</f>
        <v/>
      </c>
      <c r="Y309" s="8">
        <f>IF(C309=1,$AE$32,$AE$33)</f>
        <v/>
      </c>
      <c r="Z309" s="9">
        <f>Y309*X309</f>
        <v/>
      </c>
      <c r="AA309" s="10">
        <f>IF(W309&gt;$AE$34,1,0)</f>
        <v/>
      </c>
      <c r="AB309">
        <f>IF(AA309=C309,1,0)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$AE$12+D310*$AE$13+E310*$AE$14+F310*$AE$15+G310*$AE$16+H310*$AE$17+I310*$AE$18+J310*$AE$19+K310*$AE$20+L310*$AE$21+M310*$AE$22+N310*$AE$23+O310*$AE$24+P310*$AE$25+Q310*$AE$26+R310*$AE$27+S310*$AE$28+T310*$AE$29+U310*$AE$30</f>
        <v/>
      </c>
      <c r="W310" s="8">
        <f>1/(1+EXP(-V310))</f>
        <v/>
      </c>
      <c r="X310" s="9">
        <f>-IF(C310=1,LN(W310),LN(1-W310))</f>
        <v/>
      </c>
      <c r="Y310" s="8">
        <f>IF(C310=1,$AE$32,$AE$33)</f>
        <v/>
      </c>
      <c r="Z310" s="9">
        <f>Y310*X310</f>
        <v/>
      </c>
      <c r="AA310" s="10">
        <f>IF(W310&gt;$AE$34,1,0)</f>
        <v/>
      </c>
      <c r="AB310">
        <f>IF(AA310=C310,1,0)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$AE$12+D311*$AE$13+E311*$AE$14+F311*$AE$15+G311*$AE$16+H311*$AE$17+I311*$AE$18+J311*$AE$19+K311*$AE$20+L311*$AE$21+M311*$AE$22+N311*$AE$23+O311*$AE$24+P311*$AE$25+Q311*$AE$26+R311*$AE$27+S311*$AE$28+T311*$AE$29+U311*$AE$30</f>
        <v/>
      </c>
      <c r="W311" s="8">
        <f>1/(1+EXP(-V311))</f>
        <v/>
      </c>
      <c r="X311" s="9">
        <f>-IF(C311=1,LN(W311),LN(1-W311))</f>
        <v/>
      </c>
      <c r="Y311" s="8">
        <f>IF(C311=1,$AE$32,$AE$33)</f>
        <v/>
      </c>
      <c r="Z311" s="9">
        <f>Y311*X311</f>
        <v/>
      </c>
      <c r="AA311" s="10">
        <f>IF(W311&gt;$AE$34,1,0)</f>
        <v/>
      </c>
      <c r="AB311">
        <f>IF(AA311=C311,1,0)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$AE$12+D312*$AE$13+E312*$AE$14+F312*$AE$15+G312*$AE$16+H312*$AE$17+I312*$AE$18+J312*$AE$19+K312*$AE$20+L312*$AE$21+M312*$AE$22+N312*$AE$23+O312*$AE$24+P312*$AE$25+Q312*$AE$26+R312*$AE$27+S312*$AE$28+T312*$AE$29+U312*$AE$30</f>
        <v/>
      </c>
      <c r="W312" s="8">
        <f>1/(1+EXP(-V312))</f>
        <v/>
      </c>
      <c r="X312" s="9">
        <f>-IF(C312=1,LN(W312),LN(1-W312))</f>
        <v/>
      </c>
      <c r="Y312" s="8">
        <f>IF(C312=1,$AE$32,$AE$33)</f>
        <v/>
      </c>
      <c r="Z312" s="9">
        <f>Y312*X312</f>
        <v/>
      </c>
      <c r="AA312" s="10">
        <f>IF(W312&gt;$AE$34,1,0)</f>
        <v/>
      </c>
      <c r="AB312">
        <f>IF(AA312=C312,1,0)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$AE$12+D313*$AE$13+E313*$AE$14+F313*$AE$15+G313*$AE$16+H313*$AE$17+I313*$AE$18+J313*$AE$19+K313*$AE$20+L313*$AE$21+M313*$AE$22+N313*$AE$23+O313*$AE$24+P313*$AE$25+Q313*$AE$26+R313*$AE$27+S313*$AE$28+T313*$AE$29+U313*$AE$30</f>
        <v/>
      </c>
      <c r="W313" s="8">
        <f>1/(1+EXP(-V313))</f>
        <v/>
      </c>
      <c r="X313" s="9">
        <f>-IF(C313=1,LN(W313),LN(1-W313))</f>
        <v/>
      </c>
      <c r="Y313" s="8">
        <f>IF(C313=1,$AE$32,$AE$33)</f>
        <v/>
      </c>
      <c r="Z313" s="9">
        <f>Y313*X313</f>
        <v/>
      </c>
      <c r="AA313" s="10">
        <f>IF(W313&gt;$AE$34,1,0)</f>
        <v/>
      </c>
      <c r="AB313">
        <f>IF(AA313=C313,1,0)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$AE$12+D314*$AE$13+E314*$AE$14+F314*$AE$15+G314*$AE$16+H314*$AE$17+I314*$AE$18+J314*$AE$19+K314*$AE$20+L314*$AE$21+M314*$AE$22+N314*$AE$23+O314*$AE$24+P314*$AE$25+Q314*$AE$26+R314*$AE$27+S314*$AE$28+T314*$AE$29+U314*$AE$30</f>
        <v/>
      </c>
      <c r="W314" s="8">
        <f>1/(1+EXP(-V314))</f>
        <v/>
      </c>
      <c r="X314" s="9">
        <f>-IF(C314=1,LN(W314),LN(1-W314))</f>
        <v/>
      </c>
      <c r="Y314" s="8">
        <f>IF(C314=1,$AE$32,$AE$33)</f>
        <v/>
      </c>
      <c r="Z314" s="9">
        <f>Y314*X314</f>
        <v/>
      </c>
      <c r="AA314" s="10">
        <f>IF(W314&gt;$AE$34,1,0)</f>
        <v/>
      </c>
      <c r="AB314">
        <f>IF(AA314=C314,1,0)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$AE$12+D315*$AE$13+E315*$AE$14+F315*$AE$15+G315*$AE$16+H315*$AE$17+I315*$AE$18+J315*$AE$19+K315*$AE$20+L315*$AE$21+M315*$AE$22+N315*$AE$23+O315*$AE$24+P315*$AE$25+Q315*$AE$26+R315*$AE$27+S315*$AE$28+T315*$AE$29+U315*$AE$30</f>
        <v/>
      </c>
      <c r="W315" s="8">
        <f>1/(1+EXP(-V315))</f>
        <v/>
      </c>
      <c r="X315" s="9">
        <f>-IF(C315=1,LN(W315),LN(1-W315))</f>
        <v/>
      </c>
      <c r="Y315" s="8">
        <f>IF(C315=1,$AE$32,$AE$33)</f>
        <v/>
      </c>
      <c r="Z315" s="9">
        <f>Y315*X315</f>
        <v/>
      </c>
      <c r="AA315" s="10">
        <f>IF(W315&gt;$AE$34,1,0)</f>
        <v/>
      </c>
      <c r="AB315">
        <f>IF(AA315=C315,1,0)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$AE$12+D316*$AE$13+E316*$AE$14+F316*$AE$15+G316*$AE$16+H316*$AE$17+I316*$AE$18+J316*$AE$19+K316*$AE$20+L316*$AE$21+M316*$AE$22+N316*$AE$23+O316*$AE$24+P316*$AE$25+Q316*$AE$26+R316*$AE$27+S316*$AE$28+T316*$AE$29+U316*$AE$30</f>
        <v/>
      </c>
      <c r="W316" s="8">
        <f>1/(1+EXP(-V316))</f>
        <v/>
      </c>
      <c r="X316" s="9">
        <f>-IF(C316=1,LN(W316),LN(1-W316))</f>
        <v/>
      </c>
      <c r="Y316" s="8">
        <f>IF(C316=1,$AE$32,$AE$33)</f>
        <v/>
      </c>
      <c r="Z316" s="9">
        <f>Y316*X316</f>
        <v/>
      </c>
      <c r="AA316" s="10">
        <f>IF(W316&gt;$AE$34,1,0)</f>
        <v/>
      </c>
      <c r="AB316">
        <f>IF(AA316=C316,1,0)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$AE$12+D317*$AE$13+E317*$AE$14+F317*$AE$15+G317*$AE$16+H317*$AE$17+I317*$AE$18+J317*$AE$19+K317*$AE$20+L317*$AE$21+M317*$AE$22+N317*$AE$23+O317*$AE$24+P317*$AE$25+Q317*$AE$26+R317*$AE$27+S317*$AE$28+T317*$AE$29+U317*$AE$30</f>
        <v/>
      </c>
      <c r="W317" s="8">
        <f>1/(1+EXP(-V317))</f>
        <v/>
      </c>
      <c r="X317" s="9">
        <f>-IF(C317=1,LN(W317),LN(1-W317))</f>
        <v/>
      </c>
      <c r="Y317" s="8">
        <f>IF(C317=1,$AE$32,$AE$33)</f>
        <v/>
      </c>
      <c r="Z317" s="9">
        <f>Y317*X317</f>
        <v/>
      </c>
      <c r="AA317" s="10">
        <f>IF(W317&gt;$AE$34,1,0)</f>
        <v/>
      </c>
      <c r="AB317">
        <f>IF(AA317=C317,1,0)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$AE$12+D318*$AE$13+E318*$AE$14+F318*$AE$15+G318*$AE$16+H318*$AE$17+I318*$AE$18+J318*$AE$19+K318*$AE$20+L318*$AE$21+M318*$AE$22+N318*$AE$23+O318*$AE$24+P318*$AE$25+Q318*$AE$26+R318*$AE$27+S318*$AE$28+T318*$AE$29+U318*$AE$30</f>
        <v/>
      </c>
      <c r="W318" s="8">
        <f>1/(1+EXP(-V318))</f>
        <v/>
      </c>
      <c r="X318" s="9">
        <f>-IF(C318=1,LN(W318),LN(1-W318))</f>
        <v/>
      </c>
      <c r="Y318" s="8">
        <f>IF(C318=1,$AE$32,$AE$33)</f>
        <v/>
      </c>
      <c r="Z318" s="9">
        <f>Y318*X318</f>
        <v/>
      </c>
      <c r="AA318" s="10">
        <f>IF(W318&gt;$AE$34,1,0)</f>
        <v/>
      </c>
      <c r="AB318">
        <f>IF(AA318=C318,1,0)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$AE$12+D319*$AE$13+E319*$AE$14+F319*$AE$15+G319*$AE$16+H319*$AE$17+I319*$AE$18+J319*$AE$19+K319*$AE$20+L319*$AE$21+M319*$AE$22+N319*$AE$23+O319*$AE$24+P319*$AE$25+Q319*$AE$26+R319*$AE$27+S319*$AE$28+T319*$AE$29+U319*$AE$30</f>
        <v/>
      </c>
      <c r="W319" s="8">
        <f>1/(1+EXP(-V319))</f>
        <v/>
      </c>
      <c r="X319" s="9">
        <f>-IF(C319=1,LN(W319),LN(1-W319))</f>
        <v/>
      </c>
      <c r="Y319" s="8">
        <f>IF(C319=1,$AE$32,$AE$33)</f>
        <v/>
      </c>
      <c r="Z319" s="9">
        <f>Y319*X319</f>
        <v/>
      </c>
      <c r="AA319" s="10">
        <f>IF(W319&gt;$AE$34,1,0)</f>
        <v/>
      </c>
      <c r="AB319">
        <f>IF(AA319=C319,1,0)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$AE$12+D320*$AE$13+E320*$AE$14+F320*$AE$15+G320*$AE$16+H320*$AE$17+I320*$AE$18+J320*$AE$19+K320*$AE$20+L320*$AE$21+M320*$AE$22+N320*$AE$23+O320*$AE$24+P320*$AE$25+Q320*$AE$26+R320*$AE$27+S320*$AE$28+T320*$AE$29+U320*$AE$30</f>
        <v/>
      </c>
      <c r="W320" s="8">
        <f>1/(1+EXP(-V320))</f>
        <v/>
      </c>
      <c r="X320" s="9">
        <f>-IF(C320=1,LN(W320),LN(1-W320))</f>
        <v/>
      </c>
      <c r="Y320" s="8">
        <f>IF(C320=1,$AE$32,$AE$33)</f>
        <v/>
      </c>
      <c r="Z320" s="9">
        <f>Y320*X320</f>
        <v/>
      </c>
      <c r="AA320" s="10">
        <f>IF(W320&gt;$AE$34,1,0)</f>
        <v/>
      </c>
      <c r="AB320">
        <f>IF(AA320=C320,1,0)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$AE$12+D321*$AE$13+E321*$AE$14+F321*$AE$15+G321*$AE$16+H321*$AE$17+I321*$AE$18+J321*$AE$19+K321*$AE$20+L321*$AE$21+M321*$AE$22+N321*$AE$23+O321*$AE$24+P321*$AE$25+Q321*$AE$26+R321*$AE$27+S321*$AE$28+T321*$AE$29+U321*$AE$30</f>
        <v/>
      </c>
      <c r="W321" s="8">
        <f>1/(1+EXP(-V321))</f>
        <v/>
      </c>
      <c r="X321" s="9">
        <f>-IF(C321=1,LN(W321),LN(1-W321))</f>
        <v/>
      </c>
      <c r="Y321" s="8">
        <f>IF(C321=1,$AE$32,$AE$33)</f>
        <v/>
      </c>
      <c r="Z321" s="9">
        <f>Y321*X321</f>
        <v/>
      </c>
      <c r="AA321" s="10">
        <f>IF(W321&gt;$AE$34,1,0)</f>
        <v/>
      </c>
      <c r="AB321">
        <f>IF(AA321=C321,1,0)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$AE$12+D322*$AE$13+E322*$AE$14+F322*$AE$15+G322*$AE$16+H322*$AE$17+I322*$AE$18+J322*$AE$19+K322*$AE$20+L322*$AE$21+M322*$AE$22+N322*$AE$23+O322*$AE$24+P322*$AE$25+Q322*$AE$26+R322*$AE$27+S322*$AE$28+T322*$AE$29+U322*$AE$30</f>
        <v/>
      </c>
      <c r="W322" s="8">
        <f>1/(1+EXP(-V322))</f>
        <v/>
      </c>
      <c r="X322" s="9">
        <f>-IF(C322=1,LN(W322),LN(1-W322))</f>
        <v/>
      </c>
      <c r="Y322" s="8">
        <f>IF(C322=1,$AE$32,$AE$33)</f>
        <v/>
      </c>
      <c r="Z322" s="9">
        <f>Y322*X322</f>
        <v/>
      </c>
      <c r="AA322" s="10">
        <f>IF(W322&gt;$AE$34,1,0)</f>
        <v/>
      </c>
      <c r="AB322">
        <f>IF(AA322=C322,1,0)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$AE$12+D323*$AE$13+E323*$AE$14+F323*$AE$15+G323*$AE$16+H323*$AE$17+I323*$AE$18+J323*$AE$19+K323*$AE$20+L323*$AE$21+M323*$AE$22+N323*$AE$23+O323*$AE$24+P323*$AE$25+Q323*$AE$26+R323*$AE$27+S323*$AE$28+T323*$AE$29+U323*$AE$30</f>
        <v/>
      </c>
      <c r="W323" s="8">
        <f>1/(1+EXP(-V323))</f>
        <v/>
      </c>
      <c r="X323" s="9">
        <f>-IF(C323=1,LN(W323),LN(1-W323))</f>
        <v/>
      </c>
      <c r="Y323" s="8">
        <f>IF(C323=1,$AE$32,$AE$33)</f>
        <v/>
      </c>
      <c r="Z323" s="9">
        <f>Y323*X323</f>
        <v/>
      </c>
      <c r="AA323" s="10">
        <f>IF(W323&gt;$AE$34,1,0)</f>
        <v/>
      </c>
      <c r="AB323">
        <f>IF(AA323=C323,1,0)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$AE$12+D324*$AE$13+E324*$AE$14+F324*$AE$15+G324*$AE$16+H324*$AE$17+I324*$AE$18+J324*$AE$19+K324*$AE$20+L324*$AE$21+M324*$AE$22+N324*$AE$23+O324*$AE$24+P324*$AE$25+Q324*$AE$26+R324*$AE$27+S324*$AE$28+T324*$AE$29+U324*$AE$30</f>
        <v/>
      </c>
      <c r="W324" s="8">
        <f>1/(1+EXP(-V324))</f>
        <v/>
      </c>
      <c r="X324" s="9">
        <f>-IF(C324=1,LN(W324),LN(1-W324))</f>
        <v/>
      </c>
      <c r="Y324" s="8">
        <f>IF(C324=1,$AE$32,$AE$33)</f>
        <v/>
      </c>
      <c r="Z324" s="9">
        <f>Y324*X324</f>
        <v/>
      </c>
      <c r="AA324" s="10">
        <f>IF(W324&gt;$AE$34,1,0)</f>
        <v/>
      </c>
      <c r="AB324">
        <f>IF(AA324=C324,1,0)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$AE$12+D325*$AE$13+E325*$AE$14+F325*$AE$15+G325*$AE$16+H325*$AE$17+I325*$AE$18+J325*$AE$19+K325*$AE$20+L325*$AE$21+M325*$AE$22+N325*$AE$23+O325*$AE$24+P325*$AE$25+Q325*$AE$26+R325*$AE$27+S325*$AE$28+T325*$AE$29+U325*$AE$30</f>
        <v/>
      </c>
      <c r="W325" s="8">
        <f>1/(1+EXP(-V325))</f>
        <v/>
      </c>
      <c r="X325" s="9">
        <f>-IF(C325=1,LN(W325),LN(1-W325))</f>
        <v/>
      </c>
      <c r="Y325" s="8">
        <f>IF(C325=1,$AE$32,$AE$33)</f>
        <v/>
      </c>
      <c r="Z325" s="9">
        <f>Y325*X325</f>
        <v/>
      </c>
      <c r="AA325" s="10">
        <f>IF(W325&gt;$AE$34,1,0)</f>
        <v/>
      </c>
      <c r="AB325">
        <f>IF(AA325=C325,1,0)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$AE$12+D326*$AE$13+E326*$AE$14+F326*$AE$15+G326*$AE$16+H326*$AE$17+I326*$AE$18+J326*$AE$19+K326*$AE$20+L326*$AE$21+M326*$AE$22+N326*$AE$23+O326*$AE$24+P326*$AE$25+Q326*$AE$26+R326*$AE$27+S326*$AE$28+T326*$AE$29+U326*$AE$30</f>
        <v/>
      </c>
      <c r="W326" s="8">
        <f>1/(1+EXP(-V326))</f>
        <v/>
      </c>
      <c r="X326" s="9">
        <f>-IF(C326=1,LN(W326),LN(1-W326))</f>
        <v/>
      </c>
      <c r="Y326" s="8">
        <f>IF(C326=1,$AE$32,$AE$33)</f>
        <v/>
      </c>
      <c r="Z326" s="9">
        <f>Y326*X326</f>
        <v/>
      </c>
      <c r="AA326" s="10">
        <f>IF(W326&gt;$AE$34,1,0)</f>
        <v/>
      </c>
      <c r="AB326">
        <f>IF(AA326=C326,1,0)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$AE$12+D327*$AE$13+E327*$AE$14+F327*$AE$15+G327*$AE$16+H327*$AE$17+I327*$AE$18+J327*$AE$19+K327*$AE$20+L327*$AE$21+M327*$AE$22+N327*$AE$23+O327*$AE$24+P327*$AE$25+Q327*$AE$26+R327*$AE$27+S327*$AE$28+T327*$AE$29+U327*$AE$30</f>
        <v/>
      </c>
      <c r="W327" s="8">
        <f>1/(1+EXP(-V327))</f>
        <v/>
      </c>
      <c r="X327" s="9">
        <f>-IF(C327=1,LN(W327),LN(1-W327))</f>
        <v/>
      </c>
      <c r="Y327" s="8">
        <f>IF(C327=1,$AE$32,$AE$33)</f>
        <v/>
      </c>
      <c r="Z327" s="9">
        <f>Y327*X327</f>
        <v/>
      </c>
      <c r="AA327" s="10">
        <f>IF(W327&gt;$AE$34,1,0)</f>
        <v/>
      </c>
      <c r="AB327">
        <f>IF(AA327=C327,1,0)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$AE$12+D328*$AE$13+E328*$AE$14+F328*$AE$15+G328*$AE$16+H328*$AE$17+I328*$AE$18+J328*$AE$19+K328*$AE$20+L328*$AE$21+M328*$AE$22+N328*$AE$23+O328*$AE$24+P328*$AE$25+Q328*$AE$26+R328*$AE$27+S328*$AE$28+T328*$AE$29+U328*$AE$30</f>
        <v/>
      </c>
      <c r="W328" s="8">
        <f>1/(1+EXP(-V328))</f>
        <v/>
      </c>
      <c r="X328" s="9">
        <f>-IF(C328=1,LN(W328),LN(1-W328))</f>
        <v/>
      </c>
      <c r="Y328" s="8">
        <f>IF(C328=1,$AE$32,$AE$33)</f>
        <v/>
      </c>
      <c r="Z328" s="9">
        <f>Y328*X328</f>
        <v/>
      </c>
      <c r="AA328" s="10">
        <f>IF(W328&gt;$AE$34,1,0)</f>
        <v/>
      </c>
      <c r="AB328">
        <f>IF(AA328=C328,1,0)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$AE$12+D329*$AE$13+E329*$AE$14+F329*$AE$15+G329*$AE$16+H329*$AE$17+I329*$AE$18+J329*$AE$19+K329*$AE$20+L329*$AE$21+M329*$AE$22+N329*$AE$23+O329*$AE$24+P329*$AE$25+Q329*$AE$26+R329*$AE$27+S329*$AE$28+T329*$AE$29+U329*$AE$30</f>
        <v/>
      </c>
      <c r="W329" s="8">
        <f>1/(1+EXP(-V329))</f>
        <v/>
      </c>
      <c r="X329" s="9">
        <f>-IF(C329=1,LN(W329),LN(1-W329))</f>
        <v/>
      </c>
      <c r="Y329" s="8">
        <f>IF(C329=1,$AE$32,$AE$33)</f>
        <v/>
      </c>
      <c r="Z329" s="9">
        <f>Y329*X329</f>
        <v/>
      </c>
      <c r="AA329" s="10">
        <f>IF(W329&gt;$AE$34,1,0)</f>
        <v/>
      </c>
      <c r="AB329">
        <f>IF(AA329=C329,1,0)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$AE$12+D330*$AE$13+E330*$AE$14+F330*$AE$15+G330*$AE$16+H330*$AE$17+I330*$AE$18+J330*$AE$19+K330*$AE$20+L330*$AE$21+M330*$AE$22+N330*$AE$23+O330*$AE$24+P330*$AE$25+Q330*$AE$26+R330*$AE$27+S330*$AE$28+T330*$AE$29+U330*$AE$30</f>
        <v/>
      </c>
      <c r="W330" s="8">
        <f>1/(1+EXP(-V330))</f>
        <v/>
      </c>
      <c r="X330" s="9">
        <f>-IF(C330=1,LN(W330),LN(1-W330))</f>
        <v/>
      </c>
      <c r="Y330" s="8">
        <f>IF(C330=1,$AE$32,$AE$33)</f>
        <v/>
      </c>
      <c r="Z330" s="9">
        <f>Y330*X330</f>
        <v/>
      </c>
      <c r="AA330" s="10">
        <f>IF(W330&gt;$AE$34,1,0)</f>
        <v/>
      </c>
      <c r="AB330">
        <f>IF(AA330=C330,1,0)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$AE$12+D331*$AE$13+E331*$AE$14+F331*$AE$15+G331*$AE$16+H331*$AE$17+I331*$AE$18+J331*$AE$19+K331*$AE$20+L331*$AE$21+M331*$AE$22+N331*$AE$23+O331*$AE$24+P331*$AE$25+Q331*$AE$26+R331*$AE$27+S331*$AE$28+T331*$AE$29+U331*$AE$30</f>
        <v/>
      </c>
      <c r="W331" s="8">
        <f>1/(1+EXP(-V331))</f>
        <v/>
      </c>
      <c r="X331" s="9">
        <f>-IF(C331=1,LN(W331),LN(1-W331))</f>
        <v/>
      </c>
      <c r="Y331" s="8">
        <f>IF(C331=1,$AE$32,$AE$33)</f>
        <v/>
      </c>
      <c r="Z331" s="9">
        <f>Y331*X331</f>
        <v/>
      </c>
      <c r="AA331" s="10">
        <f>IF(W331&gt;$AE$34,1,0)</f>
        <v/>
      </c>
      <c r="AB331">
        <f>IF(AA331=C331,1,0)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$AE$12+D332*$AE$13+E332*$AE$14+F332*$AE$15+G332*$AE$16+H332*$AE$17+I332*$AE$18+J332*$AE$19+K332*$AE$20+L332*$AE$21+M332*$AE$22+N332*$AE$23+O332*$AE$24+P332*$AE$25+Q332*$AE$26+R332*$AE$27+S332*$AE$28+T332*$AE$29+U332*$AE$30</f>
        <v/>
      </c>
      <c r="W332" s="8">
        <f>1/(1+EXP(-V332))</f>
        <v/>
      </c>
      <c r="X332" s="9">
        <f>-IF(C332=1,LN(W332),LN(1-W332))</f>
        <v/>
      </c>
      <c r="Y332" s="8">
        <f>IF(C332=1,$AE$32,$AE$33)</f>
        <v/>
      </c>
      <c r="Z332" s="9">
        <f>Y332*X332</f>
        <v/>
      </c>
      <c r="AA332" s="10">
        <f>IF(W332&gt;$AE$34,1,0)</f>
        <v/>
      </c>
      <c r="AB332">
        <f>IF(AA332=C332,1,0)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$AE$12+D333*$AE$13+E333*$AE$14+F333*$AE$15+G333*$AE$16+H333*$AE$17+I333*$AE$18+J333*$AE$19+K333*$AE$20+L333*$AE$21+M333*$AE$22+N333*$AE$23+O333*$AE$24+P333*$AE$25+Q333*$AE$26+R333*$AE$27+S333*$AE$28+T333*$AE$29+U333*$AE$30</f>
        <v/>
      </c>
      <c r="W333" s="8">
        <f>1/(1+EXP(-V333))</f>
        <v/>
      </c>
      <c r="X333" s="9">
        <f>-IF(C333=1,LN(W333),LN(1-W333))</f>
        <v/>
      </c>
      <c r="Y333" s="8">
        <f>IF(C333=1,$AE$32,$AE$33)</f>
        <v/>
      </c>
      <c r="Z333" s="9">
        <f>Y333*X333</f>
        <v/>
      </c>
      <c r="AA333" s="10">
        <f>IF(W333&gt;$AE$34,1,0)</f>
        <v/>
      </c>
      <c r="AB333">
        <f>IF(AA333=C333,1,0)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$AE$12+D334*$AE$13+E334*$AE$14+F334*$AE$15+G334*$AE$16+H334*$AE$17+I334*$AE$18+J334*$AE$19+K334*$AE$20+L334*$AE$21+M334*$AE$22+N334*$AE$23+O334*$AE$24+P334*$AE$25+Q334*$AE$26+R334*$AE$27+S334*$AE$28+T334*$AE$29+U334*$AE$30</f>
        <v/>
      </c>
      <c r="W334" s="8">
        <f>1/(1+EXP(-V334))</f>
        <v/>
      </c>
      <c r="X334" s="9">
        <f>-IF(C334=1,LN(W334),LN(1-W334))</f>
        <v/>
      </c>
      <c r="Y334" s="8">
        <f>IF(C334=1,$AE$32,$AE$33)</f>
        <v/>
      </c>
      <c r="Z334" s="9">
        <f>Y334*X334</f>
        <v/>
      </c>
      <c r="AA334" s="10">
        <f>IF(W334&gt;$AE$34,1,0)</f>
        <v/>
      </c>
      <c r="AB334">
        <f>IF(AA334=C334,1,0)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$AE$12+D335*$AE$13+E335*$AE$14+F335*$AE$15+G335*$AE$16+H335*$AE$17+I335*$AE$18+J335*$AE$19+K335*$AE$20+L335*$AE$21+M335*$AE$22+N335*$AE$23+O335*$AE$24+P335*$AE$25+Q335*$AE$26+R335*$AE$27+S335*$AE$28+T335*$AE$29+U335*$AE$30</f>
        <v/>
      </c>
      <c r="W335" s="8">
        <f>1/(1+EXP(-V335))</f>
        <v/>
      </c>
      <c r="X335" s="9">
        <f>-IF(C335=1,LN(W335),LN(1-W335))</f>
        <v/>
      </c>
      <c r="Y335" s="8">
        <f>IF(C335=1,$AE$32,$AE$33)</f>
        <v/>
      </c>
      <c r="Z335" s="9">
        <f>Y335*X335</f>
        <v/>
      </c>
      <c r="AA335" s="10">
        <f>IF(W335&gt;$AE$34,1,0)</f>
        <v/>
      </c>
      <c r="AB335">
        <f>IF(AA335=C335,1,0)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$AE$12+D336*$AE$13+E336*$AE$14+F336*$AE$15+G336*$AE$16+H336*$AE$17+I336*$AE$18+J336*$AE$19+K336*$AE$20+L336*$AE$21+M336*$AE$22+N336*$AE$23+O336*$AE$24+P336*$AE$25+Q336*$AE$26+R336*$AE$27+S336*$AE$28+T336*$AE$29+U336*$AE$30</f>
        <v/>
      </c>
      <c r="W336" s="8">
        <f>1/(1+EXP(-V336))</f>
        <v/>
      </c>
      <c r="X336" s="9">
        <f>-IF(C336=1,LN(W336),LN(1-W336))</f>
        <v/>
      </c>
      <c r="Y336" s="8">
        <f>IF(C336=1,$AE$32,$AE$33)</f>
        <v/>
      </c>
      <c r="Z336" s="9">
        <f>Y336*X336</f>
        <v/>
      </c>
      <c r="AA336" s="10">
        <f>IF(W336&gt;$AE$34,1,0)</f>
        <v/>
      </c>
      <c r="AB336">
        <f>IF(AA336=C336,1,0)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$AE$12+D337*$AE$13+E337*$AE$14+F337*$AE$15+G337*$AE$16+H337*$AE$17+I337*$AE$18+J337*$AE$19+K337*$AE$20+L337*$AE$21+M337*$AE$22+N337*$AE$23+O337*$AE$24+P337*$AE$25+Q337*$AE$26+R337*$AE$27+S337*$AE$28+T337*$AE$29+U337*$AE$30</f>
        <v/>
      </c>
      <c r="W337" s="8">
        <f>1/(1+EXP(-V337))</f>
        <v/>
      </c>
      <c r="X337" s="9">
        <f>-IF(C337=1,LN(W337),LN(1-W337))</f>
        <v/>
      </c>
      <c r="Y337" s="8">
        <f>IF(C337=1,$AE$32,$AE$33)</f>
        <v/>
      </c>
      <c r="Z337" s="9">
        <f>Y337*X337</f>
        <v/>
      </c>
      <c r="AA337" s="10">
        <f>IF(W337&gt;$AE$34,1,0)</f>
        <v/>
      </c>
      <c r="AB337">
        <f>IF(AA337=C337,1,0)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$AE$12+D338*$AE$13+E338*$AE$14+F338*$AE$15+G338*$AE$16+H338*$AE$17+I338*$AE$18+J338*$AE$19+K338*$AE$20+L338*$AE$21+M338*$AE$22+N338*$AE$23+O338*$AE$24+P338*$AE$25+Q338*$AE$26+R338*$AE$27+S338*$AE$28+T338*$AE$29+U338*$AE$30</f>
        <v/>
      </c>
      <c r="W338" s="8">
        <f>1/(1+EXP(-V338))</f>
        <v/>
      </c>
      <c r="X338" s="9">
        <f>-IF(C338=1,LN(W338),LN(1-W338))</f>
        <v/>
      </c>
      <c r="Y338" s="8">
        <f>IF(C338=1,$AE$32,$AE$33)</f>
        <v/>
      </c>
      <c r="Z338" s="9">
        <f>Y338*X338</f>
        <v/>
      </c>
      <c r="AA338" s="10">
        <f>IF(W338&gt;$AE$34,1,0)</f>
        <v/>
      </c>
      <c r="AB338">
        <f>IF(AA338=C338,1,0)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$AE$12+D339*$AE$13+E339*$AE$14+F339*$AE$15+G339*$AE$16+H339*$AE$17+I339*$AE$18+J339*$AE$19+K339*$AE$20+L339*$AE$21+M339*$AE$22+N339*$AE$23+O339*$AE$24+P339*$AE$25+Q339*$AE$26+R339*$AE$27+S339*$AE$28+T339*$AE$29+U339*$AE$30</f>
        <v/>
      </c>
      <c r="W339" s="8">
        <f>1/(1+EXP(-V339))</f>
        <v/>
      </c>
      <c r="X339" s="9">
        <f>-IF(C339=1,LN(W339),LN(1-W339))</f>
        <v/>
      </c>
      <c r="Y339" s="8">
        <f>IF(C339=1,$AE$32,$AE$33)</f>
        <v/>
      </c>
      <c r="Z339" s="9">
        <f>Y339*X339</f>
        <v/>
      </c>
      <c r="AA339" s="10">
        <f>IF(W339&gt;$AE$34,1,0)</f>
        <v/>
      </c>
      <c r="AB339">
        <f>IF(AA339=C339,1,0)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$AE$12+D340*$AE$13+E340*$AE$14+F340*$AE$15+G340*$AE$16+H340*$AE$17+I340*$AE$18+J340*$AE$19+K340*$AE$20+L340*$AE$21+M340*$AE$22+N340*$AE$23+O340*$AE$24+P340*$AE$25+Q340*$AE$26+R340*$AE$27+S340*$AE$28+T340*$AE$29+U340*$AE$30</f>
        <v/>
      </c>
      <c r="W340" s="8">
        <f>1/(1+EXP(-V340))</f>
        <v/>
      </c>
      <c r="X340" s="9">
        <f>-IF(C340=1,LN(W340),LN(1-W340))</f>
        <v/>
      </c>
      <c r="Y340" s="8">
        <f>IF(C340=1,$AE$32,$AE$33)</f>
        <v/>
      </c>
      <c r="Z340" s="9">
        <f>Y340*X340</f>
        <v/>
      </c>
      <c r="AA340" s="10">
        <f>IF(W340&gt;$AE$34,1,0)</f>
        <v/>
      </c>
      <c r="AB340">
        <f>IF(AA340=C340,1,0)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$AE$12+D341*$AE$13+E341*$AE$14+F341*$AE$15+G341*$AE$16+H341*$AE$17+I341*$AE$18+J341*$AE$19+K341*$AE$20+L341*$AE$21+M341*$AE$22+N341*$AE$23+O341*$AE$24+P341*$AE$25+Q341*$AE$26+R341*$AE$27+S341*$AE$28+T341*$AE$29+U341*$AE$30</f>
        <v/>
      </c>
      <c r="W341" s="8">
        <f>1/(1+EXP(-V341))</f>
        <v/>
      </c>
      <c r="X341" s="9">
        <f>-IF(C341=1,LN(W341),LN(1-W341))</f>
        <v/>
      </c>
      <c r="Y341" s="8">
        <f>IF(C341=1,$AE$32,$AE$33)</f>
        <v/>
      </c>
      <c r="Z341" s="9">
        <f>Y341*X341</f>
        <v/>
      </c>
      <c r="AA341" s="10">
        <f>IF(W341&gt;$AE$34,1,0)</f>
        <v/>
      </c>
      <c r="AB341">
        <f>IF(AA341=C341,1,0)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$AE$12+D342*$AE$13+E342*$AE$14+F342*$AE$15+G342*$AE$16+H342*$AE$17+I342*$AE$18+J342*$AE$19+K342*$AE$20+L342*$AE$21+M342*$AE$22+N342*$AE$23+O342*$AE$24+P342*$AE$25+Q342*$AE$26+R342*$AE$27+S342*$AE$28+T342*$AE$29+U342*$AE$30</f>
        <v/>
      </c>
      <c r="W342" s="8">
        <f>1/(1+EXP(-V342))</f>
        <v/>
      </c>
      <c r="X342" s="9">
        <f>-IF(C342=1,LN(W342),LN(1-W342))</f>
        <v/>
      </c>
      <c r="Y342" s="8">
        <f>IF(C342=1,$AE$32,$AE$33)</f>
        <v/>
      </c>
      <c r="Z342" s="9">
        <f>Y342*X342</f>
        <v/>
      </c>
      <c r="AA342" s="10">
        <f>IF(W342&gt;$AE$34,1,0)</f>
        <v/>
      </c>
      <c r="AB342">
        <f>IF(AA342=C342,1,0)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$AE$12+D343*$AE$13+E343*$AE$14+F343*$AE$15+G343*$AE$16+H343*$AE$17+I343*$AE$18+J343*$AE$19+K343*$AE$20+L343*$AE$21+M343*$AE$22+N343*$AE$23+O343*$AE$24+P343*$AE$25+Q343*$AE$26+R343*$AE$27+S343*$AE$28+T343*$AE$29+U343*$AE$30</f>
        <v/>
      </c>
      <c r="W343" s="8">
        <f>1/(1+EXP(-V343))</f>
        <v/>
      </c>
      <c r="X343" s="9">
        <f>-IF(C343=1,LN(W343),LN(1-W343))</f>
        <v/>
      </c>
      <c r="Y343" s="8">
        <f>IF(C343=1,$AE$32,$AE$33)</f>
        <v/>
      </c>
      <c r="Z343" s="9">
        <f>Y343*X343</f>
        <v/>
      </c>
      <c r="AA343" s="10">
        <f>IF(W343&gt;$AE$34,1,0)</f>
        <v/>
      </c>
      <c r="AB343">
        <f>IF(AA343=C343,1,0)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$AE$12+D344*$AE$13+E344*$AE$14+F344*$AE$15+G344*$AE$16+H344*$AE$17+I344*$AE$18+J344*$AE$19+K344*$AE$20+L344*$AE$21+M344*$AE$22+N344*$AE$23+O344*$AE$24+P344*$AE$25+Q344*$AE$26+R344*$AE$27+S344*$AE$28+T344*$AE$29+U344*$AE$30</f>
        <v/>
      </c>
      <c r="W344" s="8">
        <f>1/(1+EXP(-V344))</f>
        <v/>
      </c>
      <c r="X344" s="9">
        <f>-IF(C344=1,LN(W344),LN(1-W344))</f>
        <v/>
      </c>
      <c r="Y344" s="8">
        <f>IF(C344=1,$AE$32,$AE$33)</f>
        <v/>
      </c>
      <c r="Z344" s="9">
        <f>Y344*X344</f>
        <v/>
      </c>
      <c r="AA344" s="10">
        <f>IF(W344&gt;$AE$34,1,0)</f>
        <v/>
      </c>
      <c r="AB344">
        <f>IF(AA344=C344,1,0)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$AE$12+D345*$AE$13+E345*$AE$14+F345*$AE$15+G345*$AE$16+H345*$AE$17+I345*$AE$18+J345*$AE$19+K345*$AE$20+L345*$AE$21+M345*$AE$22+N345*$AE$23+O345*$AE$24+P345*$AE$25+Q345*$AE$26+R345*$AE$27+S345*$AE$28+T345*$AE$29+U345*$AE$30</f>
        <v/>
      </c>
      <c r="W345" s="8">
        <f>1/(1+EXP(-V345))</f>
        <v/>
      </c>
      <c r="X345" s="9">
        <f>-IF(C345=1,LN(W345),LN(1-W345))</f>
        <v/>
      </c>
      <c r="Y345" s="8">
        <f>IF(C345=1,$AE$32,$AE$33)</f>
        <v/>
      </c>
      <c r="Z345" s="9">
        <f>Y345*X345</f>
        <v/>
      </c>
      <c r="AA345" s="10">
        <f>IF(W345&gt;$AE$34,1,0)</f>
        <v/>
      </c>
      <c r="AB345">
        <f>IF(AA345=C345,1,0)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$AE$12+D346*$AE$13+E346*$AE$14+F346*$AE$15+G346*$AE$16+H346*$AE$17+I346*$AE$18+J346*$AE$19+K346*$AE$20+L346*$AE$21+M346*$AE$22+N346*$AE$23+O346*$AE$24+P346*$AE$25+Q346*$AE$26+R346*$AE$27+S346*$AE$28+T346*$AE$29+U346*$AE$30</f>
        <v/>
      </c>
      <c r="W346" s="8">
        <f>1/(1+EXP(-V346))</f>
        <v/>
      </c>
      <c r="X346" s="9">
        <f>-IF(C346=1,LN(W346),LN(1-W346))</f>
        <v/>
      </c>
      <c r="Y346" s="8">
        <f>IF(C346=1,$AE$32,$AE$33)</f>
        <v/>
      </c>
      <c r="Z346" s="9">
        <f>Y346*X346</f>
        <v/>
      </c>
      <c r="AA346" s="10">
        <f>IF(W346&gt;$AE$34,1,0)</f>
        <v/>
      </c>
      <c r="AB346">
        <f>IF(AA346=C346,1,0)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$AE$12+D347*$AE$13+E347*$AE$14+F347*$AE$15+G347*$AE$16+H347*$AE$17+I347*$AE$18+J347*$AE$19+K347*$AE$20+L347*$AE$21+M347*$AE$22+N347*$AE$23+O347*$AE$24+P347*$AE$25+Q347*$AE$26+R347*$AE$27+S347*$AE$28+T347*$AE$29+U347*$AE$30</f>
        <v/>
      </c>
      <c r="W347" s="8">
        <f>1/(1+EXP(-V347))</f>
        <v/>
      </c>
      <c r="X347" s="9">
        <f>-IF(C347=1,LN(W347),LN(1-W347))</f>
        <v/>
      </c>
      <c r="Y347" s="8">
        <f>IF(C347=1,$AE$32,$AE$33)</f>
        <v/>
      </c>
      <c r="Z347" s="9">
        <f>Y347*X347</f>
        <v/>
      </c>
      <c r="AA347" s="10">
        <f>IF(W347&gt;$AE$34,1,0)</f>
        <v/>
      </c>
      <c r="AB347">
        <f>IF(AA347=C347,1,0)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$AE$12+D348*$AE$13+E348*$AE$14+F348*$AE$15+G348*$AE$16+H348*$AE$17+I348*$AE$18+J348*$AE$19+K348*$AE$20+L348*$AE$21+M348*$AE$22+N348*$AE$23+O348*$AE$24+P348*$AE$25+Q348*$AE$26+R348*$AE$27+S348*$AE$28+T348*$AE$29+U348*$AE$30</f>
        <v/>
      </c>
      <c r="W348" s="8">
        <f>1/(1+EXP(-V348))</f>
        <v/>
      </c>
      <c r="X348" s="9">
        <f>-IF(C348=1,LN(W348),LN(1-W348))</f>
        <v/>
      </c>
      <c r="Y348" s="8">
        <f>IF(C348=1,$AE$32,$AE$33)</f>
        <v/>
      </c>
      <c r="Z348" s="9">
        <f>Y348*X348</f>
        <v/>
      </c>
      <c r="AA348" s="10">
        <f>IF(W348&gt;$AE$34,1,0)</f>
        <v/>
      </c>
      <c r="AB348">
        <f>IF(AA348=C348,1,0)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$AE$12+D349*$AE$13+E349*$AE$14+F349*$AE$15+G349*$AE$16+H349*$AE$17+I349*$AE$18+J349*$AE$19+K349*$AE$20+L349*$AE$21+M349*$AE$22+N349*$AE$23+O349*$AE$24+P349*$AE$25+Q349*$AE$26+R349*$AE$27+S349*$AE$28+T349*$AE$29+U349*$AE$30</f>
        <v/>
      </c>
      <c r="W349" s="8">
        <f>1/(1+EXP(-V349))</f>
        <v/>
      </c>
      <c r="X349" s="9">
        <f>-IF(C349=1,LN(W349),LN(1-W349))</f>
        <v/>
      </c>
      <c r="Y349" s="8">
        <f>IF(C349=1,$AE$32,$AE$33)</f>
        <v/>
      </c>
      <c r="Z349" s="9">
        <f>Y349*X349</f>
        <v/>
      </c>
      <c r="AA349" s="10">
        <f>IF(W349&gt;$AE$34,1,0)</f>
        <v/>
      </c>
      <c r="AB349">
        <f>IF(AA349=C349,1,0)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$AE$12+D350*$AE$13+E350*$AE$14+F350*$AE$15+G350*$AE$16+H350*$AE$17+I350*$AE$18+J350*$AE$19+K350*$AE$20+L350*$AE$21+M350*$AE$22+N350*$AE$23+O350*$AE$24+P350*$AE$25+Q350*$AE$26+R350*$AE$27+S350*$AE$28+T350*$AE$29+U350*$AE$30</f>
        <v/>
      </c>
      <c r="W350" s="8">
        <f>1/(1+EXP(-V350))</f>
        <v/>
      </c>
      <c r="X350" s="9">
        <f>-IF(C350=1,LN(W350),LN(1-W350))</f>
        <v/>
      </c>
      <c r="Y350" s="8">
        <f>IF(C350=1,$AE$32,$AE$33)</f>
        <v/>
      </c>
      <c r="Z350" s="9">
        <f>Y350*X350</f>
        <v/>
      </c>
      <c r="AA350" s="10">
        <f>IF(W350&gt;$AE$34,1,0)</f>
        <v/>
      </c>
      <c r="AB350">
        <f>IF(AA350=C350,1,0)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$AE$12+D351*$AE$13+E351*$AE$14+F351*$AE$15+G351*$AE$16+H351*$AE$17+I351*$AE$18+J351*$AE$19+K351*$AE$20+L351*$AE$21+M351*$AE$22+N351*$AE$23+O351*$AE$24+P351*$AE$25+Q351*$AE$26+R351*$AE$27+S351*$AE$28+T351*$AE$29+U351*$AE$30</f>
        <v/>
      </c>
      <c r="W351" s="8">
        <f>1/(1+EXP(-V351))</f>
        <v/>
      </c>
      <c r="X351" s="9">
        <f>-IF(C351=1,LN(W351),LN(1-W351))</f>
        <v/>
      </c>
      <c r="Y351" s="8">
        <f>IF(C351=1,$AE$32,$AE$33)</f>
        <v/>
      </c>
      <c r="Z351" s="9">
        <f>Y351*X351</f>
        <v/>
      </c>
      <c r="AA351" s="10">
        <f>IF(W351&gt;$AE$34,1,0)</f>
        <v/>
      </c>
      <c r="AB351">
        <f>IF(AA351=C351,1,0)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$AE$12+D352*$AE$13+E352*$AE$14+F352*$AE$15+G352*$AE$16+H352*$AE$17+I352*$AE$18+J352*$AE$19+K352*$AE$20+L352*$AE$21+M352*$AE$22+N352*$AE$23+O352*$AE$24+P352*$AE$25+Q352*$AE$26+R352*$AE$27+S352*$AE$28+T352*$AE$29+U352*$AE$30</f>
        <v/>
      </c>
      <c r="W352" s="8">
        <f>1/(1+EXP(-V352))</f>
        <v/>
      </c>
      <c r="X352" s="9">
        <f>-IF(C352=1,LN(W352),LN(1-W352))</f>
        <v/>
      </c>
      <c r="Y352" s="8">
        <f>IF(C352=1,$AE$32,$AE$33)</f>
        <v/>
      </c>
      <c r="Z352" s="9">
        <f>Y352*X352</f>
        <v/>
      </c>
      <c r="AA352" s="10">
        <f>IF(W352&gt;$AE$34,1,0)</f>
        <v/>
      </c>
      <c r="AB352">
        <f>IF(AA352=C352,1,0)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$AE$12+D353*$AE$13+E353*$AE$14+F353*$AE$15+G353*$AE$16+H353*$AE$17+I353*$AE$18+J353*$AE$19+K353*$AE$20+L353*$AE$21+M353*$AE$22+N353*$AE$23+O353*$AE$24+P353*$AE$25+Q353*$AE$26+R353*$AE$27+S353*$AE$28+T353*$AE$29+U353*$AE$30</f>
        <v/>
      </c>
      <c r="W353" s="8">
        <f>1/(1+EXP(-V353))</f>
        <v/>
      </c>
      <c r="X353" s="9">
        <f>-IF(C353=1,LN(W353),LN(1-W353))</f>
        <v/>
      </c>
      <c r="Y353" s="8">
        <f>IF(C353=1,$AE$32,$AE$33)</f>
        <v/>
      </c>
      <c r="Z353" s="9">
        <f>Y353*X353</f>
        <v/>
      </c>
      <c r="AA353" s="10">
        <f>IF(W353&gt;$AE$34,1,0)</f>
        <v/>
      </c>
      <c r="AB353">
        <f>IF(AA353=C353,1,0)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$AE$12+D354*$AE$13+E354*$AE$14+F354*$AE$15+G354*$AE$16+H354*$AE$17+I354*$AE$18+J354*$AE$19+K354*$AE$20+L354*$AE$21+M354*$AE$22+N354*$AE$23+O354*$AE$24+P354*$AE$25+Q354*$AE$26+R354*$AE$27+S354*$AE$28+T354*$AE$29+U354*$AE$30</f>
        <v/>
      </c>
      <c r="W354" s="8">
        <f>1/(1+EXP(-V354))</f>
        <v/>
      </c>
      <c r="X354" s="9">
        <f>-IF(C354=1,LN(W354),LN(1-W354))</f>
        <v/>
      </c>
      <c r="Y354" s="8">
        <f>IF(C354=1,$AE$32,$AE$33)</f>
        <v/>
      </c>
      <c r="Z354" s="9">
        <f>Y354*X354</f>
        <v/>
      </c>
      <c r="AA354" s="10">
        <f>IF(W354&gt;$AE$34,1,0)</f>
        <v/>
      </c>
      <c r="AB354">
        <f>IF(AA354=C354,1,0)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$AE$12+D355*$AE$13+E355*$AE$14+F355*$AE$15+G355*$AE$16+H355*$AE$17+I355*$AE$18+J355*$AE$19+K355*$AE$20+L355*$AE$21+M355*$AE$22+N355*$AE$23+O355*$AE$24+P355*$AE$25+Q355*$AE$26+R355*$AE$27+S355*$AE$28+T355*$AE$29+U355*$AE$30</f>
        <v/>
      </c>
      <c r="W355" s="8">
        <f>1/(1+EXP(-V355))</f>
        <v/>
      </c>
      <c r="X355" s="9">
        <f>-IF(C355=1,LN(W355),LN(1-W355))</f>
        <v/>
      </c>
      <c r="Y355" s="8">
        <f>IF(C355=1,$AE$32,$AE$33)</f>
        <v/>
      </c>
      <c r="Z355" s="9">
        <f>Y355*X355</f>
        <v/>
      </c>
      <c r="AA355" s="10">
        <f>IF(W355&gt;$AE$34,1,0)</f>
        <v/>
      </c>
      <c r="AB355">
        <f>IF(AA355=C355,1,0)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$AE$12+D356*$AE$13+E356*$AE$14+F356*$AE$15+G356*$AE$16+H356*$AE$17+I356*$AE$18+J356*$AE$19+K356*$AE$20+L356*$AE$21+M356*$AE$22+N356*$AE$23+O356*$AE$24+P356*$AE$25+Q356*$AE$26+R356*$AE$27+S356*$AE$28+T356*$AE$29+U356*$AE$30</f>
        <v/>
      </c>
      <c r="W356" s="8">
        <f>1/(1+EXP(-V356))</f>
        <v/>
      </c>
      <c r="X356" s="9">
        <f>-IF(C356=1,LN(W356),LN(1-W356))</f>
        <v/>
      </c>
      <c r="Y356" s="8">
        <f>IF(C356=1,$AE$32,$AE$33)</f>
        <v/>
      </c>
      <c r="Z356" s="9">
        <f>Y356*X356</f>
        <v/>
      </c>
      <c r="AA356" s="10">
        <f>IF(W356&gt;$AE$34,1,0)</f>
        <v/>
      </c>
      <c r="AB356">
        <f>IF(AA356=C356,1,0)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$AE$12+D357*$AE$13+E357*$AE$14+F357*$AE$15+G357*$AE$16+H357*$AE$17+I357*$AE$18+J357*$AE$19+K357*$AE$20+L357*$AE$21+M357*$AE$22+N357*$AE$23+O357*$AE$24+P357*$AE$25+Q357*$AE$26+R357*$AE$27+S357*$AE$28+T357*$AE$29+U357*$AE$30</f>
        <v/>
      </c>
      <c r="W357" s="8">
        <f>1/(1+EXP(-V357))</f>
        <v/>
      </c>
      <c r="X357" s="9">
        <f>-IF(C357=1,LN(W357),LN(1-W357))</f>
        <v/>
      </c>
      <c r="Y357" s="8">
        <f>IF(C357=1,$AE$32,$AE$33)</f>
        <v/>
      </c>
      <c r="Z357" s="9">
        <f>Y357*X357</f>
        <v/>
      </c>
      <c r="AA357" s="10">
        <f>IF(W357&gt;$AE$34,1,0)</f>
        <v/>
      </c>
      <c r="AB357">
        <f>IF(AA357=C357,1,0)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$AE$12+D358*$AE$13+E358*$AE$14+F358*$AE$15+G358*$AE$16+H358*$AE$17+I358*$AE$18+J358*$AE$19+K358*$AE$20+L358*$AE$21+M358*$AE$22+N358*$AE$23+O358*$AE$24+P358*$AE$25+Q358*$AE$26+R358*$AE$27+S358*$AE$28+T358*$AE$29+U358*$AE$30</f>
        <v/>
      </c>
      <c r="W358" s="8">
        <f>1/(1+EXP(-V358))</f>
        <v/>
      </c>
      <c r="X358" s="9">
        <f>-IF(C358=1,LN(W358),LN(1-W358))</f>
        <v/>
      </c>
      <c r="Y358" s="8">
        <f>IF(C358=1,$AE$32,$AE$33)</f>
        <v/>
      </c>
      <c r="Z358" s="9">
        <f>Y358*X358</f>
        <v/>
      </c>
      <c r="AA358" s="10">
        <f>IF(W358&gt;$AE$34,1,0)</f>
        <v/>
      </c>
      <c r="AB358">
        <f>IF(AA358=C358,1,0)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$AE$12+D359*$AE$13+E359*$AE$14+F359*$AE$15+G359*$AE$16+H359*$AE$17+I359*$AE$18+J359*$AE$19+K359*$AE$20+L359*$AE$21+M359*$AE$22+N359*$AE$23+O359*$AE$24+P359*$AE$25+Q359*$AE$26+R359*$AE$27+S359*$AE$28+T359*$AE$29+U359*$AE$30</f>
        <v/>
      </c>
      <c r="W359" s="8">
        <f>1/(1+EXP(-V359))</f>
        <v/>
      </c>
      <c r="X359" s="9">
        <f>-IF(C359=1,LN(W359),LN(1-W359))</f>
        <v/>
      </c>
      <c r="Y359" s="8">
        <f>IF(C359=1,$AE$32,$AE$33)</f>
        <v/>
      </c>
      <c r="Z359" s="9">
        <f>Y359*X359</f>
        <v/>
      </c>
      <c r="AA359" s="10">
        <f>IF(W359&gt;$AE$34,1,0)</f>
        <v/>
      </c>
      <c r="AB359">
        <f>IF(AA359=C359,1,0)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$AE$12+D360*$AE$13+E360*$AE$14+F360*$AE$15+G360*$AE$16+H360*$AE$17+I360*$AE$18+J360*$AE$19+K360*$AE$20+L360*$AE$21+M360*$AE$22+N360*$AE$23+O360*$AE$24+P360*$AE$25+Q360*$AE$26+R360*$AE$27+S360*$AE$28+T360*$AE$29+U360*$AE$30</f>
        <v/>
      </c>
      <c r="W360" s="8">
        <f>1/(1+EXP(-V360))</f>
        <v/>
      </c>
      <c r="X360" s="9">
        <f>-IF(C360=1,LN(W360),LN(1-W360))</f>
        <v/>
      </c>
      <c r="Y360" s="8">
        <f>IF(C360=1,$AE$32,$AE$33)</f>
        <v/>
      </c>
      <c r="Z360" s="9">
        <f>Y360*X360</f>
        <v/>
      </c>
      <c r="AA360" s="10">
        <f>IF(W360&gt;$AE$34,1,0)</f>
        <v/>
      </c>
      <c r="AB360">
        <f>IF(AA360=C360,1,0)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$AE$12+D361*$AE$13+E361*$AE$14+F361*$AE$15+G361*$AE$16+H361*$AE$17+I361*$AE$18+J361*$AE$19+K361*$AE$20+L361*$AE$21+M361*$AE$22+N361*$AE$23+O361*$AE$24+P361*$AE$25+Q361*$AE$26+R361*$AE$27+S361*$AE$28+T361*$AE$29+U361*$AE$30</f>
        <v/>
      </c>
      <c r="W361" s="8">
        <f>1/(1+EXP(-V361))</f>
        <v/>
      </c>
      <c r="X361" s="9">
        <f>-IF(C361=1,LN(W361),LN(1-W361))</f>
        <v/>
      </c>
      <c r="Y361" s="8">
        <f>IF(C361=1,$AE$32,$AE$33)</f>
        <v/>
      </c>
      <c r="Z361" s="9">
        <f>Y361*X361</f>
        <v/>
      </c>
      <c r="AA361" s="10">
        <f>IF(W361&gt;$AE$34,1,0)</f>
        <v/>
      </c>
      <c r="AB361">
        <f>IF(AA361=C361,1,0)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$AE$12+D362*$AE$13+E362*$AE$14+F362*$AE$15+G362*$AE$16+H362*$AE$17+I362*$AE$18+J362*$AE$19+K362*$AE$20+L362*$AE$21+M362*$AE$22+N362*$AE$23+O362*$AE$24+P362*$AE$25+Q362*$AE$26+R362*$AE$27+S362*$AE$28+T362*$AE$29+U362*$AE$30</f>
        <v/>
      </c>
      <c r="W362" s="8">
        <f>1/(1+EXP(-V362))</f>
        <v/>
      </c>
      <c r="X362" s="9">
        <f>-IF(C362=1,LN(W362),LN(1-W362))</f>
        <v/>
      </c>
      <c r="Y362" s="8">
        <f>IF(C362=1,$AE$32,$AE$33)</f>
        <v/>
      </c>
      <c r="Z362" s="9">
        <f>Y362*X362</f>
        <v/>
      </c>
      <c r="AA362" s="10">
        <f>IF(W362&gt;$AE$34,1,0)</f>
        <v/>
      </c>
      <c r="AB362">
        <f>IF(AA362=C362,1,0)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$AE$12+D363*$AE$13+E363*$AE$14+F363*$AE$15+G363*$AE$16+H363*$AE$17+I363*$AE$18+J363*$AE$19+K363*$AE$20+L363*$AE$21+M363*$AE$22+N363*$AE$23+O363*$AE$24+P363*$AE$25+Q363*$AE$26+R363*$AE$27+S363*$AE$28+T363*$AE$29+U363*$AE$30</f>
        <v/>
      </c>
      <c r="W363" s="8">
        <f>1/(1+EXP(-V363))</f>
        <v/>
      </c>
      <c r="X363" s="9">
        <f>-IF(C363=1,LN(W363),LN(1-W363))</f>
        <v/>
      </c>
      <c r="Y363" s="8">
        <f>IF(C363=1,$AE$32,$AE$33)</f>
        <v/>
      </c>
      <c r="Z363" s="9">
        <f>Y363*X363</f>
        <v/>
      </c>
      <c r="AA363" s="10">
        <f>IF(W363&gt;$AE$34,1,0)</f>
        <v/>
      </c>
      <c r="AB363">
        <f>IF(AA363=C363,1,0)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$AE$12+D364*$AE$13+E364*$AE$14+F364*$AE$15+G364*$AE$16+H364*$AE$17+I364*$AE$18+J364*$AE$19+K364*$AE$20+L364*$AE$21+M364*$AE$22+N364*$AE$23+O364*$AE$24+P364*$AE$25+Q364*$AE$26+R364*$AE$27+S364*$AE$28+T364*$AE$29+U364*$AE$30</f>
        <v/>
      </c>
      <c r="W364" s="8">
        <f>1/(1+EXP(-V364))</f>
        <v/>
      </c>
      <c r="X364" s="9">
        <f>-IF(C364=1,LN(W364),LN(1-W364))</f>
        <v/>
      </c>
      <c r="Y364" s="8">
        <f>IF(C364=1,$AE$32,$AE$33)</f>
        <v/>
      </c>
      <c r="Z364" s="9">
        <f>Y364*X364</f>
        <v/>
      </c>
      <c r="AA364" s="10">
        <f>IF(W364&gt;$AE$34,1,0)</f>
        <v/>
      </c>
      <c r="AB364">
        <f>IF(AA364=C364,1,0)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$AE$12+D365*$AE$13+E365*$AE$14+F365*$AE$15+G365*$AE$16+H365*$AE$17+I365*$AE$18+J365*$AE$19+K365*$AE$20+L365*$AE$21+M365*$AE$22+N365*$AE$23+O365*$AE$24+P365*$AE$25+Q365*$AE$26+R365*$AE$27+S365*$AE$28+T365*$AE$29+U365*$AE$30</f>
        <v/>
      </c>
      <c r="W365" s="8">
        <f>1/(1+EXP(-V365))</f>
        <v/>
      </c>
      <c r="X365" s="9">
        <f>-IF(C365=1,LN(W365),LN(1-W365))</f>
        <v/>
      </c>
      <c r="Y365" s="8">
        <f>IF(C365=1,$AE$32,$AE$33)</f>
        <v/>
      </c>
      <c r="Z365" s="9">
        <f>Y365*X365</f>
        <v/>
      </c>
      <c r="AA365" s="10">
        <f>IF(W365&gt;$AE$34,1,0)</f>
        <v/>
      </c>
      <c r="AB365">
        <f>IF(AA365=C365,1,0)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$AE$12+D366*$AE$13+E366*$AE$14+F366*$AE$15+G366*$AE$16+H366*$AE$17+I366*$AE$18+J366*$AE$19+K366*$AE$20+L366*$AE$21+M366*$AE$22+N366*$AE$23+O366*$AE$24+P366*$AE$25+Q366*$AE$26+R366*$AE$27+S366*$AE$28+T366*$AE$29+U366*$AE$30</f>
        <v/>
      </c>
      <c r="W366" s="8">
        <f>1/(1+EXP(-V366))</f>
        <v/>
      </c>
      <c r="X366" s="9">
        <f>-IF(C366=1,LN(W366),LN(1-W366))</f>
        <v/>
      </c>
      <c r="Y366" s="8">
        <f>IF(C366=1,$AE$32,$AE$33)</f>
        <v/>
      </c>
      <c r="Z366" s="9">
        <f>Y366*X366</f>
        <v/>
      </c>
      <c r="AA366" s="10">
        <f>IF(W366&gt;$AE$34,1,0)</f>
        <v/>
      </c>
      <c r="AB366">
        <f>IF(AA366=C366,1,0)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$AE$12+D367*$AE$13+E367*$AE$14+F367*$AE$15+G367*$AE$16+H367*$AE$17+I367*$AE$18+J367*$AE$19+K367*$AE$20+L367*$AE$21+M367*$AE$22+N367*$AE$23+O367*$AE$24+P367*$AE$25+Q367*$AE$26+R367*$AE$27+S367*$AE$28+T367*$AE$29+U367*$AE$30</f>
        <v/>
      </c>
      <c r="W367" s="8">
        <f>1/(1+EXP(-V367))</f>
        <v/>
      </c>
      <c r="X367" s="9">
        <f>-IF(C367=1,LN(W367),LN(1-W367))</f>
        <v/>
      </c>
      <c r="Y367" s="8">
        <f>IF(C367=1,$AE$32,$AE$33)</f>
        <v/>
      </c>
      <c r="Z367" s="9">
        <f>Y367*X367</f>
        <v/>
      </c>
      <c r="AA367" s="10">
        <f>IF(W367&gt;$AE$34,1,0)</f>
        <v/>
      </c>
      <c r="AB367">
        <f>IF(AA367=C367,1,0)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$AE$12+D368*$AE$13+E368*$AE$14+F368*$AE$15+G368*$AE$16+H368*$AE$17+I368*$AE$18+J368*$AE$19+K368*$AE$20+L368*$AE$21+M368*$AE$22+N368*$AE$23+O368*$AE$24+P368*$AE$25+Q368*$AE$26+R368*$AE$27+S368*$AE$28+T368*$AE$29+U368*$AE$30</f>
        <v/>
      </c>
      <c r="W368" s="8">
        <f>1/(1+EXP(-V368))</f>
        <v/>
      </c>
      <c r="X368" s="9">
        <f>-IF(C368=1,LN(W368),LN(1-W368))</f>
        <v/>
      </c>
      <c r="Y368" s="8">
        <f>IF(C368=1,$AE$32,$AE$33)</f>
        <v/>
      </c>
      <c r="Z368" s="9">
        <f>Y368*X368</f>
        <v/>
      </c>
      <c r="AA368" s="10">
        <f>IF(W368&gt;$AE$34,1,0)</f>
        <v/>
      </c>
      <c r="AB368">
        <f>IF(AA368=C368,1,0)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$AE$12+D369*$AE$13+E369*$AE$14+F369*$AE$15+G369*$AE$16+H369*$AE$17+I369*$AE$18+J369*$AE$19+K369*$AE$20+L369*$AE$21+M369*$AE$22+N369*$AE$23+O369*$AE$24+P369*$AE$25+Q369*$AE$26+R369*$AE$27+S369*$AE$28+T369*$AE$29+U369*$AE$30</f>
        <v/>
      </c>
      <c r="W369" s="8">
        <f>1/(1+EXP(-V369))</f>
        <v/>
      </c>
      <c r="X369" s="9">
        <f>-IF(C369=1,LN(W369),LN(1-W369))</f>
        <v/>
      </c>
      <c r="Y369" s="8">
        <f>IF(C369=1,$AE$32,$AE$33)</f>
        <v/>
      </c>
      <c r="Z369" s="9">
        <f>Y369*X369</f>
        <v/>
      </c>
      <c r="AA369" s="10">
        <f>IF(W369&gt;$AE$34,1,0)</f>
        <v/>
      </c>
      <c r="AB369">
        <f>IF(AA369=C369,1,0)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$AE$12+D370*$AE$13+E370*$AE$14+F370*$AE$15+G370*$AE$16+H370*$AE$17+I370*$AE$18+J370*$AE$19+K370*$AE$20+L370*$AE$21+M370*$AE$22+N370*$AE$23+O370*$AE$24+P370*$AE$25+Q370*$AE$26+R370*$AE$27+S370*$AE$28+T370*$AE$29+U370*$AE$30</f>
        <v/>
      </c>
      <c r="W370" s="8">
        <f>1/(1+EXP(-V370))</f>
        <v/>
      </c>
      <c r="X370" s="9">
        <f>-IF(C370=1,LN(W370),LN(1-W370))</f>
        <v/>
      </c>
      <c r="Y370" s="8">
        <f>IF(C370=1,$AE$32,$AE$33)</f>
        <v/>
      </c>
      <c r="Z370" s="9">
        <f>Y370*X370</f>
        <v/>
      </c>
      <c r="AA370" s="10">
        <f>IF(W370&gt;$AE$34,1,0)</f>
        <v/>
      </c>
      <c r="AB370">
        <f>IF(AA370=C370,1,0)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$AE$12+D371*$AE$13+E371*$AE$14+F371*$AE$15+G371*$AE$16+H371*$AE$17+I371*$AE$18+J371*$AE$19+K371*$AE$20+L371*$AE$21+M371*$AE$22+N371*$AE$23+O371*$AE$24+P371*$AE$25+Q371*$AE$26+R371*$AE$27+S371*$AE$28+T371*$AE$29+U371*$AE$30</f>
        <v/>
      </c>
      <c r="W371" s="8">
        <f>1/(1+EXP(-V371))</f>
        <v/>
      </c>
      <c r="X371" s="9">
        <f>-IF(C371=1,LN(W371),LN(1-W371))</f>
        <v/>
      </c>
      <c r="Y371" s="8">
        <f>IF(C371=1,$AE$32,$AE$33)</f>
        <v/>
      </c>
      <c r="Z371" s="9">
        <f>Y371*X371</f>
        <v/>
      </c>
      <c r="AA371" s="10">
        <f>IF(W371&gt;$AE$34,1,0)</f>
        <v/>
      </c>
      <c r="AB371">
        <f>IF(AA371=C371,1,0)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$AE$12+D372*$AE$13+E372*$AE$14+F372*$AE$15+G372*$AE$16+H372*$AE$17+I372*$AE$18+J372*$AE$19+K372*$AE$20+L372*$AE$21+M372*$AE$22+N372*$AE$23+O372*$AE$24+P372*$AE$25+Q372*$AE$26+R372*$AE$27+S372*$AE$28+T372*$AE$29+U372*$AE$30</f>
        <v/>
      </c>
      <c r="W372" s="8">
        <f>1/(1+EXP(-V372))</f>
        <v/>
      </c>
      <c r="X372" s="9">
        <f>-IF(C372=1,LN(W372),LN(1-W372))</f>
        <v/>
      </c>
      <c r="Y372" s="8">
        <f>IF(C372=1,$AE$32,$AE$33)</f>
        <v/>
      </c>
      <c r="Z372" s="9">
        <f>Y372*X372</f>
        <v/>
      </c>
      <c r="AA372" s="10">
        <f>IF(W372&gt;$AE$34,1,0)</f>
        <v/>
      </c>
      <c r="AB372">
        <f>IF(AA372=C372,1,0)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$AE$12+D373*$AE$13+E373*$AE$14+F373*$AE$15+G373*$AE$16+H373*$AE$17+I373*$AE$18+J373*$AE$19+K373*$AE$20+L373*$AE$21+M373*$AE$22+N373*$AE$23+O373*$AE$24+P373*$AE$25+Q373*$AE$26+R373*$AE$27+S373*$AE$28+T373*$AE$29+U373*$AE$30</f>
        <v/>
      </c>
      <c r="W373" s="8">
        <f>1/(1+EXP(-V373))</f>
        <v/>
      </c>
      <c r="X373" s="9">
        <f>-IF(C373=1,LN(W373),LN(1-W373))</f>
        <v/>
      </c>
      <c r="Y373" s="8">
        <f>IF(C373=1,$AE$32,$AE$33)</f>
        <v/>
      </c>
      <c r="Z373" s="9">
        <f>Y373*X373</f>
        <v/>
      </c>
      <c r="AA373" s="10">
        <f>IF(W373&gt;$AE$34,1,0)</f>
        <v/>
      </c>
      <c r="AB373">
        <f>IF(AA373=C373,1,0)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$AE$12+D374*$AE$13+E374*$AE$14+F374*$AE$15+G374*$AE$16+H374*$AE$17+I374*$AE$18+J374*$AE$19+K374*$AE$20+L374*$AE$21+M374*$AE$22+N374*$AE$23+O374*$AE$24+P374*$AE$25+Q374*$AE$26+R374*$AE$27+S374*$AE$28+T374*$AE$29+U374*$AE$30</f>
        <v/>
      </c>
      <c r="W374" s="8">
        <f>1/(1+EXP(-V374))</f>
        <v/>
      </c>
      <c r="X374" s="9">
        <f>-IF(C374=1,LN(W374),LN(1-W374))</f>
        <v/>
      </c>
      <c r="Y374" s="8">
        <f>IF(C374=1,$AE$32,$AE$33)</f>
        <v/>
      </c>
      <c r="Z374" s="9">
        <f>Y374*X374</f>
        <v/>
      </c>
      <c r="AA374" s="10">
        <f>IF(W374&gt;$AE$34,1,0)</f>
        <v/>
      </c>
      <c r="AB374">
        <f>IF(AA374=C374,1,0)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$AE$12+D375*$AE$13+E375*$AE$14+F375*$AE$15+G375*$AE$16+H375*$AE$17+I375*$AE$18+J375*$AE$19+K375*$AE$20+L375*$AE$21+M375*$AE$22+N375*$AE$23+O375*$AE$24+P375*$AE$25+Q375*$AE$26+R375*$AE$27+S375*$AE$28+T375*$AE$29+U375*$AE$30</f>
        <v/>
      </c>
      <c r="W375" s="8">
        <f>1/(1+EXP(-V375))</f>
        <v/>
      </c>
      <c r="X375" s="9">
        <f>-IF(C375=1,LN(W375),LN(1-W375))</f>
        <v/>
      </c>
      <c r="Y375" s="8">
        <f>IF(C375=1,$AE$32,$AE$33)</f>
        <v/>
      </c>
      <c r="Z375" s="9">
        <f>Y375*X375</f>
        <v/>
      </c>
      <c r="AA375" s="10">
        <f>IF(W375&gt;$AE$34,1,0)</f>
        <v/>
      </c>
      <c r="AB375">
        <f>IF(AA375=C375,1,0)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$AE$12+D376*$AE$13+E376*$AE$14+F376*$AE$15+G376*$AE$16+H376*$AE$17+I376*$AE$18+J376*$AE$19+K376*$AE$20+L376*$AE$21+M376*$AE$22+N376*$AE$23+O376*$AE$24+P376*$AE$25+Q376*$AE$26+R376*$AE$27+S376*$AE$28+T376*$AE$29+U376*$AE$30</f>
        <v/>
      </c>
      <c r="W376" s="8">
        <f>1/(1+EXP(-V376))</f>
        <v/>
      </c>
      <c r="X376" s="9">
        <f>-IF(C376=1,LN(W376),LN(1-W376))</f>
        <v/>
      </c>
      <c r="Y376" s="8">
        <f>IF(C376=1,$AE$32,$AE$33)</f>
        <v/>
      </c>
      <c r="Z376" s="9">
        <f>Y376*X376</f>
        <v/>
      </c>
      <c r="AA376" s="10">
        <f>IF(W376&gt;$AE$34,1,0)</f>
        <v/>
      </c>
      <c r="AB376">
        <f>IF(AA376=C376,1,0)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$AE$12+D377*$AE$13+E377*$AE$14+F377*$AE$15+G377*$AE$16+H377*$AE$17+I377*$AE$18+J377*$AE$19+K377*$AE$20+L377*$AE$21+M377*$AE$22+N377*$AE$23+O377*$AE$24+P377*$AE$25+Q377*$AE$26+R377*$AE$27+S377*$AE$28+T377*$AE$29+U377*$AE$30</f>
        <v/>
      </c>
      <c r="W377" s="8">
        <f>1/(1+EXP(-V377))</f>
        <v/>
      </c>
      <c r="X377" s="9">
        <f>-IF(C377=1,LN(W377),LN(1-W377))</f>
        <v/>
      </c>
      <c r="Y377" s="8">
        <f>IF(C377=1,$AE$32,$AE$33)</f>
        <v/>
      </c>
      <c r="Z377" s="9">
        <f>Y377*X377</f>
        <v/>
      </c>
      <c r="AA377" s="10">
        <f>IF(W377&gt;$AE$34,1,0)</f>
        <v/>
      </c>
      <c r="AB377">
        <f>IF(AA377=C377,1,0)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$AE$12+D378*$AE$13+E378*$AE$14+F378*$AE$15+G378*$AE$16+H378*$AE$17+I378*$AE$18+J378*$AE$19+K378*$AE$20+L378*$AE$21+M378*$AE$22+N378*$AE$23+O378*$AE$24+P378*$AE$25+Q378*$AE$26+R378*$AE$27+S378*$AE$28+T378*$AE$29+U378*$AE$30</f>
        <v/>
      </c>
      <c r="W378" s="8">
        <f>1/(1+EXP(-V378))</f>
        <v/>
      </c>
      <c r="X378" s="9">
        <f>-IF(C378=1,LN(W378),LN(1-W378))</f>
        <v/>
      </c>
      <c r="Y378" s="8">
        <f>IF(C378=1,$AE$32,$AE$33)</f>
        <v/>
      </c>
      <c r="Z378" s="9">
        <f>Y378*X378</f>
        <v/>
      </c>
      <c r="AA378" s="10">
        <f>IF(W378&gt;$AE$34,1,0)</f>
        <v/>
      </c>
      <c r="AB378">
        <f>IF(AA378=C378,1,0)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$AE$12+D379*$AE$13+E379*$AE$14+F379*$AE$15+G379*$AE$16+H379*$AE$17+I379*$AE$18+J379*$AE$19+K379*$AE$20+L379*$AE$21+M379*$AE$22+N379*$AE$23+O379*$AE$24+P379*$AE$25+Q379*$AE$26+R379*$AE$27+S379*$AE$28+T379*$AE$29+U379*$AE$30</f>
        <v/>
      </c>
      <c r="W379" s="8">
        <f>1/(1+EXP(-V379))</f>
        <v/>
      </c>
      <c r="X379" s="9">
        <f>-IF(C379=1,LN(W379),LN(1-W379))</f>
        <v/>
      </c>
      <c r="Y379" s="8">
        <f>IF(C379=1,$AE$32,$AE$33)</f>
        <v/>
      </c>
      <c r="Z379" s="9">
        <f>Y379*X379</f>
        <v/>
      </c>
      <c r="AA379" s="10">
        <f>IF(W379&gt;$AE$34,1,0)</f>
        <v/>
      </c>
      <c r="AB379">
        <f>IF(AA379=C379,1,0)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$AE$12+D380*$AE$13+E380*$AE$14+F380*$AE$15+G380*$AE$16+H380*$AE$17+I380*$AE$18+J380*$AE$19+K380*$AE$20+L380*$AE$21+M380*$AE$22+N380*$AE$23+O380*$AE$24+P380*$AE$25+Q380*$AE$26+R380*$AE$27+S380*$AE$28+T380*$AE$29+U380*$AE$30</f>
        <v/>
      </c>
      <c r="W380" s="8">
        <f>1/(1+EXP(-V380))</f>
        <v/>
      </c>
      <c r="X380" s="9">
        <f>-IF(C380=1,LN(W380),LN(1-W380))</f>
        <v/>
      </c>
      <c r="Y380" s="8">
        <f>IF(C380=1,$AE$32,$AE$33)</f>
        <v/>
      </c>
      <c r="Z380" s="9">
        <f>Y380*X380</f>
        <v/>
      </c>
      <c r="AA380" s="10">
        <f>IF(W380&gt;$AE$34,1,0)</f>
        <v/>
      </c>
      <c r="AB380">
        <f>IF(AA380=C380,1,0)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$AE$12+D381*$AE$13+E381*$AE$14+F381*$AE$15+G381*$AE$16+H381*$AE$17+I381*$AE$18+J381*$AE$19+K381*$AE$20+L381*$AE$21+M381*$AE$22+N381*$AE$23+O381*$AE$24+P381*$AE$25+Q381*$AE$26+R381*$AE$27+S381*$AE$28+T381*$AE$29+U381*$AE$30</f>
        <v/>
      </c>
      <c r="W381" s="8">
        <f>1/(1+EXP(-V381))</f>
        <v/>
      </c>
      <c r="X381" s="9">
        <f>-IF(C381=1,LN(W381),LN(1-W381))</f>
        <v/>
      </c>
      <c r="Y381" s="8">
        <f>IF(C381=1,$AE$32,$AE$33)</f>
        <v/>
      </c>
      <c r="Z381" s="9">
        <f>Y381*X381</f>
        <v/>
      </c>
      <c r="AA381" s="10">
        <f>IF(W381&gt;$AE$34,1,0)</f>
        <v/>
      </c>
      <c r="AB381">
        <f>IF(AA381=C381,1,0)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$AE$12+D382*$AE$13+E382*$AE$14+F382*$AE$15+G382*$AE$16+H382*$AE$17+I382*$AE$18+J382*$AE$19+K382*$AE$20+L382*$AE$21+M382*$AE$22+N382*$AE$23+O382*$AE$24+P382*$AE$25+Q382*$AE$26+R382*$AE$27+S382*$AE$28+T382*$AE$29+U382*$AE$30</f>
        <v/>
      </c>
      <c r="W382" s="8">
        <f>1/(1+EXP(-V382))</f>
        <v/>
      </c>
      <c r="X382" s="9">
        <f>-IF(C382=1,LN(W382),LN(1-W382))</f>
        <v/>
      </c>
      <c r="Y382" s="8">
        <f>IF(C382=1,$AE$32,$AE$33)</f>
        <v/>
      </c>
      <c r="Z382" s="9">
        <f>Y382*X382</f>
        <v/>
      </c>
      <c r="AA382" s="10">
        <f>IF(W382&gt;$AE$34,1,0)</f>
        <v/>
      </c>
      <c r="AB382">
        <f>IF(AA382=C382,1,0)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$AE$12+D383*$AE$13+E383*$AE$14+F383*$AE$15+G383*$AE$16+H383*$AE$17+I383*$AE$18+J383*$AE$19+K383*$AE$20+L383*$AE$21+M383*$AE$22+N383*$AE$23+O383*$AE$24+P383*$AE$25+Q383*$AE$26+R383*$AE$27+S383*$AE$28+T383*$AE$29+U383*$AE$30</f>
        <v/>
      </c>
      <c r="W383" s="8">
        <f>1/(1+EXP(-V383))</f>
        <v/>
      </c>
      <c r="X383" s="9">
        <f>-IF(C383=1,LN(W383),LN(1-W383))</f>
        <v/>
      </c>
      <c r="Y383" s="8">
        <f>IF(C383=1,$AE$32,$AE$33)</f>
        <v/>
      </c>
      <c r="Z383" s="9">
        <f>Y383*X383</f>
        <v/>
      </c>
      <c r="AA383" s="10">
        <f>IF(W383&gt;$AE$34,1,0)</f>
        <v/>
      </c>
      <c r="AB383">
        <f>IF(AA383=C383,1,0)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$AE$12+D384*$AE$13+E384*$AE$14+F384*$AE$15+G384*$AE$16+H384*$AE$17+I384*$AE$18+J384*$AE$19+K384*$AE$20+L384*$AE$21+M384*$AE$22+N384*$AE$23+O384*$AE$24+P384*$AE$25+Q384*$AE$26+R384*$AE$27+S384*$AE$28+T384*$AE$29+U384*$AE$30</f>
        <v/>
      </c>
      <c r="W384" s="8">
        <f>1/(1+EXP(-V384))</f>
        <v/>
      </c>
      <c r="X384" s="9">
        <f>-IF(C384=1,LN(W384),LN(1-W384))</f>
        <v/>
      </c>
      <c r="Y384" s="8">
        <f>IF(C384=1,$AE$32,$AE$33)</f>
        <v/>
      </c>
      <c r="Z384" s="9">
        <f>Y384*X384</f>
        <v/>
      </c>
      <c r="AA384" s="10">
        <f>IF(W384&gt;$AE$34,1,0)</f>
        <v/>
      </c>
      <c r="AB384">
        <f>IF(AA384=C384,1,0)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$AE$12+D385*$AE$13+E385*$AE$14+F385*$AE$15+G385*$AE$16+H385*$AE$17+I385*$AE$18+J385*$AE$19+K385*$AE$20+L385*$AE$21+M385*$AE$22+N385*$AE$23+O385*$AE$24+P385*$AE$25+Q385*$AE$26+R385*$AE$27+S385*$AE$28+T385*$AE$29+U385*$AE$30</f>
        <v/>
      </c>
      <c r="W385" s="8">
        <f>1/(1+EXP(-V385))</f>
        <v/>
      </c>
      <c r="X385" s="9">
        <f>-IF(C385=1,LN(W385),LN(1-W385))</f>
        <v/>
      </c>
      <c r="Y385" s="8">
        <f>IF(C385=1,$AE$32,$AE$33)</f>
        <v/>
      </c>
      <c r="Z385" s="9">
        <f>Y385*X385</f>
        <v/>
      </c>
      <c r="AA385" s="10">
        <f>IF(W385&gt;$AE$34,1,0)</f>
        <v/>
      </c>
      <c r="AB385">
        <f>IF(AA385=C385,1,0)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$AE$12+D386*$AE$13+E386*$AE$14+F386*$AE$15+G386*$AE$16+H386*$AE$17+I386*$AE$18+J386*$AE$19+K386*$AE$20+L386*$AE$21+M386*$AE$22+N386*$AE$23+O386*$AE$24+P386*$AE$25+Q386*$AE$26+R386*$AE$27+S386*$AE$28+T386*$AE$29+U386*$AE$30</f>
        <v/>
      </c>
      <c r="W386" s="8">
        <f>1/(1+EXP(-V386))</f>
        <v/>
      </c>
      <c r="X386" s="9">
        <f>-IF(C386=1,LN(W386),LN(1-W386))</f>
        <v/>
      </c>
      <c r="Y386" s="8">
        <f>IF(C386=1,$AE$32,$AE$33)</f>
        <v/>
      </c>
      <c r="Z386" s="9">
        <f>Y386*X386</f>
        <v/>
      </c>
      <c r="AA386" s="10">
        <f>IF(W386&gt;$AE$34,1,0)</f>
        <v/>
      </c>
      <c r="AB386">
        <f>IF(AA386=C386,1,0)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$AE$12+D387*$AE$13+E387*$AE$14+F387*$AE$15+G387*$AE$16+H387*$AE$17+I387*$AE$18+J387*$AE$19+K387*$AE$20+L387*$AE$21+M387*$AE$22+N387*$AE$23+O387*$AE$24+P387*$AE$25+Q387*$AE$26+R387*$AE$27+S387*$AE$28+T387*$AE$29+U387*$AE$30</f>
        <v/>
      </c>
      <c r="W387" s="8">
        <f>1/(1+EXP(-V387))</f>
        <v/>
      </c>
      <c r="X387" s="9">
        <f>-IF(C387=1,LN(W387),LN(1-W387))</f>
        <v/>
      </c>
      <c r="Y387" s="8">
        <f>IF(C387=1,$AE$32,$AE$33)</f>
        <v/>
      </c>
      <c r="Z387" s="9">
        <f>Y387*X387</f>
        <v/>
      </c>
      <c r="AA387" s="10">
        <f>IF(W387&gt;$AE$34,1,0)</f>
        <v/>
      </c>
      <c r="AB387">
        <f>IF(AA387=C387,1,0)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$AE$12+D388*$AE$13+E388*$AE$14+F388*$AE$15+G388*$AE$16+H388*$AE$17+I388*$AE$18+J388*$AE$19+K388*$AE$20+L388*$AE$21+M388*$AE$22+N388*$AE$23+O388*$AE$24+P388*$AE$25+Q388*$AE$26+R388*$AE$27+S388*$AE$28+T388*$AE$29+U388*$AE$30</f>
        <v/>
      </c>
      <c r="W388" s="8">
        <f>1/(1+EXP(-V388))</f>
        <v/>
      </c>
      <c r="X388" s="9">
        <f>-IF(C388=1,LN(W388),LN(1-W388))</f>
        <v/>
      </c>
      <c r="Y388" s="8">
        <f>IF(C388=1,$AE$32,$AE$33)</f>
        <v/>
      </c>
      <c r="Z388" s="9">
        <f>Y388*X388</f>
        <v/>
      </c>
      <c r="AA388" s="10">
        <f>IF(W388&gt;$AE$34,1,0)</f>
        <v/>
      </c>
      <c r="AB388">
        <f>IF(AA388=C388,1,0)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$AE$12+D389*$AE$13+E389*$AE$14+F389*$AE$15+G389*$AE$16+H389*$AE$17+I389*$AE$18+J389*$AE$19+K389*$AE$20+L389*$AE$21+M389*$AE$22+N389*$AE$23+O389*$AE$24+P389*$AE$25+Q389*$AE$26+R389*$AE$27+S389*$AE$28+T389*$AE$29+U389*$AE$30</f>
        <v/>
      </c>
      <c r="W389" s="8">
        <f>1/(1+EXP(-V389))</f>
        <v/>
      </c>
      <c r="X389" s="9">
        <f>-IF(C389=1,LN(W389),LN(1-W389))</f>
        <v/>
      </c>
      <c r="Y389" s="8">
        <f>IF(C389=1,$AE$32,$AE$33)</f>
        <v/>
      </c>
      <c r="Z389" s="9">
        <f>Y389*X389</f>
        <v/>
      </c>
      <c r="AA389" s="10">
        <f>IF(W389&gt;$AE$34,1,0)</f>
        <v/>
      </c>
      <c r="AB389">
        <f>IF(AA389=C389,1,0)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$AE$12+D390*$AE$13+E390*$AE$14+F390*$AE$15+G390*$AE$16+H390*$AE$17+I390*$AE$18+J390*$AE$19+K390*$AE$20+L390*$AE$21+M390*$AE$22+N390*$AE$23+O390*$AE$24+P390*$AE$25+Q390*$AE$26+R390*$AE$27+S390*$AE$28+T390*$AE$29+U390*$AE$30</f>
        <v/>
      </c>
      <c r="W390" s="8">
        <f>1/(1+EXP(-V390))</f>
        <v/>
      </c>
      <c r="X390" s="9">
        <f>-IF(C390=1,LN(W390),LN(1-W390))</f>
        <v/>
      </c>
      <c r="Y390" s="8">
        <f>IF(C390=1,$AE$32,$AE$33)</f>
        <v/>
      </c>
      <c r="Z390" s="9">
        <f>Y390*X390</f>
        <v/>
      </c>
      <c r="AA390" s="10">
        <f>IF(W390&gt;$AE$34,1,0)</f>
        <v/>
      </c>
      <c r="AB390">
        <f>IF(AA390=C390,1,0)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$AE$12+D391*$AE$13+E391*$AE$14+F391*$AE$15+G391*$AE$16+H391*$AE$17+I391*$AE$18+J391*$AE$19+K391*$AE$20+L391*$AE$21+M391*$AE$22+N391*$AE$23+O391*$AE$24+P391*$AE$25+Q391*$AE$26+R391*$AE$27+S391*$AE$28+T391*$AE$29+U391*$AE$30</f>
        <v/>
      </c>
      <c r="W391" s="8">
        <f>1/(1+EXP(-V391))</f>
        <v/>
      </c>
      <c r="X391" s="9">
        <f>-IF(C391=1,LN(W391),LN(1-W391))</f>
        <v/>
      </c>
      <c r="Y391" s="8">
        <f>IF(C391=1,$AE$32,$AE$33)</f>
        <v/>
      </c>
      <c r="Z391" s="9">
        <f>Y391*X391</f>
        <v/>
      </c>
      <c r="AA391" s="10">
        <f>IF(W391&gt;$AE$34,1,0)</f>
        <v/>
      </c>
      <c r="AB391">
        <f>IF(AA391=C391,1,0)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$AE$12+D392*$AE$13+E392*$AE$14+F392*$AE$15+G392*$AE$16+H392*$AE$17+I392*$AE$18+J392*$AE$19+K392*$AE$20+L392*$AE$21+M392*$AE$22+N392*$AE$23+O392*$AE$24+P392*$AE$25+Q392*$AE$26+R392*$AE$27+S392*$AE$28+T392*$AE$29+U392*$AE$30</f>
        <v/>
      </c>
      <c r="W392" s="8">
        <f>1/(1+EXP(-V392))</f>
        <v/>
      </c>
      <c r="X392" s="9">
        <f>-IF(C392=1,LN(W392),LN(1-W392))</f>
        <v/>
      </c>
      <c r="Y392" s="8">
        <f>IF(C392=1,$AE$32,$AE$33)</f>
        <v/>
      </c>
      <c r="Z392" s="9">
        <f>Y392*X392</f>
        <v/>
      </c>
      <c r="AA392" s="10">
        <f>IF(W392&gt;$AE$34,1,0)</f>
        <v/>
      </c>
      <c r="AB392">
        <f>IF(AA392=C392,1,0)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$AE$12+D393*$AE$13+E393*$AE$14+F393*$AE$15+G393*$AE$16+H393*$AE$17+I393*$AE$18+J393*$AE$19+K393*$AE$20+L393*$AE$21+M393*$AE$22+N393*$AE$23+O393*$AE$24+P393*$AE$25+Q393*$AE$26+R393*$AE$27+S393*$AE$28+T393*$AE$29+U393*$AE$30</f>
        <v/>
      </c>
      <c r="W393" s="8">
        <f>1/(1+EXP(-V393))</f>
        <v/>
      </c>
      <c r="X393" s="9">
        <f>-IF(C393=1,LN(W393),LN(1-W393))</f>
        <v/>
      </c>
      <c r="Y393" s="8">
        <f>IF(C393=1,$AE$32,$AE$33)</f>
        <v/>
      </c>
      <c r="Z393" s="9">
        <f>Y393*X393</f>
        <v/>
      </c>
      <c r="AA393" s="10">
        <f>IF(W393&gt;$AE$34,1,0)</f>
        <v/>
      </c>
      <c r="AB393">
        <f>IF(AA393=C393,1,0)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$AE$12+D394*$AE$13+E394*$AE$14+F394*$AE$15+G394*$AE$16+H394*$AE$17+I394*$AE$18+J394*$AE$19+K394*$AE$20+L394*$AE$21+M394*$AE$22+N394*$AE$23+O394*$AE$24+P394*$AE$25+Q394*$AE$26+R394*$AE$27+S394*$AE$28+T394*$AE$29+U394*$AE$30</f>
        <v/>
      </c>
      <c r="W394" s="8">
        <f>1/(1+EXP(-V394))</f>
        <v/>
      </c>
      <c r="X394" s="9">
        <f>-IF(C394=1,LN(W394),LN(1-W394))</f>
        <v/>
      </c>
      <c r="Y394" s="8">
        <f>IF(C394=1,$AE$32,$AE$33)</f>
        <v/>
      </c>
      <c r="Z394" s="9">
        <f>Y394*X394</f>
        <v/>
      </c>
      <c r="AA394" s="10">
        <f>IF(W394&gt;$AE$34,1,0)</f>
        <v/>
      </c>
      <c r="AB394">
        <f>IF(AA394=C394,1,0)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$AE$12+D395*$AE$13+E395*$AE$14+F395*$AE$15+G395*$AE$16+H395*$AE$17+I395*$AE$18+J395*$AE$19+K395*$AE$20+L395*$AE$21+M395*$AE$22+N395*$AE$23+O395*$AE$24+P395*$AE$25+Q395*$AE$26+R395*$AE$27+S395*$AE$28+T395*$AE$29+U395*$AE$30</f>
        <v/>
      </c>
      <c r="W395" s="8">
        <f>1/(1+EXP(-V395))</f>
        <v/>
      </c>
      <c r="X395" s="9">
        <f>-IF(C395=1,LN(W395),LN(1-W395))</f>
        <v/>
      </c>
      <c r="Y395" s="8">
        <f>IF(C395=1,$AE$32,$AE$33)</f>
        <v/>
      </c>
      <c r="Z395" s="9">
        <f>Y395*X395</f>
        <v/>
      </c>
      <c r="AA395" s="10">
        <f>IF(W395&gt;$AE$34,1,0)</f>
        <v/>
      </c>
      <c r="AB395">
        <f>IF(AA395=C395,1,0)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$AE$12+D396*$AE$13+E396*$AE$14+F396*$AE$15+G396*$AE$16+H396*$AE$17+I396*$AE$18+J396*$AE$19+K396*$AE$20+L396*$AE$21+M396*$AE$22+N396*$AE$23+O396*$AE$24+P396*$AE$25+Q396*$AE$26+R396*$AE$27+S396*$AE$28+T396*$AE$29+U396*$AE$30</f>
        <v/>
      </c>
      <c r="W396" s="8">
        <f>1/(1+EXP(-V396))</f>
        <v/>
      </c>
      <c r="X396" s="9">
        <f>-IF(C396=1,LN(W396),LN(1-W396))</f>
        <v/>
      </c>
      <c r="Y396" s="8">
        <f>IF(C396=1,$AE$32,$AE$33)</f>
        <v/>
      </c>
      <c r="Z396" s="9">
        <f>Y396*X396</f>
        <v/>
      </c>
      <c r="AA396" s="10">
        <f>IF(W396&gt;$AE$34,1,0)</f>
        <v/>
      </c>
      <c r="AB396">
        <f>IF(AA396=C396,1,0)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$AE$12+D397*$AE$13+E397*$AE$14+F397*$AE$15+G397*$AE$16+H397*$AE$17+I397*$AE$18+J397*$AE$19+K397*$AE$20+L397*$AE$21+M397*$AE$22+N397*$AE$23+O397*$AE$24+P397*$AE$25+Q397*$AE$26+R397*$AE$27+S397*$AE$28+T397*$AE$29+U397*$AE$30</f>
        <v/>
      </c>
      <c r="W397" s="8">
        <f>1/(1+EXP(-V397))</f>
        <v/>
      </c>
      <c r="X397" s="9">
        <f>-IF(C397=1,LN(W397),LN(1-W397))</f>
        <v/>
      </c>
      <c r="Y397" s="8">
        <f>IF(C397=1,$AE$32,$AE$33)</f>
        <v/>
      </c>
      <c r="Z397" s="9">
        <f>Y397*X397</f>
        <v/>
      </c>
      <c r="AA397" s="10">
        <f>IF(W397&gt;$AE$34,1,0)</f>
        <v/>
      </c>
      <c r="AB397">
        <f>IF(AA397=C397,1,0)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$AE$12+D398*$AE$13+E398*$AE$14+F398*$AE$15+G398*$AE$16+H398*$AE$17+I398*$AE$18+J398*$AE$19+K398*$AE$20+L398*$AE$21+M398*$AE$22+N398*$AE$23+O398*$AE$24+P398*$AE$25+Q398*$AE$26+R398*$AE$27+S398*$AE$28+T398*$AE$29+U398*$AE$30</f>
        <v/>
      </c>
      <c r="W398" s="8">
        <f>1/(1+EXP(-V398))</f>
        <v/>
      </c>
      <c r="X398" s="9">
        <f>-IF(C398=1,LN(W398),LN(1-W398))</f>
        <v/>
      </c>
      <c r="Y398" s="8">
        <f>IF(C398=1,$AE$32,$AE$33)</f>
        <v/>
      </c>
      <c r="Z398" s="9">
        <f>Y398*X398</f>
        <v/>
      </c>
      <c r="AA398" s="10">
        <f>IF(W398&gt;$AE$34,1,0)</f>
        <v/>
      </c>
      <c r="AB398">
        <f>IF(AA398=C398,1,0)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$AE$12+D399*$AE$13+E399*$AE$14+F399*$AE$15+G399*$AE$16+H399*$AE$17+I399*$AE$18+J399*$AE$19+K399*$AE$20+L399*$AE$21+M399*$AE$22+N399*$AE$23+O399*$AE$24+P399*$AE$25+Q399*$AE$26+R399*$AE$27+S399*$AE$28+T399*$AE$29+U399*$AE$30</f>
        <v/>
      </c>
      <c r="W399" s="8">
        <f>1/(1+EXP(-V399))</f>
        <v/>
      </c>
      <c r="X399" s="9">
        <f>-IF(C399=1,LN(W399),LN(1-W399))</f>
        <v/>
      </c>
      <c r="Y399" s="8">
        <f>IF(C399=1,$AE$32,$AE$33)</f>
        <v/>
      </c>
      <c r="Z399" s="9">
        <f>Y399*X399</f>
        <v/>
      </c>
      <c r="AA399" s="10">
        <f>IF(W399&gt;$AE$34,1,0)</f>
        <v/>
      </c>
      <c r="AB399">
        <f>IF(AA399=C399,1,0)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$AE$12+D400*$AE$13+E400*$AE$14+F400*$AE$15+G400*$AE$16+H400*$AE$17+I400*$AE$18+J400*$AE$19+K400*$AE$20+L400*$AE$21+M400*$AE$22+N400*$AE$23+O400*$AE$24+P400*$AE$25+Q400*$AE$26+R400*$AE$27+S400*$AE$28+T400*$AE$29+U400*$AE$30</f>
        <v/>
      </c>
      <c r="W400" s="8">
        <f>1/(1+EXP(-V400))</f>
        <v/>
      </c>
      <c r="X400" s="9">
        <f>-IF(C400=1,LN(W400),LN(1-W400))</f>
        <v/>
      </c>
      <c r="Y400" s="8">
        <f>IF(C400=1,$AE$32,$AE$33)</f>
        <v/>
      </c>
      <c r="Z400" s="9">
        <f>Y400*X400</f>
        <v/>
      </c>
      <c r="AA400" s="10">
        <f>IF(W400&gt;$AE$34,1,0)</f>
        <v/>
      </c>
      <c r="AB400">
        <f>IF(AA400=C400,1,0)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$AE$12+D401*$AE$13+E401*$AE$14+F401*$AE$15+G401*$AE$16+H401*$AE$17+I401*$AE$18+J401*$AE$19+K401*$AE$20+L401*$AE$21+M401*$AE$22+N401*$AE$23+O401*$AE$24+P401*$AE$25+Q401*$AE$26+R401*$AE$27+S401*$AE$28+T401*$AE$29+U401*$AE$30</f>
        <v/>
      </c>
      <c r="W401" s="8">
        <f>1/(1+EXP(-V401))</f>
        <v/>
      </c>
      <c r="X401" s="9">
        <f>-IF(C401=1,LN(W401),LN(1-W401))</f>
        <v/>
      </c>
      <c r="Y401" s="8">
        <f>IF(C401=1,$AE$32,$AE$33)</f>
        <v/>
      </c>
      <c r="Z401" s="9">
        <f>Y401*X401</f>
        <v/>
      </c>
      <c r="AA401" s="10">
        <f>IF(W401&gt;$AE$34,1,0)</f>
        <v/>
      </c>
      <c r="AB401">
        <f>IF(AA401=C401,1,0)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$AE$12+D402*$AE$13+E402*$AE$14+F402*$AE$15+G402*$AE$16+H402*$AE$17+I402*$AE$18+J402*$AE$19+K402*$AE$20+L402*$AE$21+M402*$AE$22+N402*$AE$23+O402*$AE$24+P402*$AE$25+Q402*$AE$26+R402*$AE$27+S402*$AE$28+T402*$AE$29+U402*$AE$30</f>
        <v/>
      </c>
      <c r="W402" s="8">
        <f>1/(1+EXP(-V402))</f>
        <v/>
      </c>
      <c r="X402" s="9">
        <f>-IF(C402=1,LN(W402),LN(1-W402))</f>
        <v/>
      </c>
      <c r="Y402" s="8">
        <f>IF(C402=1,$AE$32,$AE$33)</f>
        <v/>
      </c>
      <c r="Z402" s="9">
        <f>Y402*X402</f>
        <v/>
      </c>
      <c r="AA402" s="10">
        <f>IF(W402&gt;$AE$34,1,0)</f>
        <v/>
      </c>
      <c r="AB402">
        <f>IF(AA402=C402,1,0)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$AE$12+D403*$AE$13+E403*$AE$14+F403*$AE$15+G403*$AE$16+H403*$AE$17+I403*$AE$18+J403*$AE$19+K403*$AE$20+L403*$AE$21+M403*$AE$22+N403*$AE$23+O403*$AE$24+P403*$AE$25+Q403*$AE$26+R403*$AE$27+S403*$AE$28+T403*$AE$29+U403*$AE$30</f>
        <v/>
      </c>
      <c r="W403" s="8">
        <f>1/(1+EXP(-V403))</f>
        <v/>
      </c>
      <c r="X403" s="9">
        <f>-IF(C403=1,LN(W403),LN(1-W403))</f>
        <v/>
      </c>
      <c r="Y403" s="8">
        <f>IF(C403=1,$AE$32,$AE$33)</f>
        <v/>
      </c>
      <c r="Z403" s="9">
        <f>Y403*X403</f>
        <v/>
      </c>
      <c r="AA403" s="10">
        <f>IF(W403&gt;$AE$34,1,0)</f>
        <v/>
      </c>
      <c r="AB403">
        <f>IF(AA403=C403,1,0)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$AE$12+D404*$AE$13+E404*$AE$14+F404*$AE$15+G404*$AE$16+H404*$AE$17+I404*$AE$18+J404*$AE$19+K404*$AE$20+L404*$AE$21+M404*$AE$22+N404*$AE$23+O404*$AE$24+P404*$AE$25+Q404*$AE$26+R404*$AE$27+S404*$AE$28+T404*$AE$29+U404*$AE$30</f>
        <v/>
      </c>
      <c r="W404" s="8">
        <f>1/(1+EXP(-V404))</f>
        <v/>
      </c>
      <c r="X404" s="9">
        <f>-IF(C404=1,LN(W404),LN(1-W404))</f>
        <v/>
      </c>
      <c r="Y404" s="8">
        <f>IF(C404=1,$AE$32,$AE$33)</f>
        <v/>
      </c>
      <c r="Z404" s="9">
        <f>Y404*X404</f>
        <v/>
      </c>
      <c r="AA404" s="10">
        <f>IF(W404&gt;$AE$34,1,0)</f>
        <v/>
      </c>
      <c r="AB404">
        <f>IF(AA404=C404,1,0)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$AE$12+D405*$AE$13+E405*$AE$14+F405*$AE$15+G405*$AE$16+H405*$AE$17+I405*$AE$18+J405*$AE$19+K405*$AE$20+L405*$AE$21+M405*$AE$22+N405*$AE$23+O405*$AE$24+P405*$AE$25+Q405*$AE$26+R405*$AE$27+S405*$AE$28+T405*$AE$29+U405*$AE$30</f>
        <v/>
      </c>
      <c r="W405" s="8">
        <f>1/(1+EXP(-V405))</f>
        <v/>
      </c>
      <c r="X405" s="9">
        <f>-IF(C405=1,LN(W405),LN(1-W405))</f>
        <v/>
      </c>
      <c r="Y405" s="8">
        <f>IF(C405=1,$AE$32,$AE$33)</f>
        <v/>
      </c>
      <c r="Z405" s="9">
        <f>Y405*X405</f>
        <v/>
      </c>
      <c r="AA405" s="10">
        <f>IF(W405&gt;$AE$34,1,0)</f>
        <v/>
      </c>
      <c r="AB405">
        <f>IF(AA405=C405,1,0)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$AE$12+D406*$AE$13+E406*$AE$14+F406*$AE$15+G406*$AE$16+H406*$AE$17+I406*$AE$18+J406*$AE$19+K406*$AE$20+L406*$AE$21+M406*$AE$22+N406*$AE$23+O406*$AE$24+P406*$AE$25+Q406*$AE$26+R406*$AE$27+S406*$AE$28+T406*$AE$29+U406*$AE$30</f>
        <v/>
      </c>
      <c r="W406" s="8">
        <f>1/(1+EXP(-V406))</f>
        <v/>
      </c>
      <c r="X406" s="9">
        <f>-IF(C406=1,LN(W406),LN(1-W406))</f>
        <v/>
      </c>
      <c r="Y406" s="8">
        <f>IF(C406=1,$AE$32,$AE$33)</f>
        <v/>
      </c>
      <c r="Z406" s="9">
        <f>Y406*X406</f>
        <v/>
      </c>
      <c r="AA406" s="10">
        <f>IF(W406&gt;$AE$34,1,0)</f>
        <v/>
      </c>
      <c r="AB406">
        <f>IF(AA406=C406,1,0)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$AE$12+D407*$AE$13+E407*$AE$14+F407*$AE$15+G407*$AE$16+H407*$AE$17+I407*$AE$18+J407*$AE$19+K407*$AE$20+L407*$AE$21+M407*$AE$22+N407*$AE$23+O407*$AE$24+P407*$AE$25+Q407*$AE$26+R407*$AE$27+S407*$AE$28+T407*$AE$29+U407*$AE$30</f>
        <v/>
      </c>
      <c r="W407" s="8">
        <f>1/(1+EXP(-V407))</f>
        <v/>
      </c>
      <c r="X407" s="9">
        <f>-IF(C407=1,LN(W407),LN(1-W407))</f>
        <v/>
      </c>
      <c r="Y407" s="8">
        <f>IF(C407=1,$AE$32,$AE$33)</f>
        <v/>
      </c>
      <c r="Z407" s="9">
        <f>Y407*X407</f>
        <v/>
      </c>
      <c r="AA407" s="10">
        <f>IF(W407&gt;$AE$34,1,0)</f>
        <v/>
      </c>
      <c r="AB407">
        <f>IF(AA407=C407,1,0)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$AE$12+D408*$AE$13+E408*$AE$14+F408*$AE$15+G408*$AE$16+H408*$AE$17+I408*$AE$18+J408*$AE$19+K408*$AE$20+L408*$AE$21+M408*$AE$22+N408*$AE$23+O408*$AE$24+P408*$AE$25+Q408*$AE$26+R408*$AE$27+S408*$AE$28+T408*$AE$29+U408*$AE$30</f>
        <v/>
      </c>
      <c r="W408" s="8">
        <f>1/(1+EXP(-V408))</f>
        <v/>
      </c>
      <c r="X408" s="9">
        <f>-IF(C408=1,LN(W408),LN(1-W408))</f>
        <v/>
      </c>
      <c r="Y408" s="8">
        <f>IF(C408=1,$AE$32,$AE$33)</f>
        <v/>
      </c>
      <c r="Z408" s="9">
        <f>Y408*X408</f>
        <v/>
      </c>
      <c r="AA408" s="10">
        <f>IF(W408&gt;$AE$34,1,0)</f>
        <v/>
      </c>
      <c r="AB408">
        <f>IF(AA408=C408,1,0)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$AE$12+D409*$AE$13+E409*$AE$14+F409*$AE$15+G409*$AE$16+H409*$AE$17+I409*$AE$18+J409*$AE$19+K409*$AE$20+L409*$AE$21+M409*$AE$22+N409*$AE$23+O409*$AE$24+P409*$AE$25+Q409*$AE$26+R409*$AE$27+S409*$AE$28+T409*$AE$29+U409*$AE$30</f>
        <v/>
      </c>
      <c r="W409" s="8">
        <f>1/(1+EXP(-V409))</f>
        <v/>
      </c>
      <c r="X409" s="9">
        <f>-IF(C409=1,LN(W409),LN(1-W409))</f>
        <v/>
      </c>
      <c r="Y409" s="8">
        <f>IF(C409=1,$AE$32,$AE$33)</f>
        <v/>
      </c>
      <c r="Z409" s="9">
        <f>Y409*X409</f>
        <v/>
      </c>
      <c r="AA409" s="10">
        <f>IF(W409&gt;$AE$34,1,0)</f>
        <v/>
      </c>
      <c r="AB409">
        <f>IF(AA409=C409,1,0)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$AE$12+D410*$AE$13+E410*$AE$14+F410*$AE$15+G410*$AE$16+H410*$AE$17+I410*$AE$18+J410*$AE$19+K410*$AE$20+L410*$AE$21+M410*$AE$22+N410*$AE$23+O410*$AE$24+P410*$AE$25+Q410*$AE$26+R410*$AE$27+S410*$AE$28+T410*$AE$29+U410*$AE$30</f>
        <v/>
      </c>
      <c r="W410" s="8">
        <f>1/(1+EXP(-V410))</f>
        <v/>
      </c>
      <c r="X410" s="9">
        <f>-IF(C410=1,LN(W410),LN(1-W410))</f>
        <v/>
      </c>
      <c r="Y410" s="8">
        <f>IF(C410=1,$AE$32,$AE$33)</f>
        <v/>
      </c>
      <c r="Z410" s="9">
        <f>Y410*X410</f>
        <v/>
      </c>
      <c r="AA410" s="10">
        <f>IF(W410&gt;$AE$34,1,0)</f>
        <v/>
      </c>
      <c r="AB410">
        <f>IF(AA410=C410,1,0)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$AE$12+D411*$AE$13+E411*$AE$14+F411*$AE$15+G411*$AE$16+H411*$AE$17+I411*$AE$18+J411*$AE$19+K411*$AE$20+L411*$AE$21+M411*$AE$22+N411*$AE$23+O411*$AE$24+P411*$AE$25+Q411*$AE$26+R411*$AE$27+S411*$AE$28+T411*$AE$29+U411*$AE$30</f>
        <v/>
      </c>
      <c r="W411" s="8">
        <f>1/(1+EXP(-V411))</f>
        <v/>
      </c>
      <c r="X411" s="9">
        <f>-IF(C411=1,LN(W411),LN(1-W411))</f>
        <v/>
      </c>
      <c r="Y411" s="8">
        <f>IF(C411=1,$AE$32,$AE$33)</f>
        <v/>
      </c>
      <c r="Z411" s="9">
        <f>Y411*X411</f>
        <v/>
      </c>
      <c r="AA411" s="10">
        <f>IF(W411&gt;$AE$34,1,0)</f>
        <v/>
      </c>
      <c r="AB411">
        <f>IF(AA411=C411,1,0)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$AE$12+D412*$AE$13+E412*$AE$14+F412*$AE$15+G412*$AE$16+H412*$AE$17+I412*$AE$18+J412*$AE$19+K412*$AE$20+L412*$AE$21+M412*$AE$22+N412*$AE$23+O412*$AE$24+P412*$AE$25+Q412*$AE$26+R412*$AE$27+S412*$AE$28+T412*$AE$29+U412*$AE$30</f>
        <v/>
      </c>
      <c r="W412" s="8">
        <f>1/(1+EXP(-V412))</f>
        <v/>
      </c>
      <c r="X412" s="9">
        <f>-IF(C412=1,LN(W412),LN(1-W412))</f>
        <v/>
      </c>
      <c r="Y412" s="8">
        <f>IF(C412=1,$AE$32,$AE$33)</f>
        <v/>
      </c>
      <c r="Z412" s="9">
        <f>Y412*X412</f>
        <v/>
      </c>
      <c r="AA412" s="10">
        <f>IF(W412&gt;$AE$34,1,0)</f>
        <v/>
      </c>
      <c r="AB412">
        <f>IF(AA412=C412,1,0)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$AE$12+D413*$AE$13+E413*$AE$14+F413*$AE$15+G413*$AE$16+H413*$AE$17+I413*$AE$18+J413*$AE$19+K413*$AE$20+L413*$AE$21+M413*$AE$22+N413*$AE$23+O413*$AE$24+P413*$AE$25+Q413*$AE$26+R413*$AE$27+S413*$AE$28+T413*$AE$29+U413*$AE$30</f>
        <v/>
      </c>
      <c r="W413" s="8">
        <f>1/(1+EXP(-V413))</f>
        <v/>
      </c>
      <c r="X413" s="9">
        <f>-IF(C413=1,LN(W413),LN(1-W413))</f>
        <v/>
      </c>
      <c r="Y413" s="8">
        <f>IF(C413=1,$AE$32,$AE$33)</f>
        <v/>
      </c>
      <c r="Z413" s="9">
        <f>Y413*X413</f>
        <v/>
      </c>
      <c r="AA413" s="10">
        <f>IF(W413&gt;$AE$34,1,0)</f>
        <v/>
      </c>
      <c r="AB413">
        <f>IF(AA413=C413,1,0)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$AE$12+D414*$AE$13+E414*$AE$14+F414*$AE$15+G414*$AE$16+H414*$AE$17+I414*$AE$18+J414*$AE$19+K414*$AE$20+L414*$AE$21+M414*$AE$22+N414*$AE$23+O414*$AE$24+P414*$AE$25+Q414*$AE$26+R414*$AE$27+S414*$AE$28+T414*$AE$29+U414*$AE$30</f>
        <v/>
      </c>
      <c r="W414" s="8">
        <f>1/(1+EXP(-V414))</f>
        <v/>
      </c>
      <c r="X414" s="9">
        <f>-IF(C414=1,LN(W414),LN(1-W414))</f>
        <v/>
      </c>
      <c r="Y414" s="8">
        <f>IF(C414=1,$AE$32,$AE$33)</f>
        <v/>
      </c>
      <c r="Z414" s="9">
        <f>Y414*X414</f>
        <v/>
      </c>
      <c r="AA414" s="10">
        <f>IF(W414&gt;$AE$34,1,0)</f>
        <v/>
      </c>
      <c r="AB414">
        <f>IF(AA414=C414,1,0)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$AE$12+D415*$AE$13+E415*$AE$14+F415*$AE$15+G415*$AE$16+H415*$AE$17+I415*$AE$18+J415*$AE$19+K415*$AE$20+L415*$AE$21+M415*$AE$22+N415*$AE$23+O415*$AE$24+P415*$AE$25+Q415*$AE$26+R415*$AE$27+S415*$AE$28+T415*$AE$29+U415*$AE$30</f>
        <v/>
      </c>
      <c r="W415" s="8">
        <f>1/(1+EXP(-V415))</f>
        <v/>
      </c>
      <c r="X415" s="9">
        <f>-IF(C415=1,LN(W415),LN(1-W415))</f>
        <v/>
      </c>
      <c r="Y415" s="8">
        <f>IF(C415=1,$AE$32,$AE$33)</f>
        <v/>
      </c>
      <c r="Z415" s="9">
        <f>Y415*X415</f>
        <v/>
      </c>
      <c r="AA415" s="10">
        <f>IF(W415&gt;$AE$34,1,0)</f>
        <v/>
      </c>
      <c r="AB415">
        <f>IF(AA415=C415,1,0)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$AE$12+D416*$AE$13+E416*$AE$14+F416*$AE$15+G416*$AE$16+H416*$AE$17+I416*$AE$18+J416*$AE$19+K416*$AE$20+L416*$AE$21+M416*$AE$22+N416*$AE$23+O416*$AE$24+P416*$AE$25+Q416*$AE$26+R416*$AE$27+S416*$AE$28+T416*$AE$29+U416*$AE$30</f>
        <v/>
      </c>
      <c r="W416" s="8">
        <f>1/(1+EXP(-V416))</f>
        <v/>
      </c>
      <c r="X416" s="9">
        <f>-IF(C416=1,LN(W416),LN(1-W416))</f>
        <v/>
      </c>
      <c r="Y416" s="8">
        <f>IF(C416=1,$AE$32,$AE$33)</f>
        <v/>
      </c>
      <c r="Z416" s="9">
        <f>Y416*X416</f>
        <v/>
      </c>
      <c r="AA416" s="10">
        <f>IF(W416&gt;$AE$34,1,0)</f>
        <v/>
      </c>
      <c r="AB416">
        <f>IF(AA416=C416,1,0)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$AE$12+D417*$AE$13+E417*$AE$14+F417*$AE$15+G417*$AE$16+H417*$AE$17+I417*$AE$18+J417*$AE$19+K417*$AE$20+L417*$AE$21+M417*$AE$22+N417*$AE$23+O417*$AE$24+P417*$AE$25+Q417*$AE$26+R417*$AE$27+S417*$AE$28+T417*$AE$29+U417*$AE$30</f>
        <v/>
      </c>
      <c r="W417" s="8">
        <f>1/(1+EXP(-V417))</f>
        <v/>
      </c>
      <c r="X417" s="9">
        <f>-IF(C417=1,LN(W417),LN(1-W417))</f>
        <v/>
      </c>
      <c r="Y417" s="8">
        <f>IF(C417=1,$AE$32,$AE$33)</f>
        <v/>
      </c>
      <c r="Z417" s="9">
        <f>Y417*X417</f>
        <v/>
      </c>
      <c r="AA417" s="10">
        <f>IF(W417&gt;$AE$34,1,0)</f>
        <v/>
      </c>
      <c r="AB417">
        <f>IF(AA417=C417,1,0)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$AE$12+D418*$AE$13+E418*$AE$14+F418*$AE$15+G418*$AE$16+H418*$AE$17+I418*$AE$18+J418*$AE$19+K418*$AE$20+L418*$AE$21+M418*$AE$22+N418*$AE$23+O418*$AE$24+P418*$AE$25+Q418*$AE$26+R418*$AE$27+S418*$AE$28+T418*$AE$29+U418*$AE$30</f>
        <v/>
      </c>
      <c r="W418" s="8">
        <f>1/(1+EXP(-V418))</f>
        <v/>
      </c>
      <c r="X418" s="9">
        <f>-IF(C418=1,LN(W418),LN(1-W418))</f>
        <v/>
      </c>
      <c r="Y418" s="8">
        <f>IF(C418=1,$AE$32,$AE$33)</f>
        <v/>
      </c>
      <c r="Z418" s="9">
        <f>Y418*X418</f>
        <v/>
      </c>
      <c r="AA418" s="10">
        <f>IF(W418&gt;$AE$34,1,0)</f>
        <v/>
      </c>
      <c r="AB418">
        <f>IF(AA418=C418,1,0)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$AE$12+D419*$AE$13+E419*$AE$14+F419*$AE$15+G419*$AE$16+H419*$AE$17+I419*$AE$18+J419*$AE$19+K419*$AE$20+L419*$AE$21+M419*$AE$22+N419*$AE$23+O419*$AE$24+P419*$AE$25+Q419*$AE$26+R419*$AE$27+S419*$AE$28+T419*$AE$29+U419*$AE$30</f>
        <v/>
      </c>
      <c r="W419" s="8">
        <f>1/(1+EXP(-V419))</f>
        <v/>
      </c>
      <c r="X419" s="9">
        <f>-IF(C419=1,LN(W419),LN(1-W419))</f>
        <v/>
      </c>
      <c r="Y419" s="8">
        <f>IF(C419=1,$AE$32,$AE$33)</f>
        <v/>
      </c>
      <c r="Z419" s="9">
        <f>Y419*X419</f>
        <v/>
      </c>
      <c r="AA419" s="10">
        <f>IF(W419&gt;$AE$34,1,0)</f>
        <v/>
      </c>
      <c r="AB419">
        <f>IF(AA419=C419,1,0)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$AE$12+D420*$AE$13+E420*$AE$14+F420*$AE$15+G420*$AE$16+H420*$AE$17+I420*$AE$18+J420*$AE$19+K420*$AE$20+L420*$AE$21+M420*$AE$22+N420*$AE$23+O420*$AE$24+P420*$AE$25+Q420*$AE$26+R420*$AE$27+S420*$AE$28+T420*$AE$29+U420*$AE$30</f>
        <v/>
      </c>
      <c r="W420" s="8">
        <f>1/(1+EXP(-V420))</f>
        <v/>
      </c>
      <c r="X420" s="9">
        <f>-IF(C420=1,LN(W420),LN(1-W420))</f>
        <v/>
      </c>
      <c r="Y420" s="8">
        <f>IF(C420=1,$AE$32,$AE$33)</f>
        <v/>
      </c>
      <c r="Z420" s="9">
        <f>Y420*X420</f>
        <v/>
      </c>
      <c r="AA420" s="10">
        <f>IF(W420&gt;$AE$34,1,0)</f>
        <v/>
      </c>
      <c r="AB420">
        <f>IF(AA420=C420,1,0)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$AE$12+D421*$AE$13+E421*$AE$14+F421*$AE$15+G421*$AE$16+H421*$AE$17+I421*$AE$18+J421*$AE$19+K421*$AE$20+L421*$AE$21+M421*$AE$22+N421*$AE$23+O421*$AE$24+P421*$AE$25+Q421*$AE$26+R421*$AE$27+S421*$AE$28+T421*$AE$29+U421*$AE$30</f>
        <v/>
      </c>
      <c r="W421" s="8">
        <f>1/(1+EXP(-V421))</f>
        <v/>
      </c>
      <c r="X421" s="9">
        <f>-IF(C421=1,LN(W421),LN(1-W421))</f>
        <v/>
      </c>
      <c r="Y421" s="8">
        <f>IF(C421=1,$AE$32,$AE$33)</f>
        <v/>
      </c>
      <c r="Z421" s="9">
        <f>Y421*X421</f>
        <v/>
      </c>
      <c r="AA421" s="10">
        <f>IF(W421&gt;$AE$34,1,0)</f>
        <v/>
      </c>
      <c r="AB421">
        <f>IF(AA421=C421,1,0)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$AE$12+D422*$AE$13+E422*$AE$14+F422*$AE$15+G422*$AE$16+H422*$AE$17+I422*$AE$18+J422*$AE$19+K422*$AE$20+L422*$AE$21+M422*$AE$22+N422*$AE$23+O422*$AE$24+P422*$AE$25+Q422*$AE$26+R422*$AE$27+S422*$AE$28+T422*$AE$29+U422*$AE$30</f>
        <v/>
      </c>
      <c r="W422" s="8">
        <f>1/(1+EXP(-V422))</f>
        <v/>
      </c>
      <c r="X422" s="9">
        <f>-IF(C422=1,LN(W422),LN(1-W422))</f>
        <v/>
      </c>
      <c r="Y422" s="8">
        <f>IF(C422=1,$AE$32,$AE$33)</f>
        <v/>
      </c>
      <c r="Z422" s="9">
        <f>Y422*X422</f>
        <v/>
      </c>
      <c r="AA422" s="10">
        <f>IF(W422&gt;$AE$34,1,0)</f>
        <v/>
      </c>
      <c r="AB422">
        <f>IF(AA422=C422,1,0)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$AE$12+D423*$AE$13+E423*$AE$14+F423*$AE$15+G423*$AE$16+H423*$AE$17+I423*$AE$18+J423*$AE$19+K423*$AE$20+L423*$AE$21+M423*$AE$22+N423*$AE$23+O423*$AE$24+P423*$AE$25+Q423*$AE$26+R423*$AE$27+S423*$AE$28+T423*$AE$29+U423*$AE$30</f>
        <v/>
      </c>
      <c r="W423" s="8">
        <f>1/(1+EXP(-V423))</f>
        <v/>
      </c>
      <c r="X423" s="9">
        <f>-IF(C423=1,LN(W423),LN(1-W423))</f>
        <v/>
      </c>
      <c r="Y423" s="8">
        <f>IF(C423=1,$AE$32,$AE$33)</f>
        <v/>
      </c>
      <c r="Z423" s="9">
        <f>Y423*X423</f>
        <v/>
      </c>
      <c r="AA423" s="10">
        <f>IF(W423&gt;$AE$34,1,0)</f>
        <v/>
      </c>
      <c r="AB423">
        <f>IF(AA423=C423,1,0)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$AE$12+D424*$AE$13+E424*$AE$14+F424*$AE$15+G424*$AE$16+H424*$AE$17+I424*$AE$18+J424*$AE$19+K424*$AE$20+L424*$AE$21+M424*$AE$22+N424*$AE$23+O424*$AE$24+P424*$AE$25+Q424*$AE$26+R424*$AE$27+S424*$AE$28+T424*$AE$29+U424*$AE$30</f>
        <v/>
      </c>
      <c r="W424" s="8">
        <f>1/(1+EXP(-V424))</f>
        <v/>
      </c>
      <c r="X424" s="9">
        <f>-IF(C424=1,LN(W424),LN(1-W424))</f>
        <v/>
      </c>
      <c r="Y424" s="8">
        <f>IF(C424=1,$AE$32,$AE$33)</f>
        <v/>
      </c>
      <c r="Z424" s="9">
        <f>Y424*X424</f>
        <v/>
      </c>
      <c r="AA424" s="10">
        <f>IF(W424&gt;$AE$34,1,0)</f>
        <v/>
      </c>
      <c r="AB424">
        <f>IF(AA424=C424,1,0)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$AE$12+D425*$AE$13+E425*$AE$14+F425*$AE$15+G425*$AE$16+H425*$AE$17+I425*$AE$18+J425*$AE$19+K425*$AE$20+L425*$AE$21+M425*$AE$22+N425*$AE$23+O425*$AE$24+P425*$AE$25+Q425*$AE$26+R425*$AE$27+S425*$AE$28+T425*$AE$29+U425*$AE$30</f>
        <v/>
      </c>
      <c r="W425" s="8">
        <f>1/(1+EXP(-V425))</f>
        <v/>
      </c>
      <c r="X425" s="9">
        <f>-IF(C425=1,LN(W425),LN(1-W425))</f>
        <v/>
      </c>
      <c r="Y425" s="8">
        <f>IF(C425=1,$AE$32,$AE$33)</f>
        <v/>
      </c>
      <c r="Z425" s="9">
        <f>Y425*X425</f>
        <v/>
      </c>
      <c r="AA425" s="10">
        <f>IF(W425&gt;$AE$34,1,0)</f>
        <v/>
      </c>
      <c r="AB425">
        <f>IF(AA425=C425,1,0)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$AE$12+D426*$AE$13+E426*$AE$14+F426*$AE$15+G426*$AE$16+H426*$AE$17+I426*$AE$18+J426*$AE$19+K426*$AE$20+L426*$AE$21+M426*$AE$22+N426*$AE$23+O426*$AE$24+P426*$AE$25+Q426*$AE$26+R426*$AE$27+S426*$AE$28+T426*$AE$29+U426*$AE$30</f>
        <v/>
      </c>
      <c r="W426" s="8">
        <f>1/(1+EXP(-V426))</f>
        <v/>
      </c>
      <c r="X426" s="9">
        <f>-IF(C426=1,LN(W426),LN(1-W426))</f>
        <v/>
      </c>
      <c r="Y426" s="8">
        <f>IF(C426=1,$AE$32,$AE$33)</f>
        <v/>
      </c>
      <c r="Z426" s="9">
        <f>Y426*X426</f>
        <v/>
      </c>
      <c r="AA426" s="10">
        <f>IF(W426&gt;$AE$34,1,0)</f>
        <v/>
      </c>
      <c r="AB426">
        <f>IF(AA426=C426,1,0)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$AE$12+D427*$AE$13+E427*$AE$14+F427*$AE$15+G427*$AE$16+H427*$AE$17+I427*$AE$18+J427*$AE$19+K427*$AE$20+L427*$AE$21+M427*$AE$22+N427*$AE$23+O427*$AE$24+P427*$AE$25+Q427*$AE$26+R427*$AE$27+S427*$AE$28+T427*$AE$29+U427*$AE$30</f>
        <v/>
      </c>
      <c r="W427" s="8">
        <f>1/(1+EXP(-V427))</f>
        <v/>
      </c>
      <c r="X427" s="9">
        <f>-IF(C427=1,LN(W427),LN(1-W427))</f>
        <v/>
      </c>
      <c r="Y427" s="8">
        <f>IF(C427=1,$AE$32,$AE$33)</f>
        <v/>
      </c>
      <c r="Z427" s="9">
        <f>Y427*X427</f>
        <v/>
      </c>
      <c r="AA427" s="10">
        <f>IF(W427&gt;$AE$34,1,0)</f>
        <v/>
      </c>
      <c r="AB427">
        <f>IF(AA427=C427,1,0)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$AE$12+D428*$AE$13+E428*$AE$14+F428*$AE$15+G428*$AE$16+H428*$AE$17+I428*$AE$18+J428*$AE$19+K428*$AE$20+L428*$AE$21+M428*$AE$22+N428*$AE$23+O428*$AE$24+P428*$AE$25+Q428*$AE$26+R428*$AE$27+S428*$AE$28+T428*$AE$29+U428*$AE$30</f>
        <v/>
      </c>
      <c r="W428" s="8">
        <f>1/(1+EXP(-V428))</f>
        <v/>
      </c>
      <c r="X428" s="9">
        <f>-IF(C428=1,LN(W428),LN(1-W428))</f>
        <v/>
      </c>
      <c r="Y428" s="8">
        <f>IF(C428=1,$AE$32,$AE$33)</f>
        <v/>
      </c>
      <c r="Z428" s="9">
        <f>Y428*X428</f>
        <v/>
      </c>
      <c r="AA428" s="10">
        <f>IF(W428&gt;$AE$34,1,0)</f>
        <v/>
      </c>
      <c r="AB428">
        <f>IF(AA428=C428,1,0)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$AE$12+D429*$AE$13+E429*$AE$14+F429*$AE$15+G429*$AE$16+H429*$AE$17+I429*$AE$18+J429*$AE$19+K429*$AE$20+L429*$AE$21+M429*$AE$22+N429*$AE$23+O429*$AE$24+P429*$AE$25+Q429*$AE$26+R429*$AE$27+S429*$AE$28+T429*$AE$29+U429*$AE$30</f>
        <v/>
      </c>
      <c r="W429" s="8">
        <f>1/(1+EXP(-V429))</f>
        <v/>
      </c>
      <c r="X429" s="9">
        <f>-IF(C429=1,LN(W429),LN(1-W429))</f>
        <v/>
      </c>
      <c r="Y429" s="8">
        <f>IF(C429=1,$AE$32,$AE$33)</f>
        <v/>
      </c>
      <c r="Z429" s="9">
        <f>Y429*X429</f>
        <v/>
      </c>
      <c r="AA429" s="10">
        <f>IF(W429&gt;$AE$34,1,0)</f>
        <v/>
      </c>
      <c r="AB429">
        <f>IF(AA429=C429,1,0)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$AE$12+D430*$AE$13+E430*$AE$14+F430*$AE$15+G430*$AE$16+H430*$AE$17+I430*$AE$18+J430*$AE$19+K430*$AE$20+L430*$AE$21+M430*$AE$22+N430*$AE$23+O430*$AE$24+P430*$AE$25+Q430*$AE$26+R430*$AE$27+S430*$AE$28+T430*$AE$29+U430*$AE$30</f>
        <v/>
      </c>
      <c r="W430" s="8">
        <f>1/(1+EXP(-V430))</f>
        <v/>
      </c>
      <c r="X430" s="9">
        <f>-IF(C430=1,LN(W430),LN(1-W430))</f>
        <v/>
      </c>
      <c r="Y430" s="8">
        <f>IF(C430=1,$AE$32,$AE$33)</f>
        <v/>
      </c>
      <c r="Z430" s="9">
        <f>Y430*X430</f>
        <v/>
      </c>
      <c r="AA430" s="10">
        <f>IF(W430&gt;$AE$34,1,0)</f>
        <v/>
      </c>
      <c r="AB430">
        <f>IF(AA430=C430,1,0)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$AE$12+D431*$AE$13+E431*$AE$14+F431*$AE$15+G431*$AE$16+H431*$AE$17+I431*$AE$18+J431*$AE$19+K431*$AE$20+L431*$AE$21+M431*$AE$22+N431*$AE$23+O431*$AE$24+P431*$AE$25+Q431*$AE$26+R431*$AE$27+S431*$AE$28+T431*$AE$29+U431*$AE$30</f>
        <v/>
      </c>
      <c r="W431" s="8">
        <f>1/(1+EXP(-V431))</f>
        <v/>
      </c>
      <c r="X431" s="9">
        <f>-IF(C431=1,LN(W431),LN(1-W431))</f>
        <v/>
      </c>
      <c r="Y431" s="8">
        <f>IF(C431=1,$AE$32,$AE$33)</f>
        <v/>
      </c>
      <c r="Z431" s="9">
        <f>Y431*X431</f>
        <v/>
      </c>
      <c r="AA431" s="10">
        <f>IF(W431&gt;$AE$34,1,0)</f>
        <v/>
      </c>
      <c r="AB431">
        <f>IF(AA431=C431,1,0)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$AE$12+D432*$AE$13+E432*$AE$14+F432*$AE$15+G432*$AE$16+H432*$AE$17+I432*$AE$18+J432*$AE$19+K432*$AE$20+L432*$AE$21+M432*$AE$22+N432*$AE$23+O432*$AE$24+P432*$AE$25+Q432*$AE$26+R432*$AE$27+S432*$AE$28+T432*$AE$29+U432*$AE$30</f>
        <v/>
      </c>
      <c r="W432" s="8">
        <f>1/(1+EXP(-V432))</f>
        <v/>
      </c>
      <c r="X432" s="9">
        <f>-IF(C432=1,LN(W432),LN(1-W432))</f>
        <v/>
      </c>
      <c r="Y432" s="8">
        <f>IF(C432=1,$AE$32,$AE$33)</f>
        <v/>
      </c>
      <c r="Z432" s="9">
        <f>Y432*X432</f>
        <v/>
      </c>
      <c r="AA432" s="10">
        <f>IF(W432&gt;$AE$34,1,0)</f>
        <v/>
      </c>
      <c r="AB432">
        <f>IF(AA432=C432,1,0)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$AE$12+D433*$AE$13+E433*$AE$14+F433*$AE$15+G433*$AE$16+H433*$AE$17+I433*$AE$18+J433*$AE$19+K433*$AE$20+L433*$AE$21+M433*$AE$22+N433*$AE$23+O433*$AE$24+P433*$AE$25+Q433*$AE$26+R433*$AE$27+S433*$AE$28+T433*$AE$29+U433*$AE$30</f>
        <v/>
      </c>
      <c r="W433" s="8">
        <f>1/(1+EXP(-V433))</f>
        <v/>
      </c>
      <c r="X433" s="9">
        <f>-IF(C433=1,LN(W433),LN(1-W433))</f>
        <v/>
      </c>
      <c r="Y433" s="8">
        <f>IF(C433=1,$AE$32,$AE$33)</f>
        <v/>
      </c>
      <c r="Z433" s="9">
        <f>Y433*X433</f>
        <v/>
      </c>
      <c r="AA433" s="10">
        <f>IF(W433&gt;$AE$34,1,0)</f>
        <v/>
      </c>
      <c r="AB433">
        <f>IF(AA433=C433,1,0)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$AE$12+D434*$AE$13+E434*$AE$14+F434*$AE$15+G434*$AE$16+H434*$AE$17+I434*$AE$18+J434*$AE$19+K434*$AE$20+L434*$AE$21+M434*$AE$22+N434*$AE$23+O434*$AE$24+P434*$AE$25+Q434*$AE$26+R434*$AE$27+S434*$AE$28+T434*$AE$29+U434*$AE$30</f>
        <v/>
      </c>
      <c r="W434" s="8">
        <f>1/(1+EXP(-V434))</f>
        <v/>
      </c>
      <c r="X434" s="9">
        <f>-IF(C434=1,LN(W434),LN(1-W434))</f>
        <v/>
      </c>
      <c r="Y434" s="8">
        <f>IF(C434=1,$AE$32,$AE$33)</f>
        <v/>
      </c>
      <c r="Z434" s="9">
        <f>Y434*X434</f>
        <v/>
      </c>
      <c r="AA434" s="10">
        <f>IF(W434&gt;$AE$34,1,0)</f>
        <v/>
      </c>
      <c r="AB434">
        <f>IF(AA434=C434,1,0)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$AE$12+D435*$AE$13+E435*$AE$14+F435*$AE$15+G435*$AE$16+H435*$AE$17+I435*$AE$18+J435*$AE$19+K435*$AE$20+L435*$AE$21+M435*$AE$22+N435*$AE$23+O435*$AE$24+P435*$AE$25+Q435*$AE$26+R435*$AE$27+S435*$AE$28+T435*$AE$29+U435*$AE$30</f>
        <v/>
      </c>
      <c r="W435" s="8">
        <f>1/(1+EXP(-V435))</f>
        <v/>
      </c>
      <c r="X435" s="9">
        <f>-IF(C435=1,LN(W435),LN(1-W435))</f>
        <v/>
      </c>
      <c r="Y435" s="8">
        <f>IF(C435=1,$AE$32,$AE$33)</f>
        <v/>
      </c>
      <c r="Z435" s="9">
        <f>Y435*X435</f>
        <v/>
      </c>
      <c r="AA435" s="10">
        <f>IF(W435&gt;$AE$34,1,0)</f>
        <v/>
      </c>
      <c r="AB435">
        <f>IF(AA435=C435,1,0)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$AE$12+D436*$AE$13+E436*$AE$14+F436*$AE$15+G436*$AE$16+H436*$AE$17+I436*$AE$18+J436*$AE$19+K436*$AE$20+L436*$AE$21+M436*$AE$22+N436*$AE$23+O436*$AE$24+P436*$AE$25+Q436*$AE$26+R436*$AE$27+S436*$AE$28+T436*$AE$29+U436*$AE$30</f>
        <v/>
      </c>
      <c r="W436" s="8">
        <f>1/(1+EXP(-V436))</f>
        <v/>
      </c>
      <c r="X436" s="9">
        <f>-IF(C436=1,LN(W436),LN(1-W436))</f>
        <v/>
      </c>
      <c r="Y436" s="8">
        <f>IF(C436=1,$AE$32,$AE$33)</f>
        <v/>
      </c>
      <c r="Z436" s="9">
        <f>Y436*X436</f>
        <v/>
      </c>
      <c r="AA436" s="10">
        <f>IF(W436&gt;$AE$34,1,0)</f>
        <v/>
      </c>
      <c r="AB436">
        <f>IF(AA436=C436,1,0)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$AE$12+D437*$AE$13+E437*$AE$14+F437*$AE$15+G437*$AE$16+H437*$AE$17+I437*$AE$18+J437*$AE$19+K437*$AE$20+L437*$AE$21+M437*$AE$22+N437*$AE$23+O437*$AE$24+P437*$AE$25+Q437*$AE$26+R437*$AE$27+S437*$AE$28+T437*$AE$29+U437*$AE$30</f>
        <v/>
      </c>
      <c r="W437" s="8">
        <f>1/(1+EXP(-V437))</f>
        <v/>
      </c>
      <c r="X437" s="9">
        <f>-IF(C437=1,LN(W437),LN(1-W437))</f>
        <v/>
      </c>
      <c r="Y437" s="8">
        <f>IF(C437=1,$AE$32,$AE$33)</f>
        <v/>
      </c>
      <c r="Z437" s="9">
        <f>Y437*X437</f>
        <v/>
      </c>
      <c r="AA437" s="10">
        <f>IF(W437&gt;$AE$34,1,0)</f>
        <v/>
      </c>
      <c r="AB437">
        <f>IF(AA437=C437,1,0)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$AE$12+D438*$AE$13+E438*$AE$14+F438*$AE$15+G438*$AE$16+H438*$AE$17+I438*$AE$18+J438*$AE$19+K438*$AE$20+L438*$AE$21+M438*$AE$22+N438*$AE$23+O438*$AE$24+P438*$AE$25+Q438*$AE$26+R438*$AE$27+S438*$AE$28+T438*$AE$29+U438*$AE$30</f>
        <v/>
      </c>
      <c r="W438" s="8">
        <f>1/(1+EXP(-V438))</f>
        <v/>
      </c>
      <c r="X438" s="9">
        <f>-IF(C438=1,LN(W438),LN(1-W438))</f>
        <v/>
      </c>
      <c r="Y438" s="8">
        <f>IF(C438=1,$AE$32,$AE$33)</f>
        <v/>
      </c>
      <c r="Z438" s="9">
        <f>Y438*X438</f>
        <v/>
      </c>
      <c r="AA438" s="10">
        <f>IF(W438&gt;$AE$34,1,0)</f>
        <v/>
      </c>
      <c r="AB438">
        <f>IF(AA438=C438,1,0)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$AE$12+D439*$AE$13+E439*$AE$14+F439*$AE$15+G439*$AE$16+H439*$AE$17+I439*$AE$18+J439*$AE$19+K439*$AE$20+L439*$AE$21+M439*$AE$22+N439*$AE$23+O439*$AE$24+P439*$AE$25+Q439*$AE$26+R439*$AE$27+S439*$AE$28+T439*$AE$29+U439*$AE$30</f>
        <v/>
      </c>
      <c r="W439" s="8">
        <f>1/(1+EXP(-V439))</f>
        <v/>
      </c>
      <c r="X439" s="9">
        <f>-IF(C439=1,LN(W439),LN(1-W439))</f>
        <v/>
      </c>
      <c r="Y439" s="8">
        <f>IF(C439=1,$AE$32,$AE$33)</f>
        <v/>
      </c>
      <c r="Z439" s="9">
        <f>Y439*X439</f>
        <v/>
      </c>
      <c r="AA439" s="10">
        <f>IF(W439&gt;$AE$34,1,0)</f>
        <v/>
      </c>
      <c r="AB439">
        <f>IF(AA439=C439,1,0)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$AE$12+D440*$AE$13+E440*$AE$14+F440*$AE$15+G440*$AE$16+H440*$AE$17+I440*$AE$18+J440*$AE$19+K440*$AE$20+L440*$AE$21+M440*$AE$22+N440*$AE$23+O440*$AE$24+P440*$AE$25+Q440*$AE$26+R440*$AE$27+S440*$AE$28+T440*$AE$29+U440*$AE$30</f>
        <v/>
      </c>
      <c r="W440" s="8">
        <f>1/(1+EXP(-V440))</f>
        <v/>
      </c>
      <c r="X440" s="9">
        <f>-IF(C440=1,LN(W440),LN(1-W440))</f>
        <v/>
      </c>
      <c r="Y440" s="8">
        <f>IF(C440=1,$AE$32,$AE$33)</f>
        <v/>
      </c>
      <c r="Z440" s="9">
        <f>Y440*X440</f>
        <v/>
      </c>
      <c r="AA440" s="10">
        <f>IF(W440&gt;$AE$34,1,0)</f>
        <v/>
      </c>
      <c r="AB440">
        <f>IF(AA440=C440,1,0)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$AE$12+D441*$AE$13+E441*$AE$14+F441*$AE$15+G441*$AE$16+H441*$AE$17+I441*$AE$18+J441*$AE$19+K441*$AE$20+L441*$AE$21+M441*$AE$22+N441*$AE$23+O441*$AE$24+P441*$AE$25+Q441*$AE$26+R441*$AE$27+S441*$AE$28+T441*$AE$29+U441*$AE$30</f>
        <v/>
      </c>
      <c r="W441" s="8">
        <f>1/(1+EXP(-V441))</f>
        <v/>
      </c>
      <c r="X441" s="9">
        <f>-IF(C441=1,LN(W441),LN(1-W441))</f>
        <v/>
      </c>
      <c r="Y441" s="8">
        <f>IF(C441=1,$AE$32,$AE$33)</f>
        <v/>
      </c>
      <c r="Z441" s="9">
        <f>Y441*X441</f>
        <v/>
      </c>
      <c r="AA441" s="10">
        <f>IF(W441&gt;$AE$34,1,0)</f>
        <v/>
      </c>
      <c r="AB441">
        <f>IF(AA441=C441,1,0)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$AE$12+D442*$AE$13+E442*$AE$14+F442*$AE$15+G442*$AE$16+H442*$AE$17+I442*$AE$18+J442*$AE$19+K442*$AE$20+L442*$AE$21+M442*$AE$22+N442*$AE$23+O442*$AE$24+P442*$AE$25+Q442*$AE$26+R442*$AE$27+S442*$AE$28+T442*$AE$29+U442*$AE$30</f>
        <v/>
      </c>
      <c r="W442" s="8">
        <f>1/(1+EXP(-V442))</f>
        <v/>
      </c>
      <c r="X442" s="9">
        <f>-IF(C442=1,LN(W442),LN(1-W442))</f>
        <v/>
      </c>
      <c r="Y442" s="8">
        <f>IF(C442=1,$AE$32,$AE$33)</f>
        <v/>
      </c>
      <c r="Z442" s="9">
        <f>Y442*X442</f>
        <v/>
      </c>
      <c r="AA442" s="10">
        <f>IF(W442&gt;$AE$34,1,0)</f>
        <v/>
      </c>
      <c r="AB442">
        <f>IF(AA442=C442,1,0)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$AE$12+D443*$AE$13+E443*$AE$14+F443*$AE$15+G443*$AE$16+H443*$AE$17+I443*$AE$18+J443*$AE$19+K443*$AE$20+L443*$AE$21+M443*$AE$22+N443*$AE$23+O443*$AE$24+P443*$AE$25+Q443*$AE$26+R443*$AE$27+S443*$AE$28+T443*$AE$29+U443*$AE$30</f>
        <v/>
      </c>
      <c r="W443" s="8">
        <f>1/(1+EXP(-V443))</f>
        <v/>
      </c>
      <c r="X443" s="9">
        <f>-IF(C443=1,LN(W443),LN(1-W443))</f>
        <v/>
      </c>
      <c r="Y443" s="8">
        <f>IF(C443=1,$AE$32,$AE$33)</f>
        <v/>
      </c>
      <c r="Z443" s="9">
        <f>Y443*X443</f>
        <v/>
      </c>
      <c r="AA443" s="10">
        <f>IF(W443&gt;$AE$34,1,0)</f>
        <v/>
      </c>
      <c r="AB443">
        <f>IF(AA443=C443,1,0)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$AE$12+D444*$AE$13+E444*$AE$14+F444*$AE$15+G444*$AE$16+H444*$AE$17+I444*$AE$18+J444*$AE$19+K444*$AE$20+L444*$AE$21+M444*$AE$22+N444*$AE$23+O444*$AE$24+P444*$AE$25+Q444*$AE$26+R444*$AE$27+S444*$AE$28+T444*$AE$29+U444*$AE$30</f>
        <v/>
      </c>
      <c r="W444" s="8">
        <f>1/(1+EXP(-V444))</f>
        <v/>
      </c>
      <c r="X444" s="9">
        <f>-IF(C444=1,LN(W444),LN(1-W444))</f>
        <v/>
      </c>
      <c r="Y444" s="8">
        <f>IF(C444=1,$AE$32,$AE$33)</f>
        <v/>
      </c>
      <c r="Z444" s="9">
        <f>Y444*X444</f>
        <v/>
      </c>
      <c r="AA444" s="10">
        <f>IF(W444&gt;$AE$34,1,0)</f>
        <v/>
      </c>
      <c r="AB444">
        <f>IF(AA444=C444,1,0)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$AE$12+D445*$AE$13+E445*$AE$14+F445*$AE$15+G445*$AE$16+H445*$AE$17+I445*$AE$18+J445*$AE$19+K445*$AE$20+L445*$AE$21+M445*$AE$22+N445*$AE$23+O445*$AE$24+P445*$AE$25+Q445*$AE$26+R445*$AE$27+S445*$AE$28+T445*$AE$29+U445*$AE$30</f>
        <v/>
      </c>
      <c r="W445" s="8">
        <f>1/(1+EXP(-V445))</f>
        <v/>
      </c>
      <c r="X445" s="9">
        <f>-IF(C445=1,LN(W445),LN(1-W445))</f>
        <v/>
      </c>
      <c r="Y445" s="8">
        <f>IF(C445=1,$AE$32,$AE$33)</f>
        <v/>
      </c>
      <c r="Z445" s="9">
        <f>Y445*X445</f>
        <v/>
      </c>
      <c r="AA445" s="10">
        <f>IF(W445&gt;$AE$34,1,0)</f>
        <v/>
      </c>
      <c r="AB445">
        <f>IF(AA445=C445,1,0)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$AE$12+D446*$AE$13+E446*$AE$14+F446*$AE$15+G446*$AE$16+H446*$AE$17+I446*$AE$18+J446*$AE$19+K446*$AE$20+L446*$AE$21+M446*$AE$22+N446*$AE$23+O446*$AE$24+P446*$AE$25+Q446*$AE$26+R446*$AE$27+S446*$AE$28+T446*$AE$29+U446*$AE$30</f>
        <v/>
      </c>
      <c r="W446" s="8">
        <f>1/(1+EXP(-V446))</f>
        <v/>
      </c>
      <c r="X446" s="9">
        <f>-IF(C446=1,LN(W446),LN(1-W446))</f>
        <v/>
      </c>
      <c r="Y446" s="8">
        <f>IF(C446=1,$AE$32,$AE$33)</f>
        <v/>
      </c>
      <c r="Z446" s="9">
        <f>Y446*X446</f>
        <v/>
      </c>
      <c r="AA446" s="10">
        <f>IF(W446&gt;$AE$34,1,0)</f>
        <v/>
      </c>
      <c r="AB446">
        <f>IF(AA446=C446,1,0)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$AE$12+D447*$AE$13+E447*$AE$14+F447*$AE$15+G447*$AE$16+H447*$AE$17+I447*$AE$18+J447*$AE$19+K447*$AE$20+L447*$AE$21+M447*$AE$22+N447*$AE$23+O447*$AE$24+P447*$AE$25+Q447*$AE$26+R447*$AE$27+S447*$AE$28+T447*$AE$29+U447*$AE$30</f>
        <v/>
      </c>
      <c r="W447" s="8">
        <f>1/(1+EXP(-V447))</f>
        <v/>
      </c>
      <c r="X447" s="9">
        <f>-IF(C447=1,LN(W447),LN(1-W447))</f>
        <v/>
      </c>
      <c r="Y447" s="8">
        <f>IF(C447=1,$AE$32,$AE$33)</f>
        <v/>
      </c>
      <c r="Z447" s="9">
        <f>Y447*X447</f>
        <v/>
      </c>
      <c r="AA447" s="10">
        <f>IF(W447&gt;$AE$34,1,0)</f>
        <v/>
      </c>
      <c r="AB447">
        <f>IF(AA447=C447,1,0)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$AE$12+D448*$AE$13+E448*$AE$14+F448*$AE$15+G448*$AE$16+H448*$AE$17+I448*$AE$18+J448*$AE$19+K448*$AE$20+L448*$AE$21+M448*$AE$22+N448*$AE$23+O448*$AE$24+P448*$AE$25+Q448*$AE$26+R448*$AE$27+S448*$AE$28+T448*$AE$29+U448*$AE$30</f>
        <v/>
      </c>
      <c r="W448" s="8">
        <f>1/(1+EXP(-V448))</f>
        <v/>
      </c>
      <c r="X448" s="9">
        <f>-IF(C448=1,LN(W448),LN(1-W448))</f>
        <v/>
      </c>
      <c r="Y448" s="8">
        <f>IF(C448=1,$AE$32,$AE$33)</f>
        <v/>
      </c>
      <c r="Z448" s="9">
        <f>Y448*X448</f>
        <v/>
      </c>
      <c r="AA448" s="10">
        <f>IF(W448&gt;$AE$34,1,0)</f>
        <v/>
      </c>
      <c r="AB448">
        <f>IF(AA448=C448,1,0)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$AE$12+D449*$AE$13+E449*$AE$14+F449*$AE$15+G449*$AE$16+H449*$AE$17+I449*$AE$18+J449*$AE$19+K449*$AE$20+L449*$AE$21+M449*$AE$22+N449*$AE$23+O449*$AE$24+P449*$AE$25+Q449*$AE$26+R449*$AE$27+S449*$AE$28+T449*$AE$29+U449*$AE$30</f>
        <v/>
      </c>
      <c r="W449" s="8">
        <f>1/(1+EXP(-V449))</f>
        <v/>
      </c>
      <c r="X449" s="9">
        <f>-IF(C449=1,LN(W449),LN(1-W449))</f>
        <v/>
      </c>
      <c r="Y449" s="8">
        <f>IF(C449=1,$AE$32,$AE$33)</f>
        <v/>
      </c>
      <c r="Z449" s="9">
        <f>Y449*X449</f>
        <v/>
      </c>
      <c r="AA449" s="10">
        <f>IF(W449&gt;$AE$34,1,0)</f>
        <v/>
      </c>
      <c r="AB449">
        <f>IF(AA449=C449,1,0)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$AE$12+D450*$AE$13+E450*$AE$14+F450*$AE$15+G450*$AE$16+H450*$AE$17+I450*$AE$18+J450*$AE$19+K450*$AE$20+L450*$AE$21+M450*$AE$22+N450*$AE$23+O450*$AE$24+P450*$AE$25+Q450*$AE$26+R450*$AE$27+S450*$AE$28+T450*$AE$29+U450*$AE$30</f>
        <v/>
      </c>
      <c r="W450" s="8">
        <f>1/(1+EXP(-V450))</f>
        <v/>
      </c>
      <c r="X450" s="9">
        <f>-IF(C450=1,LN(W450),LN(1-W450))</f>
        <v/>
      </c>
      <c r="Y450" s="8">
        <f>IF(C450=1,$AE$32,$AE$33)</f>
        <v/>
      </c>
      <c r="Z450" s="9">
        <f>Y450*X450</f>
        <v/>
      </c>
      <c r="AA450" s="10">
        <f>IF(W450&gt;$AE$34,1,0)</f>
        <v/>
      </c>
      <c r="AB450">
        <f>IF(AA450=C450,1,0)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$AE$12+D451*$AE$13+E451*$AE$14+F451*$AE$15+G451*$AE$16+H451*$AE$17+I451*$AE$18+J451*$AE$19+K451*$AE$20+L451*$AE$21+M451*$AE$22+N451*$AE$23+O451*$AE$24+P451*$AE$25+Q451*$AE$26+R451*$AE$27+S451*$AE$28+T451*$AE$29+U451*$AE$30</f>
        <v/>
      </c>
      <c r="W451" s="8">
        <f>1/(1+EXP(-V451))</f>
        <v/>
      </c>
      <c r="X451" s="9">
        <f>-IF(C451=1,LN(W451),LN(1-W451))</f>
        <v/>
      </c>
      <c r="Y451" s="8">
        <f>IF(C451=1,$AE$32,$AE$33)</f>
        <v/>
      </c>
      <c r="Z451" s="9">
        <f>Y451*X451</f>
        <v/>
      </c>
      <c r="AA451" s="10">
        <f>IF(W451&gt;$AE$34,1,0)</f>
        <v/>
      </c>
      <c r="AB451">
        <f>IF(AA451=C451,1,0)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$AE$12+D452*$AE$13+E452*$AE$14+F452*$AE$15+G452*$AE$16+H452*$AE$17+I452*$AE$18+J452*$AE$19+K452*$AE$20+L452*$AE$21+M452*$AE$22+N452*$AE$23+O452*$AE$24+P452*$AE$25+Q452*$AE$26+R452*$AE$27+S452*$AE$28+T452*$AE$29+U452*$AE$30</f>
        <v/>
      </c>
      <c r="W452" s="8">
        <f>1/(1+EXP(-V452))</f>
        <v/>
      </c>
      <c r="X452" s="9">
        <f>-IF(C452=1,LN(W452),LN(1-W452))</f>
        <v/>
      </c>
      <c r="Y452" s="8">
        <f>IF(C452=1,$AE$32,$AE$33)</f>
        <v/>
      </c>
      <c r="Z452" s="9">
        <f>Y452*X452</f>
        <v/>
      </c>
      <c r="AA452" s="10">
        <f>IF(W452&gt;$AE$34,1,0)</f>
        <v/>
      </c>
      <c r="AB452">
        <f>IF(AA452=C452,1,0)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$AE$12+D453*$AE$13+E453*$AE$14+F453*$AE$15+G453*$AE$16+H453*$AE$17+I453*$AE$18+J453*$AE$19+K453*$AE$20+L453*$AE$21+M453*$AE$22+N453*$AE$23+O453*$AE$24+P453*$AE$25+Q453*$AE$26+R453*$AE$27+S453*$AE$28+T453*$AE$29+U453*$AE$30</f>
        <v/>
      </c>
      <c r="W453" s="8">
        <f>1/(1+EXP(-V453))</f>
        <v/>
      </c>
      <c r="X453" s="9">
        <f>-IF(C453=1,LN(W453),LN(1-W453))</f>
        <v/>
      </c>
      <c r="Y453" s="8">
        <f>IF(C453=1,$AE$32,$AE$33)</f>
        <v/>
      </c>
      <c r="Z453" s="9">
        <f>Y453*X453</f>
        <v/>
      </c>
      <c r="AA453" s="10">
        <f>IF(W453&gt;$AE$34,1,0)</f>
        <v/>
      </c>
      <c r="AB453">
        <f>IF(AA453=C453,1,0)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$AE$12+D454*$AE$13+E454*$AE$14+F454*$AE$15+G454*$AE$16+H454*$AE$17+I454*$AE$18+J454*$AE$19+K454*$AE$20+L454*$AE$21+M454*$AE$22+N454*$AE$23+O454*$AE$24+P454*$AE$25+Q454*$AE$26+R454*$AE$27+S454*$AE$28+T454*$AE$29+U454*$AE$30</f>
        <v/>
      </c>
      <c r="W454" s="8">
        <f>1/(1+EXP(-V454))</f>
        <v/>
      </c>
      <c r="X454" s="9">
        <f>-IF(C454=1,LN(W454),LN(1-W454))</f>
        <v/>
      </c>
      <c r="Y454" s="8">
        <f>IF(C454=1,$AE$32,$AE$33)</f>
        <v/>
      </c>
      <c r="Z454" s="9">
        <f>Y454*X454</f>
        <v/>
      </c>
      <c r="AA454" s="10">
        <f>IF(W454&gt;$AE$34,1,0)</f>
        <v/>
      </c>
      <c r="AB454">
        <f>IF(AA454=C454,1,0)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$AE$12+D455*$AE$13+E455*$AE$14+F455*$AE$15+G455*$AE$16+H455*$AE$17+I455*$AE$18+J455*$AE$19+K455*$AE$20+L455*$AE$21+M455*$AE$22+N455*$AE$23+O455*$AE$24+P455*$AE$25+Q455*$AE$26+R455*$AE$27+S455*$AE$28+T455*$AE$29+U455*$AE$30</f>
        <v/>
      </c>
      <c r="W455" s="8">
        <f>1/(1+EXP(-V455))</f>
        <v/>
      </c>
      <c r="X455" s="9">
        <f>-IF(C455=1,LN(W455),LN(1-W455))</f>
        <v/>
      </c>
      <c r="Y455" s="8">
        <f>IF(C455=1,$AE$32,$AE$33)</f>
        <v/>
      </c>
      <c r="Z455" s="9">
        <f>Y455*X455</f>
        <v/>
      </c>
      <c r="AA455" s="10">
        <f>IF(W455&gt;$AE$34,1,0)</f>
        <v/>
      </c>
      <c r="AB455">
        <f>IF(AA455=C455,1,0)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$AE$12+D456*$AE$13+E456*$AE$14+F456*$AE$15+G456*$AE$16+H456*$AE$17+I456*$AE$18+J456*$AE$19+K456*$AE$20+L456*$AE$21+M456*$AE$22+N456*$AE$23+O456*$AE$24+P456*$AE$25+Q456*$AE$26+R456*$AE$27+S456*$AE$28+T456*$AE$29+U456*$AE$30</f>
        <v/>
      </c>
      <c r="W456" s="8">
        <f>1/(1+EXP(-V456))</f>
        <v/>
      </c>
      <c r="X456" s="9">
        <f>-IF(C456=1,LN(W456),LN(1-W456))</f>
        <v/>
      </c>
      <c r="Y456" s="8">
        <f>IF(C456=1,$AE$32,$AE$33)</f>
        <v/>
      </c>
      <c r="Z456" s="9">
        <f>Y456*X456</f>
        <v/>
      </c>
      <c r="AA456" s="10">
        <f>IF(W456&gt;$AE$34,1,0)</f>
        <v/>
      </c>
      <c r="AB456">
        <f>IF(AA456=C456,1,0)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$AE$12+D457*$AE$13+E457*$AE$14+F457*$AE$15+G457*$AE$16+H457*$AE$17+I457*$AE$18+J457*$AE$19+K457*$AE$20+L457*$AE$21+M457*$AE$22+N457*$AE$23+O457*$AE$24+P457*$AE$25+Q457*$AE$26+R457*$AE$27+S457*$AE$28+T457*$AE$29+U457*$AE$30</f>
        <v/>
      </c>
      <c r="W457" s="8">
        <f>1/(1+EXP(-V457))</f>
        <v/>
      </c>
      <c r="X457" s="9">
        <f>-IF(C457=1,LN(W457),LN(1-W457))</f>
        <v/>
      </c>
      <c r="Y457" s="8">
        <f>IF(C457=1,$AE$32,$AE$33)</f>
        <v/>
      </c>
      <c r="Z457" s="9">
        <f>Y457*X457</f>
        <v/>
      </c>
      <c r="AA457" s="10">
        <f>IF(W457&gt;$AE$34,1,0)</f>
        <v/>
      </c>
      <c r="AB457">
        <f>IF(AA457=C457,1,0)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$AE$12+D458*$AE$13+E458*$AE$14+F458*$AE$15+G458*$AE$16+H458*$AE$17+I458*$AE$18+J458*$AE$19+K458*$AE$20+L458*$AE$21+M458*$AE$22+N458*$AE$23+O458*$AE$24+P458*$AE$25+Q458*$AE$26+R458*$AE$27+S458*$AE$28+T458*$AE$29+U458*$AE$30</f>
        <v/>
      </c>
      <c r="W458" s="8">
        <f>1/(1+EXP(-V458))</f>
        <v/>
      </c>
      <c r="X458" s="9">
        <f>-IF(C458=1,LN(W458),LN(1-W458))</f>
        <v/>
      </c>
      <c r="Y458" s="8">
        <f>IF(C458=1,$AE$32,$AE$33)</f>
        <v/>
      </c>
      <c r="Z458" s="9">
        <f>Y458*X458</f>
        <v/>
      </c>
      <c r="AA458" s="10">
        <f>IF(W458&gt;$AE$34,1,0)</f>
        <v/>
      </c>
      <c r="AB458">
        <f>IF(AA458=C458,1,0)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$AE$12+D459*$AE$13+E459*$AE$14+F459*$AE$15+G459*$AE$16+H459*$AE$17+I459*$AE$18+J459*$AE$19+K459*$AE$20+L459*$AE$21+M459*$AE$22+N459*$AE$23+O459*$AE$24+P459*$AE$25+Q459*$AE$26+R459*$AE$27+S459*$AE$28+T459*$AE$29+U459*$AE$30</f>
        <v/>
      </c>
      <c r="W459" s="8">
        <f>1/(1+EXP(-V459))</f>
        <v/>
      </c>
      <c r="X459" s="9">
        <f>-IF(C459=1,LN(W459),LN(1-W459))</f>
        <v/>
      </c>
      <c r="Y459" s="8">
        <f>IF(C459=1,$AE$32,$AE$33)</f>
        <v/>
      </c>
      <c r="Z459" s="9">
        <f>Y459*X459</f>
        <v/>
      </c>
      <c r="AA459" s="10">
        <f>IF(W459&gt;$AE$34,1,0)</f>
        <v/>
      </c>
      <c r="AB459">
        <f>IF(AA459=C459,1,0)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$AE$12+D460*$AE$13+E460*$AE$14+F460*$AE$15+G460*$AE$16+H460*$AE$17+I460*$AE$18+J460*$AE$19+K460*$AE$20+L460*$AE$21+M460*$AE$22+N460*$AE$23+O460*$AE$24+P460*$AE$25+Q460*$AE$26+R460*$AE$27+S460*$AE$28+T460*$AE$29+U460*$AE$30</f>
        <v/>
      </c>
      <c r="W460" s="8">
        <f>1/(1+EXP(-V460))</f>
        <v/>
      </c>
      <c r="X460" s="9">
        <f>-IF(C460=1,LN(W460),LN(1-W460))</f>
        <v/>
      </c>
      <c r="Y460" s="8">
        <f>IF(C460=1,$AE$32,$AE$33)</f>
        <v/>
      </c>
      <c r="Z460" s="9">
        <f>Y460*X460</f>
        <v/>
      </c>
      <c r="AA460" s="10">
        <f>IF(W460&gt;$AE$34,1,0)</f>
        <v/>
      </c>
      <c r="AB460">
        <f>IF(AA460=C460,1,0)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$AE$12+D461*$AE$13+E461*$AE$14+F461*$AE$15+G461*$AE$16+H461*$AE$17+I461*$AE$18+J461*$AE$19+K461*$AE$20+L461*$AE$21+M461*$AE$22+N461*$AE$23+O461*$AE$24+P461*$AE$25+Q461*$AE$26+R461*$AE$27+S461*$AE$28+T461*$AE$29+U461*$AE$30</f>
        <v/>
      </c>
      <c r="W461" s="8">
        <f>1/(1+EXP(-V461))</f>
        <v/>
      </c>
      <c r="X461" s="9">
        <f>-IF(C461=1,LN(W461),LN(1-W461))</f>
        <v/>
      </c>
      <c r="Y461" s="8">
        <f>IF(C461=1,$AE$32,$AE$33)</f>
        <v/>
      </c>
      <c r="Z461" s="9">
        <f>Y461*X461</f>
        <v/>
      </c>
      <c r="AA461" s="10">
        <f>IF(W461&gt;$AE$34,1,0)</f>
        <v/>
      </c>
      <c r="AB461">
        <f>IF(AA461=C461,1,0)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$AE$12+D462*$AE$13+E462*$AE$14+F462*$AE$15+G462*$AE$16+H462*$AE$17+I462*$AE$18+J462*$AE$19+K462*$AE$20+L462*$AE$21+M462*$AE$22+N462*$AE$23+O462*$AE$24+P462*$AE$25+Q462*$AE$26+R462*$AE$27+S462*$AE$28+T462*$AE$29+U462*$AE$30</f>
        <v/>
      </c>
      <c r="W462" s="8">
        <f>1/(1+EXP(-V462))</f>
        <v/>
      </c>
      <c r="X462" s="9">
        <f>-IF(C462=1,LN(W462),LN(1-W462))</f>
        <v/>
      </c>
      <c r="Y462" s="8">
        <f>IF(C462=1,$AE$32,$AE$33)</f>
        <v/>
      </c>
      <c r="Z462" s="9">
        <f>Y462*X462</f>
        <v/>
      </c>
      <c r="AA462" s="10">
        <f>IF(W462&gt;$AE$34,1,0)</f>
        <v/>
      </c>
      <c r="AB462">
        <f>IF(AA462=C462,1,0)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$AE$12+D463*$AE$13+E463*$AE$14+F463*$AE$15+G463*$AE$16+H463*$AE$17+I463*$AE$18+J463*$AE$19+K463*$AE$20+L463*$AE$21+M463*$AE$22+N463*$AE$23+O463*$AE$24+P463*$AE$25+Q463*$AE$26+R463*$AE$27+S463*$AE$28+T463*$AE$29+U463*$AE$30</f>
        <v/>
      </c>
      <c r="W463" s="8">
        <f>1/(1+EXP(-V463))</f>
        <v/>
      </c>
      <c r="X463" s="9">
        <f>-IF(C463=1,LN(W463),LN(1-W463))</f>
        <v/>
      </c>
      <c r="Y463" s="8">
        <f>IF(C463=1,$AE$32,$AE$33)</f>
        <v/>
      </c>
      <c r="Z463" s="9">
        <f>Y463*X463</f>
        <v/>
      </c>
      <c r="AA463" s="10">
        <f>IF(W463&gt;$AE$34,1,0)</f>
        <v/>
      </c>
      <c r="AB463">
        <f>IF(AA463=C463,1,0)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$AE$12+D464*$AE$13+E464*$AE$14+F464*$AE$15+G464*$AE$16+H464*$AE$17+I464*$AE$18+J464*$AE$19+K464*$AE$20+L464*$AE$21+M464*$AE$22+N464*$AE$23+O464*$AE$24+P464*$AE$25+Q464*$AE$26+R464*$AE$27+S464*$AE$28+T464*$AE$29+U464*$AE$30</f>
        <v/>
      </c>
      <c r="W464" s="8">
        <f>1/(1+EXP(-V464))</f>
        <v/>
      </c>
      <c r="X464" s="9">
        <f>-IF(C464=1,LN(W464),LN(1-W464))</f>
        <v/>
      </c>
      <c r="Y464" s="8">
        <f>IF(C464=1,$AE$32,$AE$33)</f>
        <v/>
      </c>
      <c r="Z464" s="9">
        <f>Y464*X464</f>
        <v/>
      </c>
      <c r="AA464" s="10">
        <f>IF(W464&gt;$AE$34,1,0)</f>
        <v/>
      </c>
      <c r="AB464">
        <f>IF(AA464=C464,1,0)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$AE$12+D465*$AE$13+E465*$AE$14+F465*$AE$15+G465*$AE$16+H465*$AE$17+I465*$AE$18+J465*$AE$19+K465*$AE$20+L465*$AE$21+M465*$AE$22+N465*$AE$23+O465*$AE$24+P465*$AE$25+Q465*$AE$26+R465*$AE$27+S465*$AE$28+T465*$AE$29+U465*$AE$30</f>
        <v/>
      </c>
      <c r="W465" s="8">
        <f>1/(1+EXP(-V465))</f>
        <v/>
      </c>
      <c r="X465" s="9">
        <f>-IF(C465=1,LN(W465),LN(1-W465))</f>
        <v/>
      </c>
      <c r="Y465" s="8">
        <f>IF(C465=1,$AE$32,$AE$33)</f>
        <v/>
      </c>
      <c r="Z465" s="9">
        <f>Y465*X465</f>
        <v/>
      </c>
      <c r="AA465" s="10">
        <f>IF(W465&gt;$AE$34,1,0)</f>
        <v/>
      </c>
      <c r="AB465">
        <f>IF(AA465=C465,1,0)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$AE$12+D466*$AE$13+E466*$AE$14+F466*$AE$15+G466*$AE$16+H466*$AE$17+I466*$AE$18+J466*$AE$19+K466*$AE$20+L466*$AE$21+M466*$AE$22+N466*$AE$23+O466*$AE$24+P466*$AE$25+Q466*$AE$26+R466*$AE$27+S466*$AE$28+T466*$AE$29+U466*$AE$30</f>
        <v/>
      </c>
      <c r="W466" s="8">
        <f>1/(1+EXP(-V466))</f>
        <v/>
      </c>
      <c r="X466" s="9">
        <f>-IF(C466=1,LN(W466),LN(1-W466))</f>
        <v/>
      </c>
      <c r="Y466" s="8">
        <f>IF(C466=1,$AE$32,$AE$33)</f>
        <v/>
      </c>
      <c r="Z466" s="9">
        <f>Y466*X466</f>
        <v/>
      </c>
      <c r="AA466" s="10">
        <f>IF(W466&gt;$AE$34,1,0)</f>
        <v/>
      </c>
      <c r="AB466">
        <f>IF(AA466=C466,1,0)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$AE$12+D467*$AE$13+E467*$AE$14+F467*$AE$15+G467*$AE$16+H467*$AE$17+I467*$AE$18+J467*$AE$19+K467*$AE$20+L467*$AE$21+M467*$AE$22+N467*$AE$23+O467*$AE$24+P467*$AE$25+Q467*$AE$26+R467*$AE$27+S467*$AE$28+T467*$AE$29+U467*$AE$30</f>
        <v/>
      </c>
      <c r="W467" s="8">
        <f>1/(1+EXP(-V467))</f>
        <v/>
      </c>
      <c r="X467" s="9">
        <f>-IF(C467=1,LN(W467),LN(1-W467))</f>
        <v/>
      </c>
      <c r="Y467" s="8">
        <f>IF(C467=1,$AE$32,$AE$33)</f>
        <v/>
      </c>
      <c r="Z467" s="9">
        <f>Y467*X467</f>
        <v/>
      </c>
      <c r="AA467" s="10">
        <f>IF(W467&gt;$AE$34,1,0)</f>
        <v/>
      </c>
      <c r="AB467">
        <f>IF(AA467=C467,1,0)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$AE$12+D468*$AE$13+E468*$AE$14+F468*$AE$15+G468*$AE$16+H468*$AE$17+I468*$AE$18+J468*$AE$19+K468*$AE$20+L468*$AE$21+M468*$AE$22+N468*$AE$23+O468*$AE$24+P468*$AE$25+Q468*$AE$26+R468*$AE$27+S468*$AE$28+T468*$AE$29+U468*$AE$30</f>
        <v/>
      </c>
      <c r="W468" s="8">
        <f>1/(1+EXP(-V468))</f>
        <v/>
      </c>
      <c r="X468" s="9">
        <f>-IF(C468=1,LN(W468),LN(1-W468))</f>
        <v/>
      </c>
      <c r="Y468" s="8">
        <f>IF(C468=1,$AE$32,$AE$33)</f>
        <v/>
      </c>
      <c r="Z468" s="9">
        <f>Y468*X468</f>
        <v/>
      </c>
      <c r="AA468" s="10">
        <f>IF(W468&gt;$AE$34,1,0)</f>
        <v/>
      </c>
      <c r="AB468">
        <f>IF(AA468=C468,1,0)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$AE$12+D469*$AE$13+E469*$AE$14+F469*$AE$15+G469*$AE$16+H469*$AE$17+I469*$AE$18+J469*$AE$19+K469*$AE$20+L469*$AE$21+M469*$AE$22+N469*$AE$23+O469*$AE$24+P469*$AE$25+Q469*$AE$26+R469*$AE$27+S469*$AE$28+T469*$AE$29+U469*$AE$30</f>
        <v/>
      </c>
      <c r="W469" s="8">
        <f>1/(1+EXP(-V469))</f>
        <v/>
      </c>
      <c r="X469" s="9">
        <f>-IF(C469=1,LN(W469),LN(1-W469))</f>
        <v/>
      </c>
      <c r="Y469" s="8">
        <f>IF(C469=1,$AE$32,$AE$33)</f>
        <v/>
      </c>
      <c r="Z469" s="9">
        <f>Y469*X469</f>
        <v/>
      </c>
      <c r="AA469" s="10">
        <f>IF(W469&gt;$AE$34,1,0)</f>
        <v/>
      </c>
      <c r="AB469">
        <f>IF(AA469=C469,1,0)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$AE$12+D470*$AE$13+E470*$AE$14+F470*$AE$15+G470*$AE$16+H470*$AE$17+I470*$AE$18+J470*$AE$19+K470*$AE$20+L470*$AE$21+M470*$AE$22+N470*$AE$23+O470*$AE$24+P470*$AE$25+Q470*$AE$26+R470*$AE$27+S470*$AE$28+T470*$AE$29+U470*$AE$30</f>
        <v/>
      </c>
      <c r="W470" s="8">
        <f>1/(1+EXP(-V470))</f>
        <v/>
      </c>
      <c r="X470" s="9">
        <f>-IF(C470=1,LN(W470),LN(1-W470))</f>
        <v/>
      </c>
      <c r="Y470" s="8">
        <f>IF(C470=1,$AE$32,$AE$33)</f>
        <v/>
      </c>
      <c r="Z470" s="9">
        <f>Y470*X470</f>
        <v/>
      </c>
      <c r="AA470" s="10">
        <f>IF(W470&gt;$AE$34,1,0)</f>
        <v/>
      </c>
      <c r="AB470">
        <f>IF(AA470=C470,1,0)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$AE$12+D471*$AE$13+E471*$AE$14+F471*$AE$15+G471*$AE$16+H471*$AE$17+I471*$AE$18+J471*$AE$19+K471*$AE$20+L471*$AE$21+M471*$AE$22+N471*$AE$23+O471*$AE$24+P471*$AE$25+Q471*$AE$26+R471*$AE$27+S471*$AE$28+T471*$AE$29+U471*$AE$30</f>
        <v/>
      </c>
      <c r="W471" s="8">
        <f>1/(1+EXP(-V471))</f>
        <v/>
      </c>
      <c r="X471" s="9">
        <f>-IF(C471=1,LN(W471),LN(1-W471))</f>
        <v/>
      </c>
      <c r="Y471" s="8">
        <f>IF(C471=1,$AE$32,$AE$33)</f>
        <v/>
      </c>
      <c r="Z471" s="9">
        <f>Y471*X471</f>
        <v/>
      </c>
      <c r="AA471" s="10">
        <f>IF(W471&gt;$AE$34,1,0)</f>
        <v/>
      </c>
      <c r="AB471">
        <f>IF(AA471=C471,1,0)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$AE$12+D472*$AE$13+E472*$AE$14+F472*$AE$15+G472*$AE$16+H472*$AE$17+I472*$AE$18+J472*$AE$19+K472*$AE$20+L472*$AE$21+M472*$AE$22+N472*$AE$23+O472*$AE$24+P472*$AE$25+Q472*$AE$26+R472*$AE$27+S472*$AE$28+T472*$AE$29+U472*$AE$30</f>
        <v/>
      </c>
      <c r="W472" s="8">
        <f>1/(1+EXP(-V472))</f>
        <v/>
      </c>
      <c r="X472" s="9">
        <f>-IF(C472=1,LN(W472),LN(1-W472))</f>
        <v/>
      </c>
      <c r="Y472" s="8">
        <f>IF(C472=1,$AE$32,$AE$33)</f>
        <v/>
      </c>
      <c r="Z472" s="9">
        <f>Y472*X472</f>
        <v/>
      </c>
      <c r="AA472" s="10">
        <f>IF(W472&gt;$AE$34,1,0)</f>
        <v/>
      </c>
      <c r="AB472">
        <f>IF(AA472=C472,1,0)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$AE$12+D473*$AE$13+E473*$AE$14+F473*$AE$15+G473*$AE$16+H473*$AE$17+I473*$AE$18+J473*$AE$19+K473*$AE$20+L473*$AE$21+M473*$AE$22+N473*$AE$23+O473*$AE$24+P473*$AE$25+Q473*$AE$26+R473*$AE$27+S473*$AE$28+T473*$AE$29+U473*$AE$30</f>
        <v/>
      </c>
      <c r="W473" s="8">
        <f>1/(1+EXP(-V473))</f>
        <v/>
      </c>
      <c r="X473" s="9">
        <f>-IF(C473=1,LN(W473),LN(1-W473))</f>
        <v/>
      </c>
      <c r="Y473" s="8">
        <f>IF(C473=1,$AE$32,$AE$33)</f>
        <v/>
      </c>
      <c r="Z473" s="9">
        <f>Y473*X473</f>
        <v/>
      </c>
      <c r="AA473" s="10">
        <f>IF(W473&gt;$AE$34,1,0)</f>
        <v/>
      </c>
      <c r="AB473">
        <f>IF(AA473=C473,1,0)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$AE$12+D474*$AE$13+E474*$AE$14+F474*$AE$15+G474*$AE$16+H474*$AE$17+I474*$AE$18+J474*$AE$19+K474*$AE$20+L474*$AE$21+M474*$AE$22+N474*$AE$23+O474*$AE$24+P474*$AE$25+Q474*$AE$26+R474*$AE$27+S474*$AE$28+T474*$AE$29+U474*$AE$30</f>
        <v/>
      </c>
      <c r="W474" s="8">
        <f>1/(1+EXP(-V474))</f>
        <v/>
      </c>
      <c r="X474" s="9">
        <f>-IF(C474=1,LN(W474),LN(1-W474))</f>
        <v/>
      </c>
      <c r="Y474" s="8">
        <f>IF(C474=1,$AE$32,$AE$33)</f>
        <v/>
      </c>
      <c r="Z474" s="9">
        <f>Y474*X474</f>
        <v/>
      </c>
      <c r="AA474" s="10">
        <f>IF(W474&gt;$AE$34,1,0)</f>
        <v/>
      </c>
      <c r="AB474">
        <f>IF(AA474=C474,1,0)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$AE$12+D475*$AE$13+E475*$AE$14+F475*$AE$15+G475*$AE$16+H475*$AE$17+I475*$AE$18+J475*$AE$19+K475*$AE$20+L475*$AE$21+M475*$AE$22+N475*$AE$23+O475*$AE$24+P475*$AE$25+Q475*$AE$26+R475*$AE$27+S475*$AE$28+T475*$AE$29+U475*$AE$30</f>
        <v/>
      </c>
      <c r="W475" s="8">
        <f>1/(1+EXP(-V475))</f>
        <v/>
      </c>
      <c r="X475" s="9">
        <f>-IF(C475=1,LN(W475),LN(1-W475))</f>
        <v/>
      </c>
      <c r="Y475" s="8">
        <f>IF(C475=1,$AE$32,$AE$33)</f>
        <v/>
      </c>
      <c r="Z475" s="9">
        <f>Y475*X475</f>
        <v/>
      </c>
      <c r="AA475" s="10">
        <f>IF(W475&gt;$AE$34,1,0)</f>
        <v/>
      </c>
      <c r="AB475">
        <f>IF(AA475=C475,1,0)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$AE$12+D476*$AE$13+E476*$AE$14+F476*$AE$15+G476*$AE$16+H476*$AE$17+I476*$AE$18+J476*$AE$19+K476*$AE$20+L476*$AE$21+M476*$AE$22+N476*$AE$23+O476*$AE$24+P476*$AE$25+Q476*$AE$26+R476*$AE$27+S476*$AE$28+T476*$AE$29+U476*$AE$30</f>
        <v/>
      </c>
      <c r="W476" s="8">
        <f>1/(1+EXP(-V476))</f>
        <v/>
      </c>
      <c r="X476" s="9">
        <f>-IF(C476=1,LN(W476),LN(1-W476))</f>
        <v/>
      </c>
      <c r="Y476" s="8">
        <f>IF(C476=1,$AE$32,$AE$33)</f>
        <v/>
      </c>
      <c r="Z476" s="9">
        <f>Y476*X476</f>
        <v/>
      </c>
      <c r="AA476" s="10">
        <f>IF(W476&gt;$AE$34,1,0)</f>
        <v/>
      </c>
      <c r="AB476">
        <f>IF(AA476=C476,1,0)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$AE$12+D477*$AE$13+E477*$AE$14+F477*$AE$15+G477*$AE$16+H477*$AE$17+I477*$AE$18+J477*$AE$19+K477*$AE$20+L477*$AE$21+M477*$AE$22+N477*$AE$23+O477*$AE$24+P477*$AE$25+Q477*$AE$26+R477*$AE$27+S477*$AE$28+T477*$AE$29+U477*$AE$30</f>
        <v/>
      </c>
      <c r="W477" s="8">
        <f>1/(1+EXP(-V477))</f>
        <v/>
      </c>
      <c r="X477" s="9">
        <f>-IF(C477=1,LN(W477),LN(1-W477))</f>
        <v/>
      </c>
      <c r="Y477" s="8">
        <f>IF(C477=1,$AE$32,$AE$33)</f>
        <v/>
      </c>
      <c r="Z477" s="9">
        <f>Y477*X477</f>
        <v/>
      </c>
      <c r="AA477" s="10">
        <f>IF(W477&gt;$AE$34,1,0)</f>
        <v/>
      </c>
      <c r="AB477">
        <f>IF(AA477=C477,1,0)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$AE$12+D478*$AE$13+E478*$AE$14+F478*$AE$15+G478*$AE$16+H478*$AE$17+I478*$AE$18+J478*$AE$19+K478*$AE$20+L478*$AE$21+M478*$AE$22+N478*$AE$23+O478*$AE$24+P478*$AE$25+Q478*$AE$26+R478*$AE$27+S478*$AE$28+T478*$AE$29+U478*$AE$30</f>
        <v/>
      </c>
      <c r="W478" s="8">
        <f>1/(1+EXP(-V478))</f>
        <v/>
      </c>
      <c r="X478" s="9">
        <f>-IF(C478=1,LN(W478),LN(1-W478))</f>
        <v/>
      </c>
      <c r="Y478" s="8">
        <f>IF(C478=1,$AE$32,$AE$33)</f>
        <v/>
      </c>
      <c r="Z478" s="9">
        <f>Y478*X478</f>
        <v/>
      </c>
      <c r="AA478" s="10">
        <f>IF(W478&gt;$AE$34,1,0)</f>
        <v/>
      </c>
      <c r="AB478">
        <f>IF(AA478=C478,1,0)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$AE$12+D479*$AE$13+E479*$AE$14+F479*$AE$15+G479*$AE$16+H479*$AE$17+I479*$AE$18+J479*$AE$19+K479*$AE$20+L479*$AE$21+M479*$AE$22+N479*$AE$23+O479*$AE$24+P479*$AE$25+Q479*$AE$26+R479*$AE$27+S479*$AE$28+T479*$AE$29+U479*$AE$30</f>
        <v/>
      </c>
      <c r="W479" s="8">
        <f>1/(1+EXP(-V479))</f>
        <v/>
      </c>
      <c r="X479" s="9">
        <f>-IF(C479=1,LN(W479),LN(1-W479))</f>
        <v/>
      </c>
      <c r="Y479" s="8">
        <f>IF(C479=1,$AE$32,$AE$33)</f>
        <v/>
      </c>
      <c r="Z479" s="9">
        <f>Y479*X479</f>
        <v/>
      </c>
      <c r="AA479" s="10">
        <f>IF(W479&gt;$AE$34,1,0)</f>
        <v/>
      </c>
      <c r="AB479">
        <f>IF(AA479=C479,1,0)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$AE$12+D480*$AE$13+E480*$AE$14+F480*$AE$15+G480*$AE$16+H480*$AE$17+I480*$AE$18+J480*$AE$19+K480*$AE$20+L480*$AE$21+M480*$AE$22+N480*$AE$23+O480*$AE$24+P480*$AE$25+Q480*$AE$26+R480*$AE$27+S480*$AE$28+T480*$AE$29+U480*$AE$30</f>
        <v/>
      </c>
      <c r="W480" s="8">
        <f>1/(1+EXP(-V480))</f>
        <v/>
      </c>
      <c r="X480" s="9">
        <f>-IF(C480=1,LN(W480),LN(1-W480))</f>
        <v/>
      </c>
      <c r="Y480" s="8">
        <f>IF(C480=1,$AE$32,$AE$33)</f>
        <v/>
      </c>
      <c r="Z480" s="9">
        <f>Y480*X480</f>
        <v/>
      </c>
      <c r="AA480" s="10">
        <f>IF(W480&gt;$AE$34,1,0)</f>
        <v/>
      </c>
      <c r="AB480">
        <f>IF(AA480=C480,1,0)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$AE$12+D481*$AE$13+E481*$AE$14+F481*$AE$15+G481*$AE$16+H481*$AE$17+I481*$AE$18+J481*$AE$19+K481*$AE$20+L481*$AE$21+M481*$AE$22+N481*$AE$23+O481*$AE$24+P481*$AE$25+Q481*$AE$26+R481*$AE$27+S481*$AE$28+T481*$AE$29+U481*$AE$30</f>
        <v/>
      </c>
      <c r="W481" s="8">
        <f>1/(1+EXP(-V481))</f>
        <v/>
      </c>
      <c r="X481" s="9">
        <f>-IF(C481=1,LN(W481),LN(1-W481))</f>
        <v/>
      </c>
      <c r="Y481" s="8">
        <f>IF(C481=1,$AE$32,$AE$33)</f>
        <v/>
      </c>
      <c r="Z481" s="9">
        <f>Y481*X481</f>
        <v/>
      </c>
      <c r="AA481" s="10">
        <f>IF(W481&gt;$AE$34,1,0)</f>
        <v/>
      </c>
      <c r="AB481">
        <f>IF(AA481=C481,1,0)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$AE$12+D482*$AE$13+E482*$AE$14+F482*$AE$15+G482*$AE$16+H482*$AE$17+I482*$AE$18+J482*$AE$19+K482*$AE$20+L482*$AE$21+M482*$AE$22+N482*$AE$23+O482*$AE$24+P482*$AE$25+Q482*$AE$26+R482*$AE$27+S482*$AE$28+T482*$AE$29+U482*$AE$30</f>
        <v/>
      </c>
      <c r="W482" s="8">
        <f>1/(1+EXP(-V482))</f>
        <v/>
      </c>
      <c r="X482" s="9">
        <f>-IF(C482=1,LN(W482),LN(1-W482))</f>
        <v/>
      </c>
      <c r="Y482" s="8">
        <f>IF(C482=1,$AE$32,$AE$33)</f>
        <v/>
      </c>
      <c r="Z482" s="9">
        <f>Y482*X482</f>
        <v/>
      </c>
      <c r="AA482" s="10">
        <f>IF(W482&gt;$AE$34,1,0)</f>
        <v/>
      </c>
      <c r="AB482">
        <f>IF(AA482=C482,1,0)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$AE$12+D483*$AE$13+E483*$AE$14+F483*$AE$15+G483*$AE$16+H483*$AE$17+I483*$AE$18+J483*$AE$19+K483*$AE$20+L483*$AE$21+M483*$AE$22+N483*$AE$23+O483*$AE$24+P483*$AE$25+Q483*$AE$26+R483*$AE$27+S483*$AE$28+T483*$AE$29+U483*$AE$30</f>
        <v/>
      </c>
      <c r="W483" s="8">
        <f>1/(1+EXP(-V483))</f>
        <v/>
      </c>
      <c r="X483" s="9">
        <f>-IF(C483=1,LN(W483),LN(1-W483))</f>
        <v/>
      </c>
      <c r="Y483" s="8">
        <f>IF(C483=1,$AE$32,$AE$33)</f>
        <v/>
      </c>
      <c r="Z483" s="9">
        <f>Y483*X483</f>
        <v/>
      </c>
      <c r="AA483" s="10">
        <f>IF(W483&gt;$AE$34,1,0)</f>
        <v/>
      </c>
      <c r="AB483">
        <f>IF(AA483=C483,1,0)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$AE$12+D484*$AE$13+E484*$AE$14+F484*$AE$15+G484*$AE$16+H484*$AE$17+I484*$AE$18+J484*$AE$19+K484*$AE$20+L484*$AE$21+M484*$AE$22+N484*$AE$23+O484*$AE$24+P484*$AE$25+Q484*$AE$26+R484*$AE$27+S484*$AE$28+T484*$AE$29+U484*$AE$30</f>
        <v/>
      </c>
      <c r="W484" s="8">
        <f>1/(1+EXP(-V484))</f>
        <v/>
      </c>
      <c r="X484" s="9">
        <f>-IF(C484=1,LN(W484),LN(1-W484))</f>
        <v/>
      </c>
      <c r="Y484" s="8">
        <f>IF(C484=1,$AE$32,$AE$33)</f>
        <v/>
      </c>
      <c r="Z484" s="9">
        <f>Y484*X484</f>
        <v/>
      </c>
      <c r="AA484" s="10">
        <f>IF(W484&gt;$AE$34,1,0)</f>
        <v/>
      </c>
      <c r="AB484">
        <f>IF(AA484=C484,1,0)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$AE$12+D485*$AE$13+E485*$AE$14+F485*$AE$15+G485*$AE$16+H485*$AE$17+I485*$AE$18+J485*$AE$19+K485*$AE$20+L485*$AE$21+M485*$AE$22+N485*$AE$23+O485*$AE$24+P485*$AE$25+Q485*$AE$26+R485*$AE$27+S485*$AE$28+T485*$AE$29+U485*$AE$30</f>
        <v/>
      </c>
      <c r="W485" s="8">
        <f>1/(1+EXP(-V485))</f>
        <v/>
      </c>
      <c r="X485" s="9">
        <f>-IF(C485=1,LN(W485),LN(1-W485))</f>
        <v/>
      </c>
      <c r="Y485" s="8">
        <f>IF(C485=1,$AE$32,$AE$33)</f>
        <v/>
      </c>
      <c r="Z485" s="9">
        <f>Y485*X485</f>
        <v/>
      </c>
      <c r="AA485" s="10">
        <f>IF(W485&gt;$AE$34,1,0)</f>
        <v/>
      </c>
      <c r="AB485">
        <f>IF(AA485=C485,1,0)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$AE$12+D486*$AE$13+E486*$AE$14+F486*$AE$15+G486*$AE$16+H486*$AE$17+I486*$AE$18+J486*$AE$19+K486*$AE$20+L486*$AE$21+M486*$AE$22+N486*$AE$23+O486*$AE$24+P486*$AE$25+Q486*$AE$26+R486*$AE$27+S486*$AE$28+T486*$AE$29+U486*$AE$30</f>
        <v/>
      </c>
      <c r="W486" s="8">
        <f>1/(1+EXP(-V486))</f>
        <v/>
      </c>
      <c r="X486" s="9">
        <f>-IF(C486=1,LN(W486),LN(1-W486))</f>
        <v/>
      </c>
      <c r="Y486" s="8">
        <f>IF(C486=1,$AE$32,$AE$33)</f>
        <v/>
      </c>
      <c r="Z486" s="9">
        <f>Y486*X486</f>
        <v/>
      </c>
      <c r="AA486" s="10">
        <f>IF(W486&gt;$AE$34,1,0)</f>
        <v/>
      </c>
      <c r="AB486">
        <f>IF(AA486=C486,1,0)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$AE$12+D487*$AE$13+E487*$AE$14+F487*$AE$15+G487*$AE$16+H487*$AE$17+I487*$AE$18+J487*$AE$19+K487*$AE$20+L487*$AE$21+M487*$AE$22+N487*$AE$23+O487*$AE$24+P487*$AE$25+Q487*$AE$26+R487*$AE$27+S487*$AE$28+T487*$AE$29+U487*$AE$30</f>
        <v/>
      </c>
      <c r="W487" s="8">
        <f>1/(1+EXP(-V487))</f>
        <v/>
      </c>
      <c r="X487" s="9">
        <f>-IF(C487=1,LN(W487),LN(1-W487))</f>
        <v/>
      </c>
      <c r="Y487" s="8">
        <f>IF(C487=1,$AE$32,$AE$33)</f>
        <v/>
      </c>
      <c r="Z487" s="9">
        <f>Y487*X487</f>
        <v/>
      </c>
      <c r="AA487" s="10">
        <f>IF(W487&gt;$AE$34,1,0)</f>
        <v/>
      </c>
      <c r="AB487">
        <f>IF(AA487=C487,1,0)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$AE$12+D488*$AE$13+E488*$AE$14+F488*$AE$15+G488*$AE$16+H488*$AE$17+I488*$AE$18+J488*$AE$19+K488*$AE$20+L488*$AE$21+M488*$AE$22+N488*$AE$23+O488*$AE$24+P488*$AE$25+Q488*$AE$26+R488*$AE$27+S488*$AE$28+T488*$AE$29+U488*$AE$30</f>
        <v/>
      </c>
      <c r="W488" s="8">
        <f>1/(1+EXP(-V488))</f>
        <v/>
      </c>
      <c r="X488" s="9">
        <f>-IF(C488=1,LN(W488),LN(1-W488))</f>
        <v/>
      </c>
      <c r="Y488" s="8">
        <f>IF(C488=1,$AE$32,$AE$33)</f>
        <v/>
      </c>
      <c r="Z488" s="9">
        <f>Y488*X488</f>
        <v/>
      </c>
      <c r="AA488" s="10">
        <f>IF(W488&gt;$AE$34,1,0)</f>
        <v/>
      </c>
      <c r="AB488">
        <f>IF(AA488=C488,1,0)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$AE$12+D489*$AE$13+E489*$AE$14+F489*$AE$15+G489*$AE$16+H489*$AE$17+I489*$AE$18+J489*$AE$19+K489*$AE$20+L489*$AE$21+M489*$AE$22+N489*$AE$23+O489*$AE$24+P489*$AE$25+Q489*$AE$26+R489*$AE$27+S489*$AE$28+T489*$AE$29+U489*$AE$30</f>
        <v/>
      </c>
      <c r="W489" s="8">
        <f>1/(1+EXP(-V489))</f>
        <v/>
      </c>
      <c r="X489" s="9">
        <f>-IF(C489=1,LN(W489),LN(1-W489))</f>
        <v/>
      </c>
      <c r="Y489" s="8">
        <f>IF(C489=1,$AE$32,$AE$33)</f>
        <v/>
      </c>
      <c r="Z489" s="9">
        <f>Y489*X489</f>
        <v/>
      </c>
      <c r="AA489" s="10">
        <f>IF(W489&gt;$AE$34,1,0)</f>
        <v/>
      </c>
      <c r="AB489">
        <f>IF(AA489=C489,1,0)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$AE$12+D490*$AE$13+E490*$AE$14+F490*$AE$15+G490*$AE$16+H490*$AE$17+I490*$AE$18+J490*$AE$19+K490*$AE$20+L490*$AE$21+M490*$AE$22+N490*$AE$23+O490*$AE$24+P490*$AE$25+Q490*$AE$26+R490*$AE$27+S490*$AE$28+T490*$AE$29+U490*$AE$30</f>
        <v/>
      </c>
      <c r="W490" s="8">
        <f>1/(1+EXP(-V490))</f>
        <v/>
      </c>
      <c r="X490" s="9">
        <f>-IF(C490=1,LN(W490),LN(1-W490))</f>
        <v/>
      </c>
      <c r="Y490" s="8">
        <f>IF(C490=1,$AE$32,$AE$33)</f>
        <v/>
      </c>
      <c r="Z490" s="9">
        <f>Y490*X490</f>
        <v/>
      </c>
      <c r="AA490" s="10">
        <f>IF(W490&gt;$AE$34,1,0)</f>
        <v/>
      </c>
      <c r="AB490">
        <f>IF(AA490=C490,1,0)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$AE$12+D491*$AE$13+E491*$AE$14+F491*$AE$15+G491*$AE$16+H491*$AE$17+I491*$AE$18+J491*$AE$19+K491*$AE$20+L491*$AE$21+M491*$AE$22+N491*$AE$23+O491*$AE$24+P491*$AE$25+Q491*$AE$26+R491*$AE$27+S491*$AE$28+T491*$AE$29+U491*$AE$30</f>
        <v/>
      </c>
      <c r="W491" s="8">
        <f>1/(1+EXP(-V491))</f>
        <v/>
      </c>
      <c r="X491" s="9">
        <f>-IF(C491=1,LN(W491),LN(1-W491))</f>
        <v/>
      </c>
      <c r="Y491" s="8">
        <f>IF(C491=1,$AE$32,$AE$33)</f>
        <v/>
      </c>
      <c r="Z491" s="9">
        <f>Y491*X491</f>
        <v/>
      </c>
      <c r="AA491" s="10">
        <f>IF(W491&gt;$AE$34,1,0)</f>
        <v/>
      </c>
      <c r="AB491">
        <f>IF(AA491=C491,1,0)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$AE$12+D492*$AE$13+E492*$AE$14+F492*$AE$15+G492*$AE$16+H492*$AE$17+I492*$AE$18+J492*$AE$19+K492*$AE$20+L492*$AE$21+M492*$AE$22+N492*$AE$23+O492*$AE$24+P492*$AE$25+Q492*$AE$26+R492*$AE$27+S492*$AE$28+T492*$AE$29+U492*$AE$30</f>
        <v/>
      </c>
      <c r="W492" s="8">
        <f>1/(1+EXP(-V492))</f>
        <v/>
      </c>
      <c r="X492" s="9">
        <f>-IF(C492=1,LN(W492),LN(1-W492))</f>
        <v/>
      </c>
      <c r="Y492" s="8">
        <f>IF(C492=1,$AE$32,$AE$33)</f>
        <v/>
      </c>
      <c r="Z492" s="9">
        <f>Y492*X492</f>
        <v/>
      </c>
      <c r="AA492" s="10">
        <f>IF(W492&gt;$AE$34,1,0)</f>
        <v/>
      </c>
      <c r="AB492">
        <f>IF(AA492=C492,1,0)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$AE$12+D493*$AE$13+E493*$AE$14+F493*$AE$15+G493*$AE$16+H493*$AE$17+I493*$AE$18+J493*$AE$19+K493*$AE$20+L493*$AE$21+M493*$AE$22+N493*$AE$23+O493*$AE$24+P493*$AE$25+Q493*$AE$26+R493*$AE$27+S493*$AE$28+T493*$AE$29+U493*$AE$30</f>
        <v/>
      </c>
      <c r="W493" s="8">
        <f>1/(1+EXP(-V493))</f>
        <v/>
      </c>
      <c r="X493" s="9">
        <f>-IF(C493=1,LN(W493),LN(1-W493))</f>
        <v/>
      </c>
      <c r="Y493" s="8">
        <f>IF(C493=1,$AE$32,$AE$33)</f>
        <v/>
      </c>
      <c r="Z493" s="9">
        <f>Y493*X493</f>
        <v/>
      </c>
      <c r="AA493" s="10">
        <f>IF(W493&gt;$AE$34,1,0)</f>
        <v/>
      </c>
      <c r="AB493">
        <f>IF(AA493=C493,1,0)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$AE$12+D494*$AE$13+E494*$AE$14+F494*$AE$15+G494*$AE$16+H494*$AE$17+I494*$AE$18+J494*$AE$19+K494*$AE$20+L494*$AE$21+M494*$AE$22+N494*$AE$23+O494*$AE$24+P494*$AE$25+Q494*$AE$26+R494*$AE$27+S494*$AE$28+T494*$AE$29+U494*$AE$30</f>
        <v/>
      </c>
      <c r="W494" s="8">
        <f>1/(1+EXP(-V494))</f>
        <v/>
      </c>
      <c r="X494" s="9">
        <f>-IF(C494=1,LN(W494),LN(1-W494))</f>
        <v/>
      </c>
      <c r="Y494" s="8">
        <f>IF(C494=1,$AE$32,$AE$33)</f>
        <v/>
      </c>
      <c r="Z494" s="9">
        <f>Y494*X494</f>
        <v/>
      </c>
      <c r="AA494" s="10">
        <f>IF(W494&gt;$AE$34,1,0)</f>
        <v/>
      </c>
      <c r="AB494">
        <f>IF(AA494=C494,1,0)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$AE$12+D495*$AE$13+E495*$AE$14+F495*$AE$15+G495*$AE$16+H495*$AE$17+I495*$AE$18+J495*$AE$19+K495*$AE$20+L495*$AE$21+M495*$AE$22+N495*$AE$23+O495*$AE$24+P495*$AE$25+Q495*$AE$26+R495*$AE$27+S495*$AE$28+T495*$AE$29+U495*$AE$30</f>
        <v/>
      </c>
      <c r="W495" s="8">
        <f>1/(1+EXP(-V495))</f>
        <v/>
      </c>
      <c r="X495" s="9">
        <f>-IF(C495=1,LN(W495),LN(1-W495))</f>
        <v/>
      </c>
      <c r="Y495" s="8">
        <f>IF(C495=1,$AE$32,$AE$33)</f>
        <v/>
      </c>
      <c r="Z495" s="9">
        <f>Y495*X495</f>
        <v/>
      </c>
      <c r="AA495" s="10">
        <f>IF(W495&gt;$AE$34,1,0)</f>
        <v/>
      </c>
      <c r="AB495">
        <f>IF(AA495=C495,1,0)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$AE$12+D496*$AE$13+E496*$AE$14+F496*$AE$15+G496*$AE$16+H496*$AE$17+I496*$AE$18+J496*$AE$19+K496*$AE$20+L496*$AE$21+M496*$AE$22+N496*$AE$23+O496*$AE$24+P496*$AE$25+Q496*$AE$26+R496*$AE$27+S496*$AE$28+T496*$AE$29+U496*$AE$30</f>
        <v/>
      </c>
      <c r="W496" s="8">
        <f>1/(1+EXP(-V496))</f>
        <v/>
      </c>
      <c r="X496" s="9">
        <f>-IF(C496=1,LN(W496),LN(1-W496))</f>
        <v/>
      </c>
      <c r="Y496" s="8">
        <f>IF(C496=1,$AE$32,$AE$33)</f>
        <v/>
      </c>
      <c r="Z496" s="9">
        <f>Y496*X496</f>
        <v/>
      </c>
      <c r="AA496" s="10">
        <f>IF(W496&gt;$AE$34,1,0)</f>
        <v/>
      </c>
      <c r="AB496">
        <f>IF(AA496=C496,1,0)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$AE$12+D497*$AE$13+E497*$AE$14+F497*$AE$15+G497*$AE$16+H497*$AE$17+I497*$AE$18+J497*$AE$19+K497*$AE$20+L497*$AE$21+M497*$AE$22+N497*$AE$23+O497*$AE$24+P497*$AE$25+Q497*$AE$26+R497*$AE$27+S497*$AE$28+T497*$AE$29+U497*$AE$30</f>
        <v/>
      </c>
      <c r="W497" s="8">
        <f>1/(1+EXP(-V497))</f>
        <v/>
      </c>
      <c r="X497" s="9">
        <f>-IF(C497=1,LN(W497),LN(1-W497))</f>
        <v/>
      </c>
      <c r="Y497" s="8">
        <f>IF(C497=1,$AE$32,$AE$33)</f>
        <v/>
      </c>
      <c r="Z497" s="9">
        <f>Y497*X497</f>
        <v/>
      </c>
      <c r="AA497" s="10">
        <f>IF(W497&gt;$AE$34,1,0)</f>
        <v/>
      </c>
      <c r="AB497">
        <f>IF(AA497=C497,1,0)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$AE$12+D498*$AE$13+E498*$AE$14+F498*$AE$15+G498*$AE$16+H498*$AE$17+I498*$AE$18+J498*$AE$19+K498*$AE$20+L498*$AE$21+M498*$AE$22+N498*$AE$23+O498*$AE$24+P498*$AE$25+Q498*$AE$26+R498*$AE$27+S498*$AE$28+T498*$AE$29+U498*$AE$30</f>
        <v/>
      </c>
      <c r="W498" s="8">
        <f>1/(1+EXP(-V498))</f>
        <v/>
      </c>
      <c r="X498" s="9">
        <f>-IF(C498=1,LN(W498),LN(1-W498))</f>
        <v/>
      </c>
      <c r="Y498" s="8">
        <f>IF(C498=1,$AE$32,$AE$33)</f>
        <v/>
      </c>
      <c r="Z498" s="9">
        <f>Y498*X498</f>
        <v/>
      </c>
      <c r="AA498" s="10">
        <f>IF(W498&gt;$AE$34,1,0)</f>
        <v/>
      </c>
      <c r="AB498">
        <f>IF(AA498=C498,1,0)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$AE$12+D499*$AE$13+E499*$AE$14+F499*$AE$15+G499*$AE$16+H499*$AE$17+I499*$AE$18+J499*$AE$19+K499*$AE$20+L499*$AE$21+M499*$AE$22+N499*$AE$23+O499*$AE$24+P499*$AE$25+Q499*$AE$26+R499*$AE$27+S499*$AE$28+T499*$AE$29+U499*$AE$30</f>
        <v/>
      </c>
      <c r="W499" s="8">
        <f>1/(1+EXP(-V499))</f>
        <v/>
      </c>
      <c r="X499" s="9">
        <f>-IF(C499=1,LN(W499),LN(1-W499))</f>
        <v/>
      </c>
      <c r="Y499" s="8">
        <f>IF(C499=1,$AE$32,$AE$33)</f>
        <v/>
      </c>
      <c r="Z499" s="9">
        <f>Y499*X499</f>
        <v/>
      </c>
      <c r="AA499" s="10">
        <f>IF(W499&gt;$AE$34,1,0)</f>
        <v/>
      </c>
      <c r="AB499">
        <f>IF(AA499=C499,1,0)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$AE$12+D500*$AE$13+E500*$AE$14+F500*$AE$15+G500*$AE$16+H500*$AE$17+I500*$AE$18+J500*$AE$19+K500*$AE$20+L500*$AE$21+M500*$AE$22+N500*$AE$23+O500*$AE$24+P500*$AE$25+Q500*$AE$26+R500*$AE$27+S500*$AE$28+T500*$AE$29+U500*$AE$30</f>
        <v/>
      </c>
      <c r="W500" s="8">
        <f>1/(1+EXP(-V500))</f>
        <v/>
      </c>
      <c r="X500" s="9">
        <f>-IF(C500=1,LN(W500),LN(1-W500))</f>
        <v/>
      </c>
      <c r="Y500" s="8">
        <f>IF(C500=1,$AE$32,$AE$33)</f>
        <v/>
      </c>
      <c r="Z500" s="9">
        <f>Y500*X500</f>
        <v/>
      </c>
      <c r="AA500" s="10">
        <f>IF(W500&gt;$AE$34,1,0)</f>
        <v/>
      </c>
      <c r="AB500">
        <f>IF(AA500=C500,1,0)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$AE$12+D501*$AE$13+E501*$AE$14+F501*$AE$15+G501*$AE$16+H501*$AE$17+I501*$AE$18+J501*$AE$19+K501*$AE$20+L501*$AE$21+M501*$AE$22+N501*$AE$23+O501*$AE$24+P501*$AE$25+Q501*$AE$26+R501*$AE$27+S501*$AE$28+T501*$AE$29+U501*$AE$30</f>
        <v/>
      </c>
      <c r="W501" s="8">
        <f>1/(1+EXP(-V501))</f>
        <v/>
      </c>
      <c r="X501" s="9">
        <f>-IF(C501=1,LN(W501),LN(1-W501))</f>
        <v/>
      </c>
      <c r="Y501" s="8">
        <f>IF(C501=1,$AE$32,$AE$33)</f>
        <v/>
      </c>
      <c r="Z501" s="9">
        <f>Y501*X501</f>
        <v/>
      </c>
      <c r="AA501" s="10">
        <f>IF(W501&gt;$AE$34,1,0)</f>
        <v/>
      </c>
      <c r="AB501">
        <f>IF(AA501=C501,1,0)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$AE$12+D502*$AE$13+E502*$AE$14+F502*$AE$15+G502*$AE$16+H502*$AE$17+I502*$AE$18+J502*$AE$19+K502*$AE$20+L502*$AE$21+M502*$AE$22+N502*$AE$23+O502*$AE$24+P502*$AE$25+Q502*$AE$26+R502*$AE$27+S502*$AE$28+T502*$AE$29+U502*$AE$30</f>
        <v/>
      </c>
      <c r="W502" s="8">
        <f>1/(1+EXP(-V502))</f>
        <v/>
      </c>
      <c r="X502" s="9">
        <f>-IF(C502=1,LN(W502),LN(1-W502))</f>
        <v/>
      </c>
      <c r="Y502" s="8">
        <f>IF(C502=1,$AE$32,$AE$33)</f>
        <v/>
      </c>
      <c r="Z502" s="9">
        <f>Y502*X502</f>
        <v/>
      </c>
      <c r="AA502" s="10">
        <f>IF(W502&gt;$AE$34,1,0)</f>
        <v/>
      </c>
      <c r="AB502">
        <f>IF(AA502=C502,1,0)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$AE$12+D503*$AE$13+E503*$AE$14+F503*$AE$15+G503*$AE$16+H503*$AE$17+I503*$AE$18+J503*$AE$19+K503*$AE$20+L503*$AE$21+M503*$AE$22+N503*$AE$23+O503*$AE$24+P503*$AE$25+Q503*$AE$26+R503*$AE$27+S503*$AE$28+T503*$AE$29+U503*$AE$30</f>
        <v/>
      </c>
      <c r="W503" s="8">
        <f>1/(1+EXP(-V503))</f>
        <v/>
      </c>
      <c r="X503" s="9">
        <f>-IF(C503=1,LN(W503),LN(1-W503))</f>
        <v/>
      </c>
      <c r="Y503" s="8">
        <f>IF(C503=1,$AE$32,$AE$33)</f>
        <v/>
      </c>
      <c r="Z503" s="9">
        <f>Y503*X503</f>
        <v/>
      </c>
      <c r="AA503" s="10">
        <f>IF(W503&gt;$AE$34,1,0)</f>
        <v/>
      </c>
      <c r="AB503">
        <f>IF(AA503=C503,1,0)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$AE$12+D504*$AE$13+E504*$AE$14+F504*$AE$15+G504*$AE$16+H504*$AE$17+I504*$AE$18+J504*$AE$19+K504*$AE$20+L504*$AE$21+M504*$AE$22+N504*$AE$23+O504*$AE$24+P504*$AE$25+Q504*$AE$26+R504*$AE$27+S504*$AE$28+T504*$AE$29+U504*$AE$30</f>
        <v/>
      </c>
      <c r="W504" s="8">
        <f>1/(1+EXP(-V504))</f>
        <v/>
      </c>
      <c r="X504" s="9">
        <f>-IF(C504=1,LN(W504),LN(1-W504))</f>
        <v/>
      </c>
      <c r="Y504" s="8">
        <f>IF(C504=1,$AE$32,$AE$33)</f>
        <v/>
      </c>
      <c r="Z504" s="9">
        <f>Y504*X504</f>
        <v/>
      </c>
      <c r="AA504" s="10">
        <f>IF(W504&gt;$AE$34,1,0)</f>
        <v/>
      </c>
      <c r="AB504">
        <f>IF(AA504=C504,1,0)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$AE$12+D505*$AE$13+E505*$AE$14+F505*$AE$15+G505*$AE$16+H505*$AE$17+I505*$AE$18+J505*$AE$19+K505*$AE$20+L505*$AE$21+M505*$AE$22+N505*$AE$23+O505*$AE$24+P505*$AE$25+Q505*$AE$26+R505*$AE$27+S505*$AE$28+T505*$AE$29+U505*$AE$30</f>
        <v/>
      </c>
      <c r="W505" s="8">
        <f>1/(1+EXP(-V505))</f>
        <v/>
      </c>
      <c r="X505" s="9">
        <f>-IF(C505=1,LN(W505),LN(1-W505))</f>
        <v/>
      </c>
      <c r="Y505" s="8">
        <f>IF(C505=1,$AE$32,$AE$33)</f>
        <v/>
      </c>
      <c r="Z505" s="9">
        <f>Y505*X505</f>
        <v/>
      </c>
      <c r="AA505" s="10">
        <f>IF(W505&gt;$AE$34,1,0)</f>
        <v/>
      </c>
      <c r="AB505">
        <f>IF(AA505=C505,1,0)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$AE$12+D506*$AE$13+E506*$AE$14+F506*$AE$15+G506*$AE$16+H506*$AE$17+I506*$AE$18+J506*$AE$19+K506*$AE$20+L506*$AE$21+M506*$AE$22+N506*$AE$23+O506*$AE$24+P506*$AE$25+Q506*$AE$26+R506*$AE$27+S506*$AE$28+T506*$AE$29+U506*$AE$30</f>
        <v/>
      </c>
      <c r="W506" s="8">
        <f>1/(1+EXP(-V506))</f>
        <v/>
      </c>
      <c r="X506" s="9">
        <f>-IF(C506=1,LN(W506),LN(1-W506))</f>
        <v/>
      </c>
      <c r="Y506" s="8">
        <f>IF(C506=1,$AE$32,$AE$33)</f>
        <v/>
      </c>
      <c r="Z506" s="9">
        <f>Y506*X506</f>
        <v/>
      </c>
      <c r="AA506" s="10">
        <f>IF(W506&gt;$AE$34,1,0)</f>
        <v/>
      </c>
      <c r="AB506">
        <f>IF(AA506=C506,1,0)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$AE$12+D507*$AE$13+E507*$AE$14+F507*$AE$15+G507*$AE$16+H507*$AE$17+I507*$AE$18+J507*$AE$19+K507*$AE$20+L507*$AE$21+M507*$AE$22+N507*$AE$23+O507*$AE$24+P507*$AE$25+Q507*$AE$26+R507*$AE$27+S507*$AE$28+T507*$AE$29+U507*$AE$30</f>
        <v/>
      </c>
      <c r="W507" s="8">
        <f>1/(1+EXP(-V507))</f>
        <v/>
      </c>
      <c r="X507" s="9">
        <f>-IF(C507=1,LN(W507),LN(1-W507))</f>
        <v/>
      </c>
      <c r="Y507" s="8">
        <f>IF(C507=1,$AE$32,$AE$33)</f>
        <v/>
      </c>
      <c r="Z507" s="9">
        <f>Y507*X507</f>
        <v/>
      </c>
      <c r="AA507" s="10">
        <f>IF(W507&gt;$AE$34,1,0)</f>
        <v/>
      </c>
      <c r="AB507">
        <f>IF(AA507=C507,1,0)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$AE$12+D508*$AE$13+E508*$AE$14+F508*$AE$15+G508*$AE$16+H508*$AE$17+I508*$AE$18+J508*$AE$19+K508*$AE$20+L508*$AE$21+M508*$AE$22+N508*$AE$23+O508*$AE$24+P508*$AE$25+Q508*$AE$26+R508*$AE$27+S508*$AE$28+T508*$AE$29+U508*$AE$30</f>
        <v/>
      </c>
      <c r="W508" s="8">
        <f>1/(1+EXP(-V508))</f>
        <v/>
      </c>
      <c r="X508" s="9">
        <f>-IF(C508=1,LN(W508),LN(1-W508))</f>
        <v/>
      </c>
      <c r="Y508" s="8">
        <f>IF(C508=1,$AE$32,$AE$33)</f>
        <v/>
      </c>
      <c r="Z508" s="9">
        <f>Y508*X508</f>
        <v/>
      </c>
      <c r="AA508" s="10">
        <f>IF(W508&gt;$AE$34,1,0)</f>
        <v/>
      </c>
      <c r="AB508">
        <f>IF(AA508=C508,1,0)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$AE$12+D509*$AE$13+E509*$AE$14+F509*$AE$15+G509*$AE$16+H509*$AE$17+I509*$AE$18+J509*$AE$19+K509*$AE$20+L509*$AE$21+M509*$AE$22+N509*$AE$23+O509*$AE$24+P509*$AE$25+Q509*$AE$26+R509*$AE$27+S509*$AE$28+T509*$AE$29+U509*$AE$30</f>
        <v/>
      </c>
      <c r="W509" s="8">
        <f>1/(1+EXP(-V509))</f>
        <v/>
      </c>
      <c r="X509" s="9">
        <f>-IF(C509=1,LN(W509),LN(1-W509))</f>
        <v/>
      </c>
      <c r="Y509" s="8">
        <f>IF(C509=1,$AE$32,$AE$33)</f>
        <v/>
      </c>
      <c r="Z509" s="9">
        <f>Y509*X509</f>
        <v/>
      </c>
      <c r="AA509" s="10">
        <f>IF(W509&gt;$AE$34,1,0)</f>
        <v/>
      </c>
      <c r="AB509">
        <f>IF(AA509=C509,1,0)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$AE$12+D510*$AE$13+E510*$AE$14+F510*$AE$15+G510*$AE$16+H510*$AE$17+I510*$AE$18+J510*$AE$19+K510*$AE$20+L510*$AE$21+M510*$AE$22+N510*$AE$23+O510*$AE$24+P510*$AE$25+Q510*$AE$26+R510*$AE$27+S510*$AE$28+T510*$AE$29+U510*$AE$30</f>
        <v/>
      </c>
      <c r="W510" s="8">
        <f>1/(1+EXP(-V510))</f>
        <v/>
      </c>
      <c r="X510" s="9">
        <f>-IF(C510=1,LN(W510),LN(1-W510))</f>
        <v/>
      </c>
      <c r="Y510" s="8">
        <f>IF(C510=1,$AE$32,$AE$33)</f>
        <v/>
      </c>
      <c r="Z510" s="9">
        <f>Y510*X510</f>
        <v/>
      </c>
      <c r="AA510" s="10">
        <f>IF(W510&gt;$AE$34,1,0)</f>
        <v/>
      </c>
      <c r="AB510">
        <f>IF(AA510=C510,1,0)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$AE$12+D511*$AE$13+E511*$AE$14+F511*$AE$15+G511*$AE$16+H511*$AE$17+I511*$AE$18+J511*$AE$19+K511*$AE$20+L511*$AE$21+M511*$AE$22+N511*$AE$23+O511*$AE$24+P511*$AE$25+Q511*$AE$26+R511*$AE$27+S511*$AE$28+T511*$AE$29+U511*$AE$30</f>
        <v/>
      </c>
      <c r="W511" s="8">
        <f>1/(1+EXP(-V511))</f>
        <v/>
      </c>
      <c r="X511" s="9">
        <f>-IF(C511=1,LN(W511),LN(1-W511))</f>
        <v/>
      </c>
      <c r="Y511" s="8">
        <f>IF(C511=1,$AE$32,$AE$33)</f>
        <v/>
      </c>
      <c r="Z511" s="9">
        <f>Y511*X511</f>
        <v/>
      </c>
      <c r="AA511" s="10">
        <f>IF(W511&gt;$AE$34,1,0)</f>
        <v/>
      </c>
      <c r="AB511">
        <f>IF(AA511=C511,1,0)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$AE$12+D512*$AE$13+E512*$AE$14+F512*$AE$15+G512*$AE$16+H512*$AE$17+I512*$AE$18+J512*$AE$19+K512*$AE$20+L512*$AE$21+M512*$AE$22+N512*$AE$23+O512*$AE$24+P512*$AE$25+Q512*$AE$26+R512*$AE$27+S512*$AE$28+T512*$AE$29+U512*$AE$30</f>
        <v/>
      </c>
      <c r="W512" s="8">
        <f>1/(1+EXP(-V512))</f>
        <v/>
      </c>
      <c r="X512" s="9">
        <f>-IF(C512=1,LN(W512),LN(1-W512))</f>
        <v/>
      </c>
      <c r="Y512" s="8">
        <f>IF(C512=1,$AE$32,$AE$33)</f>
        <v/>
      </c>
      <c r="Z512" s="9">
        <f>Y512*X512</f>
        <v/>
      </c>
      <c r="AA512" s="10">
        <f>IF(W512&gt;$AE$34,1,0)</f>
        <v/>
      </c>
      <c r="AB512">
        <f>IF(AA512=C512,1,0)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$AE$12+D513*$AE$13+E513*$AE$14+F513*$AE$15+G513*$AE$16+H513*$AE$17+I513*$AE$18+J513*$AE$19+K513*$AE$20+L513*$AE$21+M513*$AE$22+N513*$AE$23+O513*$AE$24+P513*$AE$25+Q513*$AE$26+R513*$AE$27+S513*$AE$28+T513*$AE$29+U513*$AE$30</f>
        <v/>
      </c>
      <c r="W513" s="8">
        <f>1/(1+EXP(-V513))</f>
        <v/>
      </c>
      <c r="X513" s="9">
        <f>-IF(C513=1,LN(W513),LN(1-W513))</f>
        <v/>
      </c>
      <c r="Y513" s="8">
        <f>IF(C513=1,$AE$32,$AE$33)</f>
        <v/>
      </c>
      <c r="Z513" s="9">
        <f>Y513*X513</f>
        <v/>
      </c>
      <c r="AA513" s="10">
        <f>IF(W513&gt;$AE$34,1,0)</f>
        <v/>
      </c>
      <c r="AB513">
        <f>IF(AA513=C513,1,0)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$AE$12+D514*$AE$13+E514*$AE$14+F514*$AE$15+G514*$AE$16+H514*$AE$17+I514*$AE$18+J514*$AE$19+K514*$AE$20+L514*$AE$21+M514*$AE$22+N514*$AE$23+O514*$AE$24+P514*$AE$25+Q514*$AE$26+R514*$AE$27+S514*$AE$28+T514*$AE$29+U514*$AE$30</f>
        <v/>
      </c>
      <c r="W514" s="8">
        <f>1/(1+EXP(-V514))</f>
        <v/>
      </c>
      <c r="X514" s="9">
        <f>-IF(C514=1,LN(W514),LN(1-W514))</f>
        <v/>
      </c>
      <c r="Y514" s="8">
        <f>IF(C514=1,$AE$32,$AE$33)</f>
        <v/>
      </c>
      <c r="Z514" s="9">
        <f>Y514*X514</f>
        <v/>
      </c>
      <c r="AA514" s="10">
        <f>IF(W514&gt;$AE$34,1,0)</f>
        <v/>
      </c>
      <c r="AB514">
        <f>IF(AA514=C514,1,0)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$AE$12+D515*$AE$13+E515*$AE$14+F515*$AE$15+G515*$AE$16+H515*$AE$17+I515*$AE$18+J515*$AE$19+K515*$AE$20+L515*$AE$21+M515*$AE$22+N515*$AE$23+O515*$AE$24+P515*$AE$25+Q515*$AE$26+R515*$AE$27+S515*$AE$28+T515*$AE$29+U515*$AE$30</f>
        <v/>
      </c>
      <c r="W515" s="8">
        <f>1/(1+EXP(-V515))</f>
        <v/>
      </c>
      <c r="X515" s="9">
        <f>-IF(C515=1,LN(W515),LN(1-W515))</f>
        <v/>
      </c>
      <c r="Y515" s="8">
        <f>IF(C515=1,$AE$32,$AE$33)</f>
        <v/>
      </c>
      <c r="Z515" s="9">
        <f>Y515*X515</f>
        <v/>
      </c>
      <c r="AA515" s="10">
        <f>IF(W515&gt;$AE$34,1,0)</f>
        <v/>
      </c>
      <c r="AB515">
        <f>IF(AA515=C515,1,0)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$AE$12+D516*$AE$13+E516*$AE$14+F516*$AE$15+G516*$AE$16+H516*$AE$17+I516*$AE$18+J516*$AE$19+K516*$AE$20+L516*$AE$21+M516*$AE$22+N516*$AE$23+O516*$AE$24+P516*$AE$25+Q516*$AE$26+R516*$AE$27+S516*$AE$28+T516*$AE$29+U516*$AE$30</f>
        <v/>
      </c>
      <c r="W516" s="8">
        <f>1/(1+EXP(-V516))</f>
        <v/>
      </c>
      <c r="X516" s="9">
        <f>-IF(C516=1,LN(W516),LN(1-W516))</f>
        <v/>
      </c>
      <c r="Y516" s="8">
        <f>IF(C516=1,$AE$32,$AE$33)</f>
        <v/>
      </c>
      <c r="Z516" s="9">
        <f>Y516*X516</f>
        <v/>
      </c>
      <c r="AA516" s="10">
        <f>IF(W516&gt;$AE$34,1,0)</f>
        <v/>
      </c>
      <c r="AB516">
        <f>IF(AA516=C516,1,0)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$AE$12+D517*$AE$13+E517*$AE$14+F517*$AE$15+G517*$AE$16+H517*$AE$17+I517*$AE$18+J517*$AE$19+K517*$AE$20+L517*$AE$21+M517*$AE$22+N517*$AE$23+O517*$AE$24+P517*$AE$25+Q517*$AE$26+R517*$AE$27+S517*$AE$28+T517*$AE$29+U517*$AE$30</f>
        <v/>
      </c>
      <c r="W517" s="8">
        <f>1/(1+EXP(-V517))</f>
        <v/>
      </c>
      <c r="X517" s="9">
        <f>-IF(C517=1,LN(W517),LN(1-W517))</f>
        <v/>
      </c>
      <c r="Y517" s="8">
        <f>IF(C517=1,$AE$32,$AE$33)</f>
        <v/>
      </c>
      <c r="Z517" s="9">
        <f>Y517*X517</f>
        <v/>
      </c>
      <c r="AA517" s="10">
        <f>IF(W517&gt;$AE$34,1,0)</f>
        <v/>
      </c>
      <c r="AB517">
        <f>IF(AA517=C517,1,0)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$AE$12+D518*$AE$13+E518*$AE$14+F518*$AE$15+G518*$AE$16+H518*$AE$17+I518*$AE$18+J518*$AE$19+K518*$AE$20+L518*$AE$21+M518*$AE$22+N518*$AE$23+O518*$AE$24+P518*$AE$25+Q518*$AE$26+R518*$AE$27+S518*$AE$28+T518*$AE$29+U518*$AE$30</f>
        <v/>
      </c>
      <c r="W518" s="8">
        <f>1/(1+EXP(-V518))</f>
        <v/>
      </c>
      <c r="X518" s="9">
        <f>-IF(C518=1,LN(W518),LN(1-W518))</f>
        <v/>
      </c>
      <c r="Y518" s="8">
        <f>IF(C518=1,$AE$32,$AE$33)</f>
        <v/>
      </c>
      <c r="Z518" s="9">
        <f>Y518*X518</f>
        <v/>
      </c>
      <c r="AA518" s="10">
        <f>IF(W518&gt;$AE$34,1,0)</f>
        <v/>
      </c>
      <c r="AB518">
        <f>IF(AA518=C518,1,0)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$AE$12+D519*$AE$13+E519*$AE$14+F519*$AE$15+G519*$AE$16+H519*$AE$17+I519*$AE$18+J519*$AE$19+K519*$AE$20+L519*$AE$21+M519*$AE$22+N519*$AE$23+O519*$AE$24+P519*$AE$25+Q519*$AE$26+R519*$AE$27+S519*$AE$28+T519*$AE$29+U519*$AE$30</f>
        <v/>
      </c>
      <c r="W519" s="8">
        <f>1/(1+EXP(-V519))</f>
        <v/>
      </c>
      <c r="X519" s="9">
        <f>-IF(C519=1,LN(W519),LN(1-W519))</f>
        <v/>
      </c>
      <c r="Y519" s="8">
        <f>IF(C519=1,$AE$32,$AE$33)</f>
        <v/>
      </c>
      <c r="Z519" s="9">
        <f>Y519*X519</f>
        <v/>
      </c>
      <c r="AA519" s="10">
        <f>IF(W519&gt;$AE$34,1,0)</f>
        <v/>
      </c>
      <c r="AB519">
        <f>IF(AA519=C519,1,0)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$AE$12+D520*$AE$13+E520*$AE$14+F520*$AE$15+G520*$AE$16+H520*$AE$17+I520*$AE$18+J520*$AE$19+K520*$AE$20+L520*$AE$21+M520*$AE$22+N520*$AE$23+O520*$AE$24+P520*$AE$25+Q520*$AE$26+R520*$AE$27+S520*$AE$28+T520*$AE$29+U520*$AE$30</f>
        <v/>
      </c>
      <c r="W520" s="8">
        <f>1/(1+EXP(-V520))</f>
        <v/>
      </c>
      <c r="X520" s="9">
        <f>-IF(C520=1,LN(W520),LN(1-W520))</f>
        <v/>
      </c>
      <c r="Y520" s="8">
        <f>IF(C520=1,$AE$32,$AE$33)</f>
        <v/>
      </c>
      <c r="Z520" s="9">
        <f>Y520*X520</f>
        <v/>
      </c>
      <c r="AA520" s="10">
        <f>IF(W520&gt;$AE$34,1,0)</f>
        <v/>
      </c>
      <c r="AB520">
        <f>IF(AA520=C520,1,0)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$AE$12+D521*$AE$13+E521*$AE$14+F521*$AE$15+G521*$AE$16+H521*$AE$17+I521*$AE$18+J521*$AE$19+K521*$AE$20+L521*$AE$21+M521*$AE$22+N521*$AE$23+O521*$AE$24+P521*$AE$25+Q521*$AE$26+R521*$AE$27+S521*$AE$28+T521*$AE$29+U521*$AE$30</f>
        <v/>
      </c>
      <c r="W521" s="8">
        <f>1/(1+EXP(-V521))</f>
        <v/>
      </c>
      <c r="X521" s="9">
        <f>-IF(C521=1,LN(W521),LN(1-W521))</f>
        <v/>
      </c>
      <c r="Y521" s="8">
        <f>IF(C521=1,$AE$32,$AE$33)</f>
        <v/>
      </c>
      <c r="Z521" s="9">
        <f>Y521*X521</f>
        <v/>
      </c>
      <c r="AA521" s="10">
        <f>IF(W521&gt;$AE$34,1,0)</f>
        <v/>
      </c>
      <c r="AB521">
        <f>IF(AA521=C521,1,0)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$AE$12+D522*$AE$13+E522*$AE$14+F522*$AE$15+G522*$AE$16+H522*$AE$17+I522*$AE$18+J522*$AE$19+K522*$AE$20+L522*$AE$21+M522*$AE$22+N522*$AE$23+O522*$AE$24+P522*$AE$25+Q522*$AE$26+R522*$AE$27+S522*$AE$28+T522*$AE$29+U522*$AE$30</f>
        <v/>
      </c>
      <c r="W522" s="8">
        <f>1/(1+EXP(-V522))</f>
        <v/>
      </c>
      <c r="X522" s="9">
        <f>-IF(C522=1,LN(W522),LN(1-W522))</f>
        <v/>
      </c>
      <c r="Y522" s="8">
        <f>IF(C522=1,$AE$32,$AE$33)</f>
        <v/>
      </c>
      <c r="Z522" s="9">
        <f>Y522*X522</f>
        <v/>
      </c>
      <c r="AA522" s="10">
        <f>IF(W522&gt;$AE$34,1,0)</f>
        <v/>
      </c>
      <c r="AB522">
        <f>IF(AA522=C522,1,0)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$AE$12+D523*$AE$13+E523*$AE$14+F523*$AE$15+G523*$AE$16+H523*$AE$17+I523*$AE$18+J523*$AE$19+K523*$AE$20+L523*$AE$21+M523*$AE$22+N523*$AE$23+O523*$AE$24+P523*$AE$25+Q523*$AE$26+R523*$AE$27+S523*$AE$28+T523*$AE$29+U523*$AE$30</f>
        <v/>
      </c>
      <c r="W523" s="8">
        <f>1/(1+EXP(-V523))</f>
        <v/>
      </c>
      <c r="X523" s="9">
        <f>-IF(C523=1,LN(W523),LN(1-W523))</f>
        <v/>
      </c>
      <c r="Y523" s="8">
        <f>IF(C523=1,$AE$32,$AE$33)</f>
        <v/>
      </c>
      <c r="Z523" s="9">
        <f>Y523*X523</f>
        <v/>
      </c>
      <c r="AA523" s="10">
        <f>IF(W523&gt;$AE$34,1,0)</f>
        <v/>
      </c>
      <c r="AB523">
        <f>IF(AA523=C523,1,0)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$AE$12+D524*$AE$13+E524*$AE$14+F524*$AE$15+G524*$AE$16+H524*$AE$17+I524*$AE$18+J524*$AE$19+K524*$AE$20+L524*$AE$21+M524*$AE$22+N524*$AE$23+O524*$AE$24+P524*$AE$25+Q524*$AE$26+R524*$AE$27+S524*$AE$28+T524*$AE$29+U524*$AE$30</f>
        <v/>
      </c>
      <c r="W524" s="8">
        <f>1/(1+EXP(-V524))</f>
        <v/>
      </c>
      <c r="X524" s="9">
        <f>-IF(C524=1,LN(W524),LN(1-W524))</f>
        <v/>
      </c>
      <c r="Y524" s="8">
        <f>IF(C524=1,$AE$32,$AE$33)</f>
        <v/>
      </c>
      <c r="Z524" s="9">
        <f>Y524*X524</f>
        <v/>
      </c>
      <c r="AA524" s="10">
        <f>IF(W524&gt;$AE$34,1,0)</f>
        <v/>
      </c>
      <c r="AB524">
        <f>IF(AA524=C524,1,0)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$AE$12+D525*$AE$13+E525*$AE$14+F525*$AE$15+G525*$AE$16+H525*$AE$17+I525*$AE$18+J525*$AE$19+K525*$AE$20+L525*$AE$21+M525*$AE$22+N525*$AE$23+O525*$AE$24+P525*$AE$25+Q525*$AE$26+R525*$AE$27+S525*$AE$28+T525*$AE$29+U525*$AE$30</f>
        <v/>
      </c>
      <c r="W525" s="8">
        <f>1/(1+EXP(-V525))</f>
        <v/>
      </c>
      <c r="X525" s="9">
        <f>-IF(C525=1,LN(W525),LN(1-W525))</f>
        <v/>
      </c>
      <c r="Y525" s="8">
        <f>IF(C525=1,$AE$32,$AE$33)</f>
        <v/>
      </c>
      <c r="Z525" s="9">
        <f>Y525*X525</f>
        <v/>
      </c>
      <c r="AA525" s="10">
        <f>IF(W525&gt;$AE$34,1,0)</f>
        <v/>
      </c>
      <c r="AB525">
        <f>IF(AA525=C525,1,0)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$AE$12+D526*$AE$13+E526*$AE$14+F526*$AE$15+G526*$AE$16+H526*$AE$17+I526*$AE$18+J526*$AE$19+K526*$AE$20+L526*$AE$21+M526*$AE$22+N526*$AE$23+O526*$AE$24+P526*$AE$25+Q526*$AE$26+R526*$AE$27+S526*$AE$28+T526*$AE$29+U526*$AE$30</f>
        <v/>
      </c>
      <c r="W526" s="8">
        <f>1/(1+EXP(-V526))</f>
        <v/>
      </c>
      <c r="X526" s="9">
        <f>-IF(C526=1,LN(W526),LN(1-W526))</f>
        <v/>
      </c>
      <c r="Y526" s="8">
        <f>IF(C526=1,$AE$32,$AE$33)</f>
        <v/>
      </c>
      <c r="Z526" s="9">
        <f>Y526*X526</f>
        <v/>
      </c>
      <c r="AA526" s="10">
        <f>IF(W526&gt;$AE$34,1,0)</f>
        <v/>
      </c>
      <c r="AB526">
        <f>IF(AA526=C526,1,0)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$AE$12+D527*$AE$13+E527*$AE$14+F527*$AE$15+G527*$AE$16+H527*$AE$17+I527*$AE$18+J527*$AE$19+K527*$AE$20+L527*$AE$21+M527*$AE$22+N527*$AE$23+O527*$AE$24+P527*$AE$25+Q527*$AE$26+R527*$AE$27+S527*$AE$28+T527*$AE$29+U527*$AE$30</f>
        <v/>
      </c>
      <c r="W527" s="8">
        <f>1/(1+EXP(-V527))</f>
        <v/>
      </c>
      <c r="X527" s="9">
        <f>-IF(C527=1,LN(W527),LN(1-W527))</f>
        <v/>
      </c>
      <c r="Y527" s="8">
        <f>IF(C527=1,$AE$32,$AE$33)</f>
        <v/>
      </c>
      <c r="Z527" s="9">
        <f>Y527*X527</f>
        <v/>
      </c>
      <c r="AA527" s="10">
        <f>IF(W527&gt;$AE$34,1,0)</f>
        <v/>
      </c>
      <c r="AB527">
        <f>IF(AA527=C527,1,0)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$AE$12+D528*$AE$13+E528*$AE$14+F528*$AE$15+G528*$AE$16+H528*$AE$17+I528*$AE$18+J528*$AE$19+K528*$AE$20+L528*$AE$21+M528*$AE$22+N528*$AE$23+O528*$AE$24+P528*$AE$25+Q528*$AE$26+R528*$AE$27+S528*$AE$28+T528*$AE$29+U528*$AE$30</f>
        <v/>
      </c>
      <c r="W528" s="8">
        <f>1/(1+EXP(-V528))</f>
        <v/>
      </c>
      <c r="X528" s="9">
        <f>-IF(C528=1,LN(W528),LN(1-W528))</f>
        <v/>
      </c>
      <c r="Y528" s="8">
        <f>IF(C528=1,$AE$32,$AE$33)</f>
        <v/>
      </c>
      <c r="Z528" s="9">
        <f>Y528*X528</f>
        <v/>
      </c>
      <c r="AA528" s="10">
        <f>IF(W528&gt;$AE$34,1,0)</f>
        <v/>
      </c>
      <c r="AB528">
        <f>IF(AA528=C528,1,0)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$AE$12+D529*$AE$13+E529*$AE$14+F529*$AE$15+G529*$AE$16+H529*$AE$17+I529*$AE$18+J529*$AE$19+K529*$AE$20+L529*$AE$21+M529*$AE$22+N529*$AE$23+O529*$AE$24+P529*$AE$25+Q529*$AE$26+R529*$AE$27+S529*$AE$28+T529*$AE$29+U529*$AE$30</f>
        <v/>
      </c>
      <c r="W529" s="8">
        <f>1/(1+EXP(-V529))</f>
        <v/>
      </c>
      <c r="X529" s="9">
        <f>-IF(C529=1,LN(W529),LN(1-W529))</f>
        <v/>
      </c>
      <c r="Y529" s="8">
        <f>IF(C529=1,$AE$32,$AE$33)</f>
        <v/>
      </c>
      <c r="Z529" s="9">
        <f>Y529*X529</f>
        <v/>
      </c>
      <c r="AA529" s="10">
        <f>IF(W529&gt;$AE$34,1,0)</f>
        <v/>
      </c>
      <c r="AB529">
        <f>IF(AA529=C529,1,0)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$AE$12+D530*$AE$13+E530*$AE$14+F530*$AE$15+G530*$AE$16+H530*$AE$17+I530*$AE$18+J530*$AE$19+K530*$AE$20+L530*$AE$21+M530*$AE$22+N530*$AE$23+O530*$AE$24+P530*$AE$25+Q530*$AE$26+R530*$AE$27+S530*$AE$28+T530*$AE$29+U530*$AE$30</f>
        <v/>
      </c>
      <c r="W530" s="8">
        <f>1/(1+EXP(-V530))</f>
        <v/>
      </c>
      <c r="X530" s="9">
        <f>-IF(C530=1,LN(W530),LN(1-W530))</f>
        <v/>
      </c>
      <c r="Y530" s="8">
        <f>IF(C530=1,$AE$32,$AE$33)</f>
        <v/>
      </c>
      <c r="Z530" s="9">
        <f>Y530*X530</f>
        <v/>
      </c>
      <c r="AA530" s="10">
        <f>IF(W530&gt;$AE$34,1,0)</f>
        <v/>
      </c>
      <c r="AB530">
        <f>IF(AA530=C530,1,0)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$AE$12+D531*$AE$13+E531*$AE$14+F531*$AE$15+G531*$AE$16+H531*$AE$17+I531*$AE$18+J531*$AE$19+K531*$AE$20+L531*$AE$21+M531*$AE$22+N531*$AE$23+O531*$AE$24+P531*$AE$25+Q531*$AE$26+R531*$AE$27+S531*$AE$28+T531*$AE$29+U531*$AE$30</f>
        <v/>
      </c>
      <c r="W531" s="8">
        <f>1/(1+EXP(-V531))</f>
        <v/>
      </c>
      <c r="X531" s="9">
        <f>-IF(C531=1,LN(W531),LN(1-W531))</f>
        <v/>
      </c>
      <c r="Y531" s="8">
        <f>IF(C531=1,$AE$32,$AE$33)</f>
        <v/>
      </c>
      <c r="Z531" s="9">
        <f>Y531*X531</f>
        <v/>
      </c>
      <c r="AA531" s="10">
        <f>IF(W531&gt;$AE$34,1,0)</f>
        <v/>
      </c>
      <c r="AB531">
        <f>IF(AA531=C531,1,0)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$AE$12+D532*$AE$13+E532*$AE$14+F532*$AE$15+G532*$AE$16+H532*$AE$17+I532*$AE$18+J532*$AE$19+K532*$AE$20+L532*$AE$21+M532*$AE$22+N532*$AE$23+O532*$AE$24+P532*$AE$25+Q532*$AE$26+R532*$AE$27+S532*$AE$28+T532*$AE$29+U532*$AE$30</f>
        <v/>
      </c>
      <c r="W532" s="8">
        <f>1/(1+EXP(-V532))</f>
        <v/>
      </c>
      <c r="X532" s="9">
        <f>-IF(C532=1,LN(W532),LN(1-W532))</f>
        <v/>
      </c>
      <c r="Y532" s="8">
        <f>IF(C532=1,$AE$32,$AE$33)</f>
        <v/>
      </c>
      <c r="Z532" s="9">
        <f>Y532*X532</f>
        <v/>
      </c>
      <c r="AA532" s="10">
        <f>IF(W532&gt;$AE$34,1,0)</f>
        <v/>
      </c>
      <c r="AB532">
        <f>IF(AA532=C532,1,0)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$AE$12+D533*$AE$13+E533*$AE$14+F533*$AE$15+G533*$AE$16+H533*$AE$17+I533*$AE$18+J533*$AE$19+K533*$AE$20+L533*$AE$21+M533*$AE$22+N533*$AE$23+O533*$AE$24+P533*$AE$25+Q533*$AE$26+R533*$AE$27+S533*$AE$28+T533*$AE$29+U533*$AE$30</f>
        <v/>
      </c>
      <c r="W533" s="8">
        <f>1/(1+EXP(-V533))</f>
        <v/>
      </c>
      <c r="X533" s="9">
        <f>-IF(C533=1,LN(W533),LN(1-W533))</f>
        <v/>
      </c>
      <c r="Y533" s="8">
        <f>IF(C533=1,$AE$32,$AE$33)</f>
        <v/>
      </c>
      <c r="Z533" s="9">
        <f>Y533*X533</f>
        <v/>
      </c>
      <c r="AA533" s="10">
        <f>IF(W533&gt;$AE$34,1,0)</f>
        <v/>
      </c>
      <c r="AB533">
        <f>IF(AA533=C533,1,0)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$AE$12+D534*$AE$13+E534*$AE$14+F534*$AE$15+G534*$AE$16+H534*$AE$17+I534*$AE$18+J534*$AE$19+K534*$AE$20+L534*$AE$21+M534*$AE$22+N534*$AE$23+O534*$AE$24+P534*$AE$25+Q534*$AE$26+R534*$AE$27+S534*$AE$28+T534*$AE$29+U534*$AE$30</f>
        <v/>
      </c>
      <c r="W534" s="8">
        <f>1/(1+EXP(-V534))</f>
        <v/>
      </c>
      <c r="X534" s="9">
        <f>-IF(C534=1,LN(W534),LN(1-W534))</f>
        <v/>
      </c>
      <c r="Y534" s="8">
        <f>IF(C534=1,$AE$32,$AE$33)</f>
        <v/>
      </c>
      <c r="Z534" s="9">
        <f>Y534*X534</f>
        <v/>
      </c>
      <c r="AA534" s="10">
        <f>IF(W534&gt;$AE$34,1,0)</f>
        <v/>
      </c>
      <c r="AB534">
        <f>IF(AA534=C534,1,0)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$AE$12+D535*$AE$13+E535*$AE$14+F535*$AE$15+G535*$AE$16+H535*$AE$17+I535*$AE$18+J535*$AE$19+K535*$AE$20+L535*$AE$21+M535*$AE$22+N535*$AE$23+O535*$AE$24+P535*$AE$25+Q535*$AE$26+R535*$AE$27+S535*$AE$28+T535*$AE$29+U535*$AE$30</f>
        <v/>
      </c>
      <c r="W535" s="8">
        <f>1/(1+EXP(-V535))</f>
        <v/>
      </c>
      <c r="X535" s="9">
        <f>-IF(C535=1,LN(W535),LN(1-W535))</f>
        <v/>
      </c>
      <c r="Y535" s="8">
        <f>IF(C535=1,$AE$32,$AE$33)</f>
        <v/>
      </c>
      <c r="Z535" s="9">
        <f>Y535*X535</f>
        <v/>
      </c>
      <c r="AA535" s="10">
        <f>IF(W535&gt;$AE$34,1,0)</f>
        <v/>
      </c>
      <c r="AB535">
        <f>IF(AA535=C535,1,0)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$AE$12+D536*$AE$13+E536*$AE$14+F536*$AE$15+G536*$AE$16+H536*$AE$17+I536*$AE$18+J536*$AE$19+K536*$AE$20+L536*$AE$21+M536*$AE$22+N536*$AE$23+O536*$AE$24+P536*$AE$25+Q536*$AE$26+R536*$AE$27+S536*$AE$28+T536*$AE$29+U536*$AE$30</f>
        <v/>
      </c>
      <c r="W536" s="8">
        <f>1/(1+EXP(-V536))</f>
        <v/>
      </c>
      <c r="X536" s="9">
        <f>-IF(C536=1,LN(W536),LN(1-W536))</f>
        <v/>
      </c>
      <c r="Y536" s="8">
        <f>IF(C536=1,$AE$32,$AE$33)</f>
        <v/>
      </c>
      <c r="Z536" s="9">
        <f>Y536*X536</f>
        <v/>
      </c>
      <c r="AA536" s="10">
        <f>IF(W536&gt;$AE$34,1,0)</f>
        <v/>
      </c>
      <c r="AB536">
        <f>IF(AA536=C536,1,0)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$AE$12+D537*$AE$13+E537*$AE$14+F537*$AE$15+G537*$AE$16+H537*$AE$17+I537*$AE$18+J537*$AE$19+K537*$AE$20+L537*$AE$21+M537*$AE$22+N537*$AE$23+O537*$AE$24+P537*$AE$25+Q537*$AE$26+R537*$AE$27+S537*$AE$28+T537*$AE$29+U537*$AE$30</f>
        <v/>
      </c>
      <c r="W537" s="8">
        <f>1/(1+EXP(-V537))</f>
        <v/>
      </c>
      <c r="X537" s="9">
        <f>-IF(C537=1,LN(W537),LN(1-W537))</f>
        <v/>
      </c>
      <c r="Y537" s="8">
        <f>IF(C537=1,$AE$32,$AE$33)</f>
        <v/>
      </c>
      <c r="Z537" s="9">
        <f>Y537*X537</f>
        <v/>
      </c>
      <c r="AA537" s="10">
        <f>IF(W537&gt;$AE$34,1,0)</f>
        <v/>
      </c>
      <c r="AB537">
        <f>IF(AA537=C537,1,0)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$AE$12+D538*$AE$13+E538*$AE$14+F538*$AE$15+G538*$AE$16+H538*$AE$17+I538*$AE$18+J538*$AE$19+K538*$AE$20+L538*$AE$21+M538*$AE$22+N538*$AE$23+O538*$AE$24+P538*$AE$25+Q538*$AE$26+R538*$AE$27+S538*$AE$28+T538*$AE$29+U538*$AE$30</f>
        <v/>
      </c>
      <c r="W538" s="8">
        <f>1/(1+EXP(-V538))</f>
        <v/>
      </c>
      <c r="X538" s="9">
        <f>-IF(C538=1,LN(W538),LN(1-W538))</f>
        <v/>
      </c>
      <c r="Y538" s="8">
        <f>IF(C538=1,$AE$32,$AE$33)</f>
        <v/>
      </c>
      <c r="Z538" s="9">
        <f>Y538*X538</f>
        <v/>
      </c>
      <c r="AA538" s="10">
        <f>IF(W538&gt;$AE$34,1,0)</f>
        <v/>
      </c>
      <c r="AB538">
        <f>IF(AA538=C538,1,0)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$AE$12+D539*$AE$13+E539*$AE$14+F539*$AE$15+G539*$AE$16+H539*$AE$17+I539*$AE$18+J539*$AE$19+K539*$AE$20+L539*$AE$21+M539*$AE$22+N539*$AE$23+O539*$AE$24+P539*$AE$25+Q539*$AE$26+R539*$AE$27+S539*$AE$28+T539*$AE$29+U539*$AE$30</f>
        <v/>
      </c>
      <c r="W539" s="8">
        <f>1/(1+EXP(-V539))</f>
        <v/>
      </c>
      <c r="X539" s="9">
        <f>-IF(C539=1,LN(W539),LN(1-W539))</f>
        <v/>
      </c>
      <c r="Y539" s="8">
        <f>IF(C539=1,$AE$32,$AE$33)</f>
        <v/>
      </c>
      <c r="Z539" s="9">
        <f>Y539*X539</f>
        <v/>
      </c>
      <c r="AA539" s="10">
        <f>IF(W539&gt;$AE$34,1,0)</f>
        <v/>
      </c>
      <c r="AB539">
        <f>IF(AA539=C539,1,0)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$AE$12+D540*$AE$13+E540*$AE$14+F540*$AE$15+G540*$AE$16+H540*$AE$17+I540*$AE$18+J540*$AE$19+K540*$AE$20+L540*$AE$21+M540*$AE$22+N540*$AE$23+O540*$AE$24+P540*$AE$25+Q540*$AE$26+R540*$AE$27+S540*$AE$28+T540*$AE$29+U540*$AE$30</f>
        <v/>
      </c>
      <c r="W540" s="8">
        <f>1/(1+EXP(-V540))</f>
        <v/>
      </c>
      <c r="X540" s="9">
        <f>-IF(C540=1,LN(W540),LN(1-W540))</f>
        <v/>
      </c>
      <c r="Y540" s="8">
        <f>IF(C540=1,$AE$32,$AE$33)</f>
        <v/>
      </c>
      <c r="Z540" s="9">
        <f>Y540*X540</f>
        <v/>
      </c>
      <c r="AA540" s="10">
        <f>IF(W540&gt;$AE$34,1,0)</f>
        <v/>
      </c>
      <c r="AB540">
        <f>IF(AA540=C540,1,0)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$AE$12+D541*$AE$13+E541*$AE$14+F541*$AE$15+G541*$AE$16+H541*$AE$17+I541*$AE$18+J541*$AE$19+K541*$AE$20+L541*$AE$21+M541*$AE$22+N541*$AE$23+O541*$AE$24+P541*$AE$25+Q541*$AE$26+R541*$AE$27+S541*$AE$28+T541*$AE$29+U541*$AE$30</f>
        <v/>
      </c>
      <c r="W541" s="8">
        <f>1/(1+EXP(-V541))</f>
        <v/>
      </c>
      <c r="X541" s="9">
        <f>-IF(C541=1,LN(W541),LN(1-W541))</f>
        <v/>
      </c>
      <c r="Y541" s="8">
        <f>IF(C541=1,$AE$32,$AE$33)</f>
        <v/>
      </c>
      <c r="Z541" s="9">
        <f>Y541*X541</f>
        <v/>
      </c>
      <c r="AA541" s="10">
        <f>IF(W541&gt;$AE$34,1,0)</f>
        <v/>
      </c>
      <c r="AB541">
        <f>IF(AA541=C541,1,0)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$AE$12+D542*$AE$13+E542*$AE$14+F542*$AE$15+G542*$AE$16+H542*$AE$17+I542*$AE$18+J542*$AE$19+K542*$AE$20+L542*$AE$21+M542*$AE$22+N542*$AE$23+O542*$AE$24+P542*$AE$25+Q542*$AE$26+R542*$AE$27+S542*$AE$28+T542*$AE$29+U542*$AE$30</f>
        <v/>
      </c>
      <c r="W542" s="8">
        <f>1/(1+EXP(-V542))</f>
        <v/>
      </c>
      <c r="X542" s="9">
        <f>-IF(C542=1,LN(W542),LN(1-W542))</f>
        <v/>
      </c>
      <c r="Y542" s="8">
        <f>IF(C542=1,$AE$32,$AE$33)</f>
        <v/>
      </c>
      <c r="Z542" s="9">
        <f>Y542*X542</f>
        <v/>
      </c>
      <c r="AA542" s="10">
        <f>IF(W542&gt;$AE$34,1,0)</f>
        <v/>
      </c>
      <c r="AB542">
        <f>IF(AA542=C542,1,0)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$AE$12+D543*$AE$13+E543*$AE$14+F543*$AE$15+G543*$AE$16+H543*$AE$17+I543*$AE$18+J543*$AE$19+K543*$AE$20+L543*$AE$21+M543*$AE$22+N543*$AE$23+O543*$AE$24+P543*$AE$25+Q543*$AE$26+R543*$AE$27+S543*$AE$28+T543*$AE$29+U543*$AE$30</f>
        <v/>
      </c>
      <c r="W543" s="8">
        <f>1/(1+EXP(-V543))</f>
        <v/>
      </c>
      <c r="X543" s="9">
        <f>-IF(C543=1,LN(W543),LN(1-W543))</f>
        <v/>
      </c>
      <c r="Y543" s="8">
        <f>IF(C543=1,$AE$32,$AE$33)</f>
        <v/>
      </c>
      <c r="Z543" s="9">
        <f>Y543*X543</f>
        <v/>
      </c>
      <c r="AA543" s="10">
        <f>IF(W543&gt;$AE$34,1,0)</f>
        <v/>
      </c>
      <c r="AB543">
        <f>IF(AA543=C543,1,0)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$AE$12+D544*$AE$13+E544*$AE$14+F544*$AE$15+G544*$AE$16+H544*$AE$17+I544*$AE$18+J544*$AE$19+K544*$AE$20+L544*$AE$21+M544*$AE$22+N544*$AE$23+O544*$AE$24+P544*$AE$25+Q544*$AE$26+R544*$AE$27+S544*$AE$28+T544*$AE$29+U544*$AE$30</f>
        <v/>
      </c>
      <c r="W544" s="8">
        <f>1/(1+EXP(-V544))</f>
        <v/>
      </c>
      <c r="X544" s="9">
        <f>-IF(C544=1,LN(W544),LN(1-W544))</f>
        <v/>
      </c>
      <c r="Y544" s="8">
        <f>IF(C544=1,$AE$32,$AE$33)</f>
        <v/>
      </c>
      <c r="Z544" s="9">
        <f>Y544*X544</f>
        <v/>
      </c>
      <c r="AA544" s="10">
        <f>IF(W544&gt;$AE$34,1,0)</f>
        <v/>
      </c>
      <c r="AB544">
        <f>IF(AA544=C544,1,0)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$AE$12+D545*$AE$13+E545*$AE$14+F545*$AE$15+G545*$AE$16+H545*$AE$17+I545*$AE$18+J545*$AE$19+K545*$AE$20+L545*$AE$21+M545*$AE$22+N545*$AE$23+O545*$AE$24+P545*$AE$25+Q545*$AE$26+R545*$AE$27+S545*$AE$28+T545*$AE$29+U545*$AE$30</f>
        <v/>
      </c>
      <c r="W545" s="8">
        <f>1/(1+EXP(-V545))</f>
        <v/>
      </c>
      <c r="X545" s="9">
        <f>-IF(C545=1,LN(W545),LN(1-W545))</f>
        <v/>
      </c>
      <c r="Y545" s="8">
        <f>IF(C545=1,$AE$32,$AE$33)</f>
        <v/>
      </c>
      <c r="Z545" s="9">
        <f>Y545*X545</f>
        <v/>
      </c>
      <c r="AA545" s="10">
        <f>IF(W545&gt;$AE$34,1,0)</f>
        <v/>
      </c>
      <c r="AB545">
        <f>IF(AA545=C545,1,0)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$AE$12+D546*$AE$13+E546*$AE$14+F546*$AE$15+G546*$AE$16+H546*$AE$17+I546*$AE$18+J546*$AE$19+K546*$AE$20+L546*$AE$21+M546*$AE$22+N546*$AE$23+O546*$AE$24+P546*$AE$25+Q546*$AE$26+R546*$AE$27+S546*$AE$28+T546*$AE$29+U546*$AE$30</f>
        <v/>
      </c>
      <c r="W546" s="8">
        <f>1/(1+EXP(-V546))</f>
        <v/>
      </c>
      <c r="X546" s="9">
        <f>-IF(C546=1,LN(W546),LN(1-W546))</f>
        <v/>
      </c>
      <c r="Y546" s="8">
        <f>IF(C546=1,$AE$32,$AE$33)</f>
        <v/>
      </c>
      <c r="Z546" s="9">
        <f>Y546*X546</f>
        <v/>
      </c>
      <c r="AA546" s="10">
        <f>IF(W546&gt;$AE$34,1,0)</f>
        <v/>
      </c>
      <c r="AB546">
        <f>IF(AA546=C546,1,0)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$AE$12+D547*$AE$13+E547*$AE$14+F547*$AE$15+G547*$AE$16+H547*$AE$17+I547*$AE$18+J547*$AE$19+K547*$AE$20+L547*$AE$21+M547*$AE$22+N547*$AE$23+O547*$AE$24+P547*$AE$25+Q547*$AE$26+R547*$AE$27+S547*$AE$28+T547*$AE$29+U547*$AE$30</f>
        <v/>
      </c>
      <c r="W547" s="8">
        <f>1/(1+EXP(-V547))</f>
        <v/>
      </c>
      <c r="X547" s="9">
        <f>-IF(C547=1,LN(W547),LN(1-W547))</f>
        <v/>
      </c>
      <c r="Y547" s="8">
        <f>IF(C547=1,$AE$32,$AE$33)</f>
        <v/>
      </c>
      <c r="Z547" s="9">
        <f>Y547*X547</f>
        <v/>
      </c>
      <c r="AA547" s="10">
        <f>IF(W547&gt;$AE$34,1,0)</f>
        <v/>
      </c>
      <c r="AB547">
        <f>IF(AA547=C547,1,0)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$AE$12+D548*$AE$13+E548*$AE$14+F548*$AE$15+G548*$AE$16+H548*$AE$17+I548*$AE$18+J548*$AE$19+K548*$AE$20+L548*$AE$21+M548*$AE$22+N548*$AE$23+O548*$AE$24+P548*$AE$25+Q548*$AE$26+R548*$AE$27+S548*$AE$28+T548*$AE$29+U548*$AE$30</f>
        <v/>
      </c>
      <c r="W548" s="8">
        <f>1/(1+EXP(-V548))</f>
        <v/>
      </c>
      <c r="X548" s="9">
        <f>-IF(C548=1,LN(W548),LN(1-W548))</f>
        <v/>
      </c>
      <c r="Y548" s="8">
        <f>IF(C548=1,$AE$32,$AE$33)</f>
        <v/>
      </c>
      <c r="Z548" s="9">
        <f>Y548*X548</f>
        <v/>
      </c>
      <c r="AA548" s="10">
        <f>IF(W548&gt;$AE$34,1,0)</f>
        <v/>
      </c>
      <c r="AB548">
        <f>IF(AA548=C548,1,0)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$AE$12+D549*$AE$13+E549*$AE$14+F549*$AE$15+G549*$AE$16+H549*$AE$17+I549*$AE$18+J549*$AE$19+K549*$AE$20+L549*$AE$21+M549*$AE$22+N549*$AE$23+O549*$AE$24+P549*$AE$25+Q549*$AE$26+R549*$AE$27+S549*$AE$28+T549*$AE$29+U549*$AE$30</f>
        <v/>
      </c>
      <c r="W549" s="8">
        <f>1/(1+EXP(-V549))</f>
        <v/>
      </c>
      <c r="X549" s="9">
        <f>-IF(C549=1,LN(W549),LN(1-W549))</f>
        <v/>
      </c>
      <c r="Y549" s="8">
        <f>IF(C549=1,$AE$32,$AE$33)</f>
        <v/>
      </c>
      <c r="Z549" s="9">
        <f>Y549*X549</f>
        <v/>
      </c>
      <c r="AA549" s="10">
        <f>IF(W549&gt;$AE$34,1,0)</f>
        <v/>
      </c>
      <c r="AB549">
        <f>IF(AA549=C549,1,0)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$AE$12+D550*$AE$13+E550*$AE$14+F550*$AE$15+G550*$AE$16+H550*$AE$17+I550*$AE$18+J550*$AE$19+K550*$AE$20+L550*$AE$21+M550*$AE$22+N550*$AE$23+O550*$AE$24+P550*$AE$25+Q550*$AE$26+R550*$AE$27+S550*$AE$28+T550*$AE$29+U550*$AE$30</f>
        <v/>
      </c>
      <c r="W550" s="8">
        <f>1/(1+EXP(-V550))</f>
        <v/>
      </c>
      <c r="X550" s="9">
        <f>-IF(C550=1,LN(W550),LN(1-W550))</f>
        <v/>
      </c>
      <c r="Y550" s="8">
        <f>IF(C550=1,$AE$32,$AE$33)</f>
        <v/>
      </c>
      <c r="Z550" s="9">
        <f>Y550*X550</f>
        <v/>
      </c>
      <c r="AA550" s="10">
        <f>IF(W550&gt;$AE$34,1,0)</f>
        <v/>
      </c>
      <c r="AB550">
        <f>IF(AA550=C550,1,0)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$AE$12+D551*$AE$13+E551*$AE$14+F551*$AE$15+G551*$AE$16+H551*$AE$17+I551*$AE$18+J551*$AE$19+K551*$AE$20+L551*$AE$21+M551*$AE$22+N551*$AE$23+O551*$AE$24+P551*$AE$25+Q551*$AE$26+R551*$AE$27+S551*$AE$28+T551*$AE$29+U551*$AE$30</f>
        <v/>
      </c>
      <c r="W551" s="8">
        <f>1/(1+EXP(-V551))</f>
        <v/>
      </c>
      <c r="X551" s="9">
        <f>-IF(C551=1,LN(W551),LN(1-W551))</f>
        <v/>
      </c>
      <c r="Y551" s="8">
        <f>IF(C551=1,$AE$32,$AE$33)</f>
        <v/>
      </c>
      <c r="Z551" s="9">
        <f>Y551*X551</f>
        <v/>
      </c>
      <c r="AA551" s="10">
        <f>IF(W551&gt;$AE$34,1,0)</f>
        <v/>
      </c>
      <c r="AB551">
        <f>IF(AA551=C551,1,0)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$AE$12+D552*$AE$13+E552*$AE$14+F552*$AE$15+G552*$AE$16+H552*$AE$17+I552*$AE$18+J552*$AE$19+K552*$AE$20+L552*$AE$21+M552*$AE$22+N552*$AE$23+O552*$AE$24+P552*$AE$25+Q552*$AE$26+R552*$AE$27+S552*$AE$28+T552*$AE$29+U552*$AE$30</f>
        <v/>
      </c>
      <c r="W552" s="8">
        <f>1/(1+EXP(-V552))</f>
        <v/>
      </c>
      <c r="X552" s="9">
        <f>-IF(C552=1,LN(W552),LN(1-W552))</f>
        <v/>
      </c>
      <c r="Y552" s="8">
        <f>IF(C552=1,$AE$32,$AE$33)</f>
        <v/>
      </c>
      <c r="Z552" s="9">
        <f>Y552*X552</f>
        <v/>
      </c>
      <c r="AA552" s="10">
        <f>IF(W552&gt;$AE$34,1,0)</f>
        <v/>
      </c>
      <c r="AB552">
        <f>IF(AA552=C552,1,0)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$AE$12+D553*$AE$13+E553*$AE$14+F553*$AE$15+G553*$AE$16+H553*$AE$17+I553*$AE$18+J553*$AE$19+K553*$AE$20+L553*$AE$21+M553*$AE$22+N553*$AE$23+O553*$AE$24+P553*$AE$25+Q553*$AE$26+R553*$AE$27+S553*$AE$28+T553*$AE$29+U553*$AE$30</f>
        <v/>
      </c>
      <c r="W553" s="8">
        <f>1/(1+EXP(-V553))</f>
        <v/>
      </c>
      <c r="X553" s="9">
        <f>-IF(C553=1,LN(W553),LN(1-W553))</f>
        <v/>
      </c>
      <c r="Y553" s="8">
        <f>IF(C553=1,$AE$32,$AE$33)</f>
        <v/>
      </c>
      <c r="Z553" s="9">
        <f>Y553*X553</f>
        <v/>
      </c>
      <c r="AA553" s="10">
        <f>IF(W553&gt;$AE$34,1,0)</f>
        <v/>
      </c>
      <c r="AB553">
        <f>IF(AA553=C553,1,0)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$AE$12+D554*$AE$13+E554*$AE$14+F554*$AE$15+G554*$AE$16+H554*$AE$17+I554*$AE$18+J554*$AE$19+K554*$AE$20+L554*$AE$21+M554*$AE$22+N554*$AE$23+O554*$AE$24+P554*$AE$25+Q554*$AE$26+R554*$AE$27+S554*$AE$28+T554*$AE$29+U554*$AE$30</f>
        <v/>
      </c>
      <c r="W554" s="8">
        <f>1/(1+EXP(-V554))</f>
        <v/>
      </c>
      <c r="X554" s="9">
        <f>-IF(C554=1,LN(W554),LN(1-W554))</f>
        <v/>
      </c>
      <c r="Y554" s="8">
        <f>IF(C554=1,$AE$32,$AE$33)</f>
        <v/>
      </c>
      <c r="Z554" s="9">
        <f>Y554*X554</f>
        <v/>
      </c>
      <c r="AA554" s="10">
        <f>IF(W554&gt;$AE$34,1,0)</f>
        <v/>
      </c>
      <c r="AB554">
        <f>IF(AA554=C554,1,0)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$AE$12+D555*$AE$13+E555*$AE$14+F555*$AE$15+G555*$AE$16+H555*$AE$17+I555*$AE$18+J555*$AE$19+K555*$AE$20+L555*$AE$21+M555*$AE$22+N555*$AE$23+O555*$AE$24+P555*$AE$25+Q555*$AE$26+R555*$AE$27+S555*$AE$28+T555*$AE$29+U555*$AE$30</f>
        <v/>
      </c>
      <c r="W555" s="8">
        <f>1/(1+EXP(-V555))</f>
        <v/>
      </c>
      <c r="X555" s="9">
        <f>-IF(C555=1,LN(W555),LN(1-W555))</f>
        <v/>
      </c>
      <c r="Y555" s="8">
        <f>IF(C555=1,$AE$32,$AE$33)</f>
        <v/>
      </c>
      <c r="Z555" s="9">
        <f>Y555*X555</f>
        <v/>
      </c>
      <c r="AA555" s="10">
        <f>IF(W555&gt;$AE$34,1,0)</f>
        <v/>
      </c>
      <c r="AB555">
        <f>IF(AA555=C555,1,0)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$AE$12+D556*$AE$13+E556*$AE$14+F556*$AE$15+G556*$AE$16+H556*$AE$17+I556*$AE$18+J556*$AE$19+K556*$AE$20+L556*$AE$21+M556*$AE$22+N556*$AE$23+O556*$AE$24+P556*$AE$25+Q556*$AE$26+R556*$AE$27+S556*$AE$28+T556*$AE$29+U556*$AE$30</f>
        <v/>
      </c>
      <c r="W556" s="8">
        <f>1/(1+EXP(-V556))</f>
        <v/>
      </c>
      <c r="X556" s="9">
        <f>-IF(C556=1,LN(W556),LN(1-W556))</f>
        <v/>
      </c>
      <c r="Y556" s="8">
        <f>IF(C556=1,$AE$32,$AE$33)</f>
        <v/>
      </c>
      <c r="Z556" s="9">
        <f>Y556*X556</f>
        <v/>
      </c>
      <c r="AA556" s="10">
        <f>IF(W556&gt;$AE$34,1,0)</f>
        <v/>
      </c>
      <c r="AB556">
        <f>IF(AA556=C556,1,0)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$AE$12+D557*$AE$13+E557*$AE$14+F557*$AE$15+G557*$AE$16+H557*$AE$17+I557*$AE$18+J557*$AE$19+K557*$AE$20+L557*$AE$21+M557*$AE$22+N557*$AE$23+O557*$AE$24+P557*$AE$25+Q557*$AE$26+R557*$AE$27+S557*$AE$28+T557*$AE$29+U557*$AE$30</f>
        <v/>
      </c>
      <c r="W557" s="8">
        <f>1/(1+EXP(-V557))</f>
        <v/>
      </c>
      <c r="X557" s="9">
        <f>-IF(C557=1,LN(W557),LN(1-W557))</f>
        <v/>
      </c>
      <c r="Y557" s="8">
        <f>IF(C557=1,$AE$32,$AE$33)</f>
        <v/>
      </c>
      <c r="Z557" s="9">
        <f>Y557*X557</f>
        <v/>
      </c>
      <c r="AA557" s="10">
        <f>IF(W557&gt;$AE$34,1,0)</f>
        <v/>
      </c>
      <c r="AB557">
        <f>IF(AA557=C557,1,0)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$AE$12+D558*$AE$13+E558*$AE$14+F558*$AE$15+G558*$AE$16+H558*$AE$17+I558*$AE$18+J558*$AE$19+K558*$AE$20+L558*$AE$21+M558*$AE$22+N558*$AE$23+O558*$AE$24+P558*$AE$25+Q558*$AE$26+R558*$AE$27+S558*$AE$28+T558*$AE$29+U558*$AE$30</f>
        <v/>
      </c>
      <c r="W558" s="8">
        <f>1/(1+EXP(-V558))</f>
        <v/>
      </c>
      <c r="X558" s="9">
        <f>-IF(C558=1,LN(W558),LN(1-W558))</f>
        <v/>
      </c>
      <c r="Y558" s="8">
        <f>IF(C558=1,$AE$32,$AE$33)</f>
        <v/>
      </c>
      <c r="Z558" s="9">
        <f>Y558*X558</f>
        <v/>
      </c>
      <c r="AA558" s="10">
        <f>IF(W558&gt;$AE$34,1,0)</f>
        <v/>
      </c>
      <c r="AB558">
        <f>IF(AA558=C558,1,0)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$AE$12+D559*$AE$13+E559*$AE$14+F559*$AE$15+G559*$AE$16+H559*$AE$17+I559*$AE$18+J559*$AE$19+K559*$AE$20+L559*$AE$21+M559*$AE$22+N559*$AE$23+O559*$AE$24+P559*$AE$25+Q559*$AE$26+R559*$AE$27+S559*$AE$28+T559*$AE$29+U559*$AE$30</f>
        <v/>
      </c>
      <c r="W559" s="8">
        <f>1/(1+EXP(-V559))</f>
        <v/>
      </c>
      <c r="X559" s="9">
        <f>-IF(C559=1,LN(W559),LN(1-W559))</f>
        <v/>
      </c>
      <c r="Y559" s="8">
        <f>IF(C559=1,$AE$32,$AE$33)</f>
        <v/>
      </c>
      <c r="Z559" s="9">
        <f>Y559*X559</f>
        <v/>
      </c>
      <c r="AA559" s="10">
        <f>IF(W559&gt;$AE$34,1,0)</f>
        <v/>
      </c>
      <c r="AB559">
        <f>IF(AA559=C559,1,0)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$AE$12+D560*$AE$13+E560*$AE$14+F560*$AE$15+G560*$AE$16+H560*$AE$17+I560*$AE$18+J560*$AE$19+K560*$AE$20+L560*$AE$21+M560*$AE$22+N560*$AE$23+O560*$AE$24+P560*$AE$25+Q560*$AE$26+R560*$AE$27+S560*$AE$28+T560*$AE$29+U560*$AE$30</f>
        <v/>
      </c>
      <c r="W560" s="8">
        <f>1/(1+EXP(-V560))</f>
        <v/>
      </c>
      <c r="X560" s="9">
        <f>-IF(C560=1,LN(W560),LN(1-W560))</f>
        <v/>
      </c>
      <c r="Y560" s="8">
        <f>IF(C560=1,$AE$32,$AE$33)</f>
        <v/>
      </c>
      <c r="Z560" s="9">
        <f>Y560*X560</f>
        <v/>
      </c>
      <c r="AA560" s="10">
        <f>IF(W560&gt;$AE$34,1,0)</f>
        <v/>
      </c>
      <c r="AB560">
        <f>IF(AA560=C560,1,0)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$AE$12+D561*$AE$13+E561*$AE$14+F561*$AE$15+G561*$AE$16+H561*$AE$17+I561*$AE$18+J561*$AE$19+K561*$AE$20+L561*$AE$21+M561*$AE$22+N561*$AE$23+O561*$AE$24+P561*$AE$25+Q561*$AE$26+R561*$AE$27+S561*$AE$28+T561*$AE$29+U561*$AE$30</f>
        <v/>
      </c>
      <c r="W561" s="8">
        <f>1/(1+EXP(-V561))</f>
        <v/>
      </c>
      <c r="X561" s="9">
        <f>-IF(C561=1,LN(W561),LN(1-W561))</f>
        <v/>
      </c>
      <c r="Y561" s="8">
        <f>IF(C561=1,$AE$32,$AE$33)</f>
        <v/>
      </c>
      <c r="Z561" s="9">
        <f>Y561*X561</f>
        <v/>
      </c>
      <c r="AA561" s="10">
        <f>IF(W561&gt;$AE$34,1,0)</f>
        <v/>
      </c>
      <c r="AB561">
        <f>IF(AA561=C561,1,0)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$AE$12+D562*$AE$13+E562*$AE$14+F562*$AE$15+G562*$AE$16+H562*$AE$17+I562*$AE$18+J562*$AE$19+K562*$AE$20+L562*$AE$21+M562*$AE$22+N562*$AE$23+O562*$AE$24+P562*$AE$25+Q562*$AE$26+R562*$AE$27+S562*$AE$28+T562*$AE$29+U562*$AE$30</f>
        <v/>
      </c>
      <c r="W562" s="8">
        <f>1/(1+EXP(-V562))</f>
        <v/>
      </c>
      <c r="X562" s="9">
        <f>-IF(C562=1,LN(W562),LN(1-W562))</f>
        <v/>
      </c>
      <c r="Y562" s="8">
        <f>IF(C562=1,$AE$32,$AE$33)</f>
        <v/>
      </c>
      <c r="Z562" s="9">
        <f>Y562*X562</f>
        <v/>
      </c>
      <c r="AA562" s="10">
        <f>IF(W562&gt;$AE$34,1,0)</f>
        <v/>
      </c>
      <c r="AB562">
        <f>IF(AA562=C562,1,0)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$AE$12+D563*$AE$13+E563*$AE$14+F563*$AE$15+G563*$AE$16+H563*$AE$17+I563*$AE$18+J563*$AE$19+K563*$AE$20+L563*$AE$21+M563*$AE$22+N563*$AE$23+O563*$AE$24+P563*$AE$25+Q563*$AE$26+R563*$AE$27+S563*$AE$28+T563*$AE$29+U563*$AE$30</f>
        <v/>
      </c>
      <c r="W563" s="8">
        <f>1/(1+EXP(-V563))</f>
        <v/>
      </c>
      <c r="X563" s="9">
        <f>-IF(C563=1,LN(W563),LN(1-W563))</f>
        <v/>
      </c>
      <c r="Y563" s="8">
        <f>IF(C563=1,$AE$32,$AE$33)</f>
        <v/>
      </c>
      <c r="Z563" s="9">
        <f>Y563*X563</f>
        <v/>
      </c>
      <c r="AA563" s="10">
        <f>IF(W563&gt;$AE$34,1,0)</f>
        <v/>
      </c>
      <c r="AB563">
        <f>IF(AA563=C563,1,0)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$AE$12+D564*$AE$13+E564*$AE$14+F564*$AE$15+G564*$AE$16+H564*$AE$17+I564*$AE$18+J564*$AE$19+K564*$AE$20+L564*$AE$21+M564*$AE$22+N564*$AE$23+O564*$AE$24+P564*$AE$25+Q564*$AE$26+R564*$AE$27+S564*$AE$28+T564*$AE$29+U564*$AE$30</f>
        <v/>
      </c>
      <c r="W564" s="8">
        <f>1/(1+EXP(-V564))</f>
        <v/>
      </c>
      <c r="X564" s="9">
        <f>-IF(C564=1,LN(W564),LN(1-W564))</f>
        <v/>
      </c>
      <c r="Y564" s="8">
        <f>IF(C564=1,$AE$32,$AE$33)</f>
        <v/>
      </c>
      <c r="Z564" s="9">
        <f>Y564*X564</f>
        <v/>
      </c>
      <c r="AA564" s="10">
        <f>IF(W564&gt;$AE$34,1,0)</f>
        <v/>
      </c>
      <c r="AB564">
        <f>IF(AA564=C564,1,0)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$AE$12+D565*$AE$13+E565*$AE$14+F565*$AE$15+G565*$AE$16+H565*$AE$17+I565*$AE$18+J565*$AE$19+K565*$AE$20+L565*$AE$21+M565*$AE$22+N565*$AE$23+O565*$AE$24+P565*$AE$25+Q565*$AE$26+R565*$AE$27+S565*$AE$28+T565*$AE$29+U565*$AE$30</f>
        <v/>
      </c>
      <c r="W565" s="8">
        <f>1/(1+EXP(-V565))</f>
        <v/>
      </c>
      <c r="X565" s="9">
        <f>-IF(C565=1,LN(W565),LN(1-W565))</f>
        <v/>
      </c>
      <c r="Y565" s="8">
        <f>IF(C565=1,$AE$32,$AE$33)</f>
        <v/>
      </c>
      <c r="Z565" s="9">
        <f>Y565*X565</f>
        <v/>
      </c>
      <c r="AA565" s="10">
        <f>IF(W565&gt;$AE$34,1,0)</f>
        <v/>
      </c>
      <c r="AB565">
        <f>IF(AA565=C565,1,0)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$AE$12+D566*$AE$13+E566*$AE$14+F566*$AE$15+G566*$AE$16+H566*$AE$17+I566*$AE$18+J566*$AE$19+K566*$AE$20+L566*$AE$21+M566*$AE$22+N566*$AE$23+O566*$AE$24+P566*$AE$25+Q566*$AE$26+R566*$AE$27+S566*$AE$28+T566*$AE$29+U566*$AE$30</f>
        <v/>
      </c>
      <c r="W566" s="8">
        <f>1/(1+EXP(-V566))</f>
        <v/>
      </c>
      <c r="X566" s="9">
        <f>-IF(C566=1,LN(W566),LN(1-W566))</f>
        <v/>
      </c>
      <c r="Y566" s="8">
        <f>IF(C566=1,$AE$32,$AE$33)</f>
        <v/>
      </c>
      <c r="Z566" s="9">
        <f>Y566*X566</f>
        <v/>
      </c>
      <c r="AA566" s="10">
        <f>IF(W566&gt;$AE$34,1,0)</f>
        <v/>
      </c>
      <c r="AB566">
        <f>IF(AA566=C566,1,0)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$AE$12+D567*$AE$13+E567*$AE$14+F567*$AE$15+G567*$AE$16+H567*$AE$17+I567*$AE$18+J567*$AE$19+K567*$AE$20+L567*$AE$21+M567*$AE$22+N567*$AE$23+O567*$AE$24+P567*$AE$25+Q567*$AE$26+R567*$AE$27+S567*$AE$28+T567*$AE$29+U567*$AE$30</f>
        <v/>
      </c>
      <c r="W567" s="8">
        <f>1/(1+EXP(-V567))</f>
        <v/>
      </c>
      <c r="X567" s="9">
        <f>-IF(C567=1,LN(W567),LN(1-W567))</f>
        <v/>
      </c>
      <c r="Y567" s="8">
        <f>IF(C567=1,$AE$32,$AE$33)</f>
        <v/>
      </c>
      <c r="Z567" s="9">
        <f>Y567*X567</f>
        <v/>
      </c>
      <c r="AA567" s="10">
        <f>IF(W567&gt;$AE$34,1,0)</f>
        <v/>
      </c>
      <c r="AB567">
        <f>IF(AA567=C567,1,0)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$AE$12+D568*$AE$13+E568*$AE$14+F568*$AE$15+G568*$AE$16+H568*$AE$17+I568*$AE$18+J568*$AE$19+K568*$AE$20+L568*$AE$21+M568*$AE$22+N568*$AE$23+O568*$AE$24+P568*$AE$25+Q568*$AE$26+R568*$AE$27+S568*$AE$28+T568*$AE$29+U568*$AE$30</f>
        <v/>
      </c>
      <c r="W568" s="8">
        <f>1/(1+EXP(-V568))</f>
        <v/>
      </c>
      <c r="X568" s="9">
        <f>-IF(C568=1,LN(W568),LN(1-W568))</f>
        <v/>
      </c>
      <c r="Y568" s="8">
        <f>IF(C568=1,$AE$32,$AE$33)</f>
        <v/>
      </c>
      <c r="Z568" s="9">
        <f>Y568*X568</f>
        <v/>
      </c>
      <c r="AA568" s="10">
        <f>IF(W568&gt;$AE$34,1,0)</f>
        <v/>
      </c>
      <c r="AB568">
        <f>IF(AA568=C568,1,0)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$AE$12+D569*$AE$13+E569*$AE$14+F569*$AE$15+G569*$AE$16+H569*$AE$17+I569*$AE$18+J569*$AE$19+K569*$AE$20+L569*$AE$21+M569*$AE$22+N569*$AE$23+O569*$AE$24+P569*$AE$25+Q569*$AE$26+R569*$AE$27+S569*$AE$28+T569*$AE$29+U569*$AE$30</f>
        <v/>
      </c>
      <c r="W569" s="8">
        <f>1/(1+EXP(-V569))</f>
        <v/>
      </c>
      <c r="X569" s="9">
        <f>-IF(C569=1,LN(W569),LN(1-W569))</f>
        <v/>
      </c>
      <c r="Y569" s="8">
        <f>IF(C569=1,$AE$32,$AE$33)</f>
        <v/>
      </c>
      <c r="Z569" s="9">
        <f>Y569*X569</f>
        <v/>
      </c>
      <c r="AA569" s="10">
        <f>IF(W569&gt;$AE$34,1,0)</f>
        <v/>
      </c>
      <c r="AB569">
        <f>IF(AA569=C569,1,0)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$AE$12+D570*$AE$13+E570*$AE$14+F570*$AE$15+G570*$AE$16+H570*$AE$17+I570*$AE$18+J570*$AE$19+K570*$AE$20+L570*$AE$21+M570*$AE$22+N570*$AE$23+O570*$AE$24+P570*$AE$25+Q570*$AE$26+R570*$AE$27+S570*$AE$28+T570*$AE$29+U570*$AE$30</f>
        <v/>
      </c>
      <c r="W570" s="8">
        <f>1/(1+EXP(-V570))</f>
        <v/>
      </c>
      <c r="X570" s="9">
        <f>-IF(C570=1,LN(W570),LN(1-W570))</f>
        <v/>
      </c>
      <c r="Y570" s="8">
        <f>IF(C570=1,$AE$32,$AE$33)</f>
        <v/>
      </c>
      <c r="Z570" s="9">
        <f>Y570*X570</f>
        <v/>
      </c>
      <c r="AA570" s="10">
        <f>IF(W570&gt;$AE$34,1,0)</f>
        <v/>
      </c>
      <c r="AB570">
        <f>IF(AA570=C570,1,0)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$AE$12+D571*$AE$13+E571*$AE$14+F571*$AE$15+G571*$AE$16+H571*$AE$17+I571*$AE$18+J571*$AE$19+K571*$AE$20+L571*$AE$21+M571*$AE$22+N571*$AE$23+O571*$AE$24+P571*$AE$25+Q571*$AE$26+R571*$AE$27+S571*$AE$28+T571*$AE$29+U571*$AE$30</f>
        <v/>
      </c>
      <c r="W571" s="8">
        <f>1/(1+EXP(-V571))</f>
        <v/>
      </c>
      <c r="X571" s="9">
        <f>-IF(C571=1,LN(W571),LN(1-W571))</f>
        <v/>
      </c>
      <c r="Y571" s="8">
        <f>IF(C571=1,$AE$32,$AE$33)</f>
        <v/>
      </c>
      <c r="Z571" s="9">
        <f>Y571*X571</f>
        <v/>
      </c>
      <c r="AA571" s="10">
        <f>IF(W571&gt;$AE$34,1,0)</f>
        <v/>
      </c>
      <c r="AB571">
        <f>IF(AA571=C571,1,0)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$AE$12+D572*$AE$13+E572*$AE$14+F572*$AE$15+G572*$AE$16+H572*$AE$17+I572*$AE$18+J572*$AE$19+K572*$AE$20+L572*$AE$21+M572*$AE$22+N572*$AE$23+O572*$AE$24+P572*$AE$25+Q572*$AE$26+R572*$AE$27+S572*$AE$28+T572*$AE$29+U572*$AE$30</f>
        <v/>
      </c>
      <c r="W572" s="8">
        <f>1/(1+EXP(-V572))</f>
        <v/>
      </c>
      <c r="X572" s="9">
        <f>-IF(C572=1,LN(W572),LN(1-W572))</f>
        <v/>
      </c>
      <c r="Y572" s="8">
        <f>IF(C572=1,$AE$32,$AE$33)</f>
        <v/>
      </c>
      <c r="Z572" s="9">
        <f>Y572*X572</f>
        <v/>
      </c>
      <c r="AA572" s="10">
        <f>IF(W572&gt;$AE$34,1,0)</f>
        <v/>
      </c>
      <c r="AB572">
        <f>IF(AA572=C572,1,0)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$AE$12+D573*$AE$13+E573*$AE$14+F573*$AE$15+G573*$AE$16+H573*$AE$17+I573*$AE$18+J573*$AE$19+K573*$AE$20+L573*$AE$21+M573*$AE$22+N573*$AE$23+O573*$AE$24+P573*$AE$25+Q573*$AE$26+R573*$AE$27+S573*$AE$28+T573*$AE$29+U573*$AE$30</f>
        <v/>
      </c>
      <c r="W573" s="8">
        <f>1/(1+EXP(-V573))</f>
        <v/>
      </c>
      <c r="X573" s="9">
        <f>-IF(C573=1,LN(W573),LN(1-W573))</f>
        <v/>
      </c>
      <c r="Y573" s="8">
        <f>IF(C573=1,$AE$32,$AE$33)</f>
        <v/>
      </c>
      <c r="Z573" s="9">
        <f>Y573*X573</f>
        <v/>
      </c>
      <c r="AA573" s="10">
        <f>IF(W573&gt;$AE$34,1,0)</f>
        <v/>
      </c>
      <c r="AB573">
        <f>IF(AA573=C573,1,0)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$AE$12+D574*$AE$13+E574*$AE$14+F574*$AE$15+G574*$AE$16+H574*$AE$17+I574*$AE$18+J574*$AE$19+K574*$AE$20+L574*$AE$21+M574*$AE$22+N574*$AE$23+O574*$AE$24+P574*$AE$25+Q574*$AE$26+R574*$AE$27+S574*$AE$28+T574*$AE$29+U574*$AE$30</f>
        <v/>
      </c>
      <c r="W574" s="8">
        <f>1/(1+EXP(-V574))</f>
        <v/>
      </c>
      <c r="X574" s="9">
        <f>-IF(C574=1,LN(W574),LN(1-W574))</f>
        <v/>
      </c>
      <c r="Y574" s="8">
        <f>IF(C574=1,$AE$32,$AE$33)</f>
        <v/>
      </c>
      <c r="Z574" s="9">
        <f>Y574*X574</f>
        <v/>
      </c>
      <c r="AA574" s="10">
        <f>IF(W574&gt;$AE$34,1,0)</f>
        <v/>
      </c>
      <c r="AB574">
        <f>IF(AA574=C574,1,0)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$AE$12+D575*$AE$13+E575*$AE$14+F575*$AE$15+G575*$AE$16+H575*$AE$17+I575*$AE$18+J575*$AE$19+K575*$AE$20+L575*$AE$21+M575*$AE$22+N575*$AE$23+O575*$AE$24+P575*$AE$25+Q575*$AE$26+R575*$AE$27+S575*$AE$28+T575*$AE$29+U575*$AE$30</f>
        <v/>
      </c>
      <c r="W575" s="8">
        <f>1/(1+EXP(-V575))</f>
        <v/>
      </c>
      <c r="X575" s="9">
        <f>-IF(C575=1,LN(W575),LN(1-W575))</f>
        <v/>
      </c>
      <c r="Y575" s="8">
        <f>IF(C575=1,$AE$32,$AE$33)</f>
        <v/>
      </c>
      <c r="Z575" s="9">
        <f>Y575*X575</f>
        <v/>
      </c>
      <c r="AA575" s="10">
        <f>IF(W575&gt;$AE$34,1,0)</f>
        <v/>
      </c>
      <c r="AB575">
        <f>IF(AA575=C575,1,0)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$AE$12+D576*$AE$13+E576*$AE$14+F576*$AE$15+G576*$AE$16+H576*$AE$17+I576*$AE$18+J576*$AE$19+K576*$AE$20+L576*$AE$21+M576*$AE$22+N576*$AE$23+O576*$AE$24+P576*$AE$25+Q576*$AE$26+R576*$AE$27+S576*$AE$28+T576*$AE$29+U576*$AE$30</f>
        <v/>
      </c>
      <c r="W576" s="8">
        <f>1/(1+EXP(-V576))</f>
        <v/>
      </c>
      <c r="X576" s="9">
        <f>-IF(C576=1,LN(W576),LN(1-W576))</f>
        <v/>
      </c>
      <c r="Y576" s="8">
        <f>IF(C576=1,$AE$32,$AE$33)</f>
        <v/>
      </c>
      <c r="Z576" s="9">
        <f>Y576*X576</f>
        <v/>
      </c>
      <c r="AA576" s="10">
        <f>IF(W576&gt;$AE$34,1,0)</f>
        <v/>
      </c>
      <c r="AB576">
        <f>IF(AA576=C576,1,0)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$AE$12+D577*$AE$13+E577*$AE$14+F577*$AE$15+G577*$AE$16+H577*$AE$17+I577*$AE$18+J577*$AE$19+K577*$AE$20+L577*$AE$21+M577*$AE$22+N577*$AE$23+O577*$AE$24+P577*$AE$25+Q577*$AE$26+R577*$AE$27+S577*$AE$28+T577*$AE$29+U577*$AE$30</f>
        <v/>
      </c>
      <c r="W577" s="8">
        <f>1/(1+EXP(-V577))</f>
        <v/>
      </c>
      <c r="X577" s="9">
        <f>-IF(C577=1,LN(W577),LN(1-W577))</f>
        <v/>
      </c>
      <c r="Y577" s="8">
        <f>IF(C577=1,$AE$32,$AE$33)</f>
        <v/>
      </c>
      <c r="Z577" s="9">
        <f>Y577*X577</f>
        <v/>
      </c>
      <c r="AA577" s="10">
        <f>IF(W577&gt;$AE$34,1,0)</f>
        <v/>
      </c>
      <c r="AB577">
        <f>IF(AA577=C577,1,0)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$AE$12+D578*$AE$13+E578*$AE$14+F578*$AE$15+G578*$AE$16+H578*$AE$17+I578*$AE$18+J578*$AE$19+K578*$AE$20+L578*$AE$21+M578*$AE$22+N578*$AE$23+O578*$AE$24+P578*$AE$25+Q578*$AE$26+R578*$AE$27+S578*$AE$28+T578*$AE$29+U578*$AE$30</f>
        <v/>
      </c>
      <c r="W578" s="8">
        <f>1/(1+EXP(-V578))</f>
        <v/>
      </c>
      <c r="X578" s="9">
        <f>-IF(C578=1,LN(W578),LN(1-W578))</f>
        <v/>
      </c>
      <c r="Y578" s="8">
        <f>IF(C578=1,$AE$32,$AE$33)</f>
        <v/>
      </c>
      <c r="Z578" s="9">
        <f>Y578*X578</f>
        <v/>
      </c>
      <c r="AA578" s="10">
        <f>IF(W578&gt;$AE$34,1,0)</f>
        <v/>
      </c>
      <c r="AB578">
        <f>IF(AA578=C578,1,0)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$AE$12+D579*$AE$13+E579*$AE$14+F579*$AE$15+G579*$AE$16+H579*$AE$17+I579*$AE$18+J579*$AE$19+K579*$AE$20+L579*$AE$21+M579*$AE$22+N579*$AE$23+O579*$AE$24+P579*$AE$25+Q579*$AE$26+R579*$AE$27+S579*$AE$28+T579*$AE$29+U579*$AE$30</f>
        <v/>
      </c>
      <c r="W579" s="8">
        <f>1/(1+EXP(-V579))</f>
        <v/>
      </c>
      <c r="X579" s="9">
        <f>-IF(C579=1,LN(W579),LN(1-W579))</f>
        <v/>
      </c>
      <c r="Y579" s="8">
        <f>IF(C579=1,$AE$32,$AE$33)</f>
        <v/>
      </c>
      <c r="Z579" s="9">
        <f>Y579*X579</f>
        <v/>
      </c>
      <c r="AA579" s="10">
        <f>IF(W579&gt;$AE$34,1,0)</f>
        <v/>
      </c>
      <c r="AB579">
        <f>IF(AA579=C579,1,0)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$AE$12+D580*$AE$13+E580*$AE$14+F580*$AE$15+G580*$AE$16+H580*$AE$17+I580*$AE$18+J580*$AE$19+K580*$AE$20+L580*$AE$21+M580*$AE$22+N580*$AE$23+O580*$AE$24+P580*$AE$25+Q580*$AE$26+R580*$AE$27+S580*$AE$28+T580*$AE$29+U580*$AE$30</f>
        <v/>
      </c>
      <c r="W580" s="8">
        <f>1/(1+EXP(-V580))</f>
        <v/>
      </c>
      <c r="X580" s="9">
        <f>-IF(C580=1,LN(W580),LN(1-W580))</f>
        <v/>
      </c>
      <c r="Y580" s="8">
        <f>IF(C580=1,$AE$32,$AE$33)</f>
        <v/>
      </c>
      <c r="Z580" s="9">
        <f>Y580*X580</f>
        <v/>
      </c>
      <c r="AA580" s="10">
        <f>IF(W580&gt;$AE$34,1,0)</f>
        <v/>
      </c>
      <c r="AB580">
        <f>IF(AA580=C580,1,0)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$AE$12+D581*$AE$13+E581*$AE$14+F581*$AE$15+G581*$AE$16+H581*$AE$17+I581*$AE$18+J581*$AE$19+K581*$AE$20+L581*$AE$21+M581*$AE$22+N581*$AE$23+O581*$AE$24+P581*$AE$25+Q581*$AE$26+R581*$AE$27+S581*$AE$28+T581*$AE$29+U581*$AE$30</f>
        <v/>
      </c>
      <c r="W581" s="8">
        <f>1/(1+EXP(-V581))</f>
        <v/>
      </c>
      <c r="X581" s="9">
        <f>-IF(C581=1,LN(W581),LN(1-W581))</f>
        <v/>
      </c>
      <c r="Y581" s="8">
        <f>IF(C581=1,$AE$32,$AE$33)</f>
        <v/>
      </c>
      <c r="Z581" s="9">
        <f>Y581*X581</f>
        <v/>
      </c>
      <c r="AA581" s="10">
        <f>IF(W581&gt;$AE$34,1,0)</f>
        <v/>
      </c>
      <c r="AB581">
        <f>IF(AA581=C581,1,0)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$AE$12+D582*$AE$13+E582*$AE$14+F582*$AE$15+G582*$AE$16+H582*$AE$17+I582*$AE$18+J582*$AE$19+K582*$AE$20+L582*$AE$21+M582*$AE$22+N582*$AE$23+O582*$AE$24+P582*$AE$25+Q582*$AE$26+R582*$AE$27+S582*$AE$28+T582*$AE$29+U582*$AE$30</f>
        <v/>
      </c>
      <c r="W582" s="8">
        <f>1/(1+EXP(-V582))</f>
        <v/>
      </c>
      <c r="X582" s="9">
        <f>-IF(C582=1,LN(W582),LN(1-W582))</f>
        <v/>
      </c>
      <c r="Y582" s="8">
        <f>IF(C582=1,$AE$32,$AE$33)</f>
        <v/>
      </c>
      <c r="Z582" s="9">
        <f>Y582*X582</f>
        <v/>
      </c>
      <c r="AA582" s="10">
        <f>IF(W582&gt;$AE$34,1,0)</f>
        <v/>
      </c>
      <c r="AB582">
        <f>IF(AA582=C582,1,0)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$AE$12+D583*$AE$13+E583*$AE$14+F583*$AE$15+G583*$AE$16+H583*$AE$17+I583*$AE$18+J583*$AE$19+K583*$AE$20+L583*$AE$21+M583*$AE$22+N583*$AE$23+O583*$AE$24+P583*$AE$25+Q583*$AE$26+R583*$AE$27+S583*$AE$28+T583*$AE$29+U583*$AE$30</f>
        <v/>
      </c>
      <c r="W583" s="8">
        <f>1/(1+EXP(-V583))</f>
        <v/>
      </c>
      <c r="X583" s="9">
        <f>-IF(C583=1,LN(W583),LN(1-W583))</f>
        <v/>
      </c>
      <c r="Y583" s="8">
        <f>IF(C583=1,$AE$32,$AE$33)</f>
        <v/>
      </c>
      <c r="Z583" s="9">
        <f>Y583*X583</f>
        <v/>
      </c>
      <c r="AA583" s="10">
        <f>IF(W583&gt;$AE$34,1,0)</f>
        <v/>
      </c>
      <c r="AB583">
        <f>IF(AA583=C583,1,0)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$AE$12+D584*$AE$13+E584*$AE$14+F584*$AE$15+G584*$AE$16+H584*$AE$17+I584*$AE$18+J584*$AE$19+K584*$AE$20+L584*$AE$21+M584*$AE$22+N584*$AE$23+O584*$AE$24+P584*$AE$25+Q584*$AE$26+R584*$AE$27+S584*$AE$28+T584*$AE$29+U584*$AE$30</f>
        <v/>
      </c>
      <c r="W584" s="8">
        <f>1/(1+EXP(-V584))</f>
        <v/>
      </c>
      <c r="X584" s="9">
        <f>-IF(C584=1,LN(W584),LN(1-W584))</f>
        <v/>
      </c>
      <c r="Y584" s="8">
        <f>IF(C584=1,$AE$32,$AE$33)</f>
        <v/>
      </c>
      <c r="Z584" s="9">
        <f>Y584*X584</f>
        <v/>
      </c>
      <c r="AA584" s="10">
        <f>IF(W584&gt;$AE$34,1,0)</f>
        <v/>
      </c>
      <c r="AB584">
        <f>IF(AA584=C584,1,0)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$AE$12+D585*$AE$13+E585*$AE$14+F585*$AE$15+G585*$AE$16+H585*$AE$17+I585*$AE$18+J585*$AE$19+K585*$AE$20+L585*$AE$21+M585*$AE$22+N585*$AE$23+O585*$AE$24+P585*$AE$25+Q585*$AE$26+R585*$AE$27+S585*$AE$28+T585*$AE$29+U585*$AE$30</f>
        <v/>
      </c>
      <c r="W585" s="8">
        <f>1/(1+EXP(-V585))</f>
        <v/>
      </c>
      <c r="X585" s="9">
        <f>-IF(C585=1,LN(W585),LN(1-W585))</f>
        <v/>
      </c>
      <c r="Y585" s="8">
        <f>IF(C585=1,$AE$32,$AE$33)</f>
        <v/>
      </c>
      <c r="Z585" s="9">
        <f>Y585*X585</f>
        <v/>
      </c>
      <c r="AA585" s="10">
        <f>IF(W585&gt;$AE$34,1,0)</f>
        <v/>
      </c>
      <c r="AB585">
        <f>IF(AA585=C585,1,0)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$AE$12+D586*$AE$13+E586*$AE$14+F586*$AE$15+G586*$AE$16+H586*$AE$17+I586*$AE$18+J586*$AE$19+K586*$AE$20+L586*$AE$21+M586*$AE$22+N586*$AE$23+O586*$AE$24+P586*$AE$25+Q586*$AE$26+R586*$AE$27+S586*$AE$28+T586*$AE$29+U586*$AE$30</f>
        <v/>
      </c>
      <c r="W586" s="8">
        <f>1/(1+EXP(-V586))</f>
        <v/>
      </c>
      <c r="X586" s="9">
        <f>-IF(C586=1,LN(W586),LN(1-W586))</f>
        <v/>
      </c>
      <c r="Y586" s="8">
        <f>IF(C586=1,$AE$32,$AE$33)</f>
        <v/>
      </c>
      <c r="Z586" s="9">
        <f>Y586*X586</f>
        <v/>
      </c>
      <c r="AA586" s="10">
        <f>IF(W586&gt;$AE$34,1,0)</f>
        <v/>
      </c>
      <c r="AB586">
        <f>IF(AA586=C586,1,0)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$AE$12+D587*$AE$13+E587*$AE$14+F587*$AE$15+G587*$AE$16+H587*$AE$17+I587*$AE$18+J587*$AE$19+K587*$AE$20+L587*$AE$21+M587*$AE$22+N587*$AE$23+O587*$AE$24+P587*$AE$25+Q587*$AE$26+R587*$AE$27+S587*$AE$28+T587*$AE$29+U587*$AE$30</f>
        <v/>
      </c>
      <c r="W587" s="8">
        <f>1/(1+EXP(-V587))</f>
        <v/>
      </c>
      <c r="X587" s="9">
        <f>-IF(C587=1,LN(W587),LN(1-W587))</f>
        <v/>
      </c>
      <c r="Y587" s="8">
        <f>IF(C587=1,$AE$32,$AE$33)</f>
        <v/>
      </c>
      <c r="Z587" s="9">
        <f>Y587*X587</f>
        <v/>
      </c>
      <c r="AA587" s="10">
        <f>IF(W587&gt;$AE$34,1,0)</f>
        <v/>
      </c>
      <c r="AB587">
        <f>IF(AA587=C587,1,0)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$AE$12+D588*$AE$13+E588*$AE$14+F588*$AE$15+G588*$AE$16+H588*$AE$17+I588*$AE$18+J588*$AE$19+K588*$AE$20+L588*$AE$21+M588*$AE$22+N588*$AE$23+O588*$AE$24+P588*$AE$25+Q588*$AE$26+R588*$AE$27+S588*$AE$28+T588*$AE$29+U588*$AE$30</f>
        <v/>
      </c>
      <c r="W588" s="8">
        <f>1/(1+EXP(-V588))</f>
        <v/>
      </c>
      <c r="X588" s="9">
        <f>-IF(C588=1,LN(W588),LN(1-W588))</f>
        <v/>
      </c>
      <c r="Y588" s="8">
        <f>IF(C588=1,$AE$32,$AE$33)</f>
        <v/>
      </c>
      <c r="Z588" s="9">
        <f>Y588*X588</f>
        <v/>
      </c>
      <c r="AA588" s="10">
        <f>IF(W588&gt;$AE$34,1,0)</f>
        <v/>
      </c>
      <c r="AB588">
        <f>IF(AA588=C588,1,0)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$AE$12+D589*$AE$13+E589*$AE$14+F589*$AE$15+G589*$AE$16+H589*$AE$17+I589*$AE$18+J589*$AE$19+K589*$AE$20+L589*$AE$21+M589*$AE$22+N589*$AE$23+O589*$AE$24+P589*$AE$25+Q589*$AE$26+R589*$AE$27+S589*$AE$28+T589*$AE$29+U589*$AE$30</f>
        <v/>
      </c>
      <c r="W589" s="8">
        <f>1/(1+EXP(-V589))</f>
        <v/>
      </c>
      <c r="X589" s="9">
        <f>-IF(C589=1,LN(W589),LN(1-W589))</f>
        <v/>
      </c>
      <c r="Y589" s="8">
        <f>IF(C589=1,$AE$32,$AE$33)</f>
        <v/>
      </c>
      <c r="Z589" s="9">
        <f>Y589*X589</f>
        <v/>
      </c>
      <c r="AA589" s="10">
        <f>IF(W589&gt;$AE$34,1,0)</f>
        <v/>
      </c>
      <c r="AB589">
        <f>IF(AA589=C589,1,0)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$AE$12+D590*$AE$13+E590*$AE$14+F590*$AE$15+G590*$AE$16+H590*$AE$17+I590*$AE$18+J590*$AE$19+K590*$AE$20+L590*$AE$21+M590*$AE$22+N590*$AE$23+O590*$AE$24+P590*$AE$25+Q590*$AE$26+R590*$AE$27+S590*$AE$28+T590*$AE$29+U590*$AE$30</f>
        <v/>
      </c>
      <c r="W590" s="8">
        <f>1/(1+EXP(-V590))</f>
        <v/>
      </c>
      <c r="X590" s="9">
        <f>-IF(C590=1,LN(W590),LN(1-W590))</f>
        <v/>
      </c>
      <c r="Y590" s="8">
        <f>IF(C590=1,$AE$32,$AE$33)</f>
        <v/>
      </c>
      <c r="Z590" s="9">
        <f>Y590*X590</f>
        <v/>
      </c>
      <c r="AA590" s="10">
        <f>IF(W590&gt;$AE$34,1,0)</f>
        <v/>
      </c>
      <c r="AB590">
        <f>IF(AA590=C590,1,0)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$AE$12+D591*$AE$13+E591*$AE$14+F591*$AE$15+G591*$AE$16+H591*$AE$17+I591*$AE$18+J591*$AE$19+K591*$AE$20+L591*$AE$21+M591*$AE$22+N591*$AE$23+O591*$AE$24+P591*$AE$25+Q591*$AE$26+R591*$AE$27+S591*$AE$28+T591*$AE$29+U591*$AE$30</f>
        <v/>
      </c>
      <c r="W591" s="8">
        <f>1/(1+EXP(-V591))</f>
        <v/>
      </c>
      <c r="X591" s="9">
        <f>-IF(C591=1,LN(W591),LN(1-W591))</f>
        <v/>
      </c>
      <c r="Y591" s="8">
        <f>IF(C591=1,$AE$32,$AE$33)</f>
        <v/>
      </c>
      <c r="Z591" s="9">
        <f>Y591*X591</f>
        <v/>
      </c>
      <c r="AA591" s="10">
        <f>IF(W591&gt;$AE$34,1,0)</f>
        <v/>
      </c>
      <c r="AB591">
        <f>IF(AA591=C591,1,0)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$AE$12+D592*$AE$13+E592*$AE$14+F592*$AE$15+G592*$AE$16+H592*$AE$17+I592*$AE$18+J592*$AE$19+K592*$AE$20+L592*$AE$21+M592*$AE$22+N592*$AE$23+O592*$AE$24+P592*$AE$25+Q592*$AE$26+R592*$AE$27+S592*$AE$28+T592*$AE$29+U592*$AE$30</f>
        <v/>
      </c>
      <c r="W592" s="8">
        <f>1/(1+EXP(-V592))</f>
        <v/>
      </c>
      <c r="X592" s="9">
        <f>-IF(C592=1,LN(W592),LN(1-W592))</f>
        <v/>
      </c>
      <c r="Y592" s="8">
        <f>IF(C592=1,$AE$32,$AE$33)</f>
        <v/>
      </c>
      <c r="Z592" s="9">
        <f>Y592*X592</f>
        <v/>
      </c>
      <c r="AA592" s="10">
        <f>IF(W592&gt;$AE$34,1,0)</f>
        <v/>
      </c>
      <c r="AB592">
        <f>IF(AA592=C592,1,0)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$AE$12+D593*$AE$13+E593*$AE$14+F593*$AE$15+G593*$AE$16+H593*$AE$17+I593*$AE$18+J593*$AE$19+K593*$AE$20+L593*$AE$21+M593*$AE$22+N593*$AE$23+O593*$AE$24+P593*$AE$25+Q593*$AE$26+R593*$AE$27+S593*$AE$28+T593*$AE$29+U593*$AE$30</f>
        <v/>
      </c>
      <c r="W593" s="8">
        <f>1/(1+EXP(-V593))</f>
        <v/>
      </c>
      <c r="X593" s="9">
        <f>-IF(C593=1,LN(W593),LN(1-W593))</f>
        <v/>
      </c>
      <c r="Y593" s="8">
        <f>IF(C593=1,$AE$32,$AE$33)</f>
        <v/>
      </c>
      <c r="Z593" s="9">
        <f>Y593*X593</f>
        <v/>
      </c>
      <c r="AA593" s="10">
        <f>IF(W593&gt;$AE$34,1,0)</f>
        <v/>
      </c>
      <c r="AB593">
        <f>IF(AA593=C593,1,0)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$AE$12+D594*$AE$13+E594*$AE$14+F594*$AE$15+G594*$AE$16+H594*$AE$17+I594*$AE$18+J594*$AE$19+K594*$AE$20+L594*$AE$21+M594*$AE$22+N594*$AE$23+O594*$AE$24+P594*$AE$25+Q594*$AE$26+R594*$AE$27+S594*$AE$28+T594*$AE$29+U594*$AE$30</f>
        <v/>
      </c>
      <c r="W594" s="8">
        <f>1/(1+EXP(-V594))</f>
        <v/>
      </c>
      <c r="X594" s="9">
        <f>-IF(C594=1,LN(W594),LN(1-W594))</f>
        <v/>
      </c>
      <c r="Y594" s="8">
        <f>IF(C594=1,$AE$32,$AE$33)</f>
        <v/>
      </c>
      <c r="Z594" s="9">
        <f>Y594*X594</f>
        <v/>
      </c>
      <c r="AA594" s="10">
        <f>IF(W594&gt;$AE$34,1,0)</f>
        <v/>
      </c>
      <c r="AB594">
        <f>IF(AA594=C594,1,0)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$AE$12+D595*$AE$13+E595*$AE$14+F595*$AE$15+G595*$AE$16+H595*$AE$17+I595*$AE$18+J595*$AE$19+K595*$AE$20+L595*$AE$21+M595*$AE$22+N595*$AE$23+O595*$AE$24+P595*$AE$25+Q595*$AE$26+R595*$AE$27+S595*$AE$28+T595*$AE$29+U595*$AE$30</f>
        <v/>
      </c>
      <c r="W595" s="8">
        <f>1/(1+EXP(-V595))</f>
        <v/>
      </c>
      <c r="X595" s="9">
        <f>-IF(C595=1,LN(W595),LN(1-W595))</f>
        <v/>
      </c>
      <c r="Y595" s="8">
        <f>IF(C595=1,$AE$32,$AE$33)</f>
        <v/>
      </c>
      <c r="Z595" s="9">
        <f>Y595*X595</f>
        <v/>
      </c>
      <c r="AA595" s="10">
        <f>IF(W595&gt;$AE$34,1,0)</f>
        <v/>
      </c>
      <c r="AB595">
        <f>IF(AA595=C595,1,0)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$AE$12+D596*$AE$13+E596*$AE$14+F596*$AE$15+G596*$AE$16+H596*$AE$17+I596*$AE$18+J596*$AE$19+K596*$AE$20+L596*$AE$21+M596*$AE$22+N596*$AE$23+O596*$AE$24+P596*$AE$25+Q596*$AE$26+R596*$AE$27+S596*$AE$28+T596*$AE$29+U596*$AE$30</f>
        <v/>
      </c>
      <c r="W596" s="8">
        <f>1/(1+EXP(-V596))</f>
        <v/>
      </c>
      <c r="X596" s="9">
        <f>-IF(C596=1,LN(W596),LN(1-W596))</f>
        <v/>
      </c>
      <c r="Y596" s="8">
        <f>IF(C596=1,$AE$32,$AE$33)</f>
        <v/>
      </c>
      <c r="Z596" s="9">
        <f>Y596*X596</f>
        <v/>
      </c>
      <c r="AA596" s="10">
        <f>IF(W596&gt;$AE$34,1,0)</f>
        <v/>
      </c>
      <c r="AB596">
        <f>IF(AA596=C596,1,0)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$AE$12+D597*$AE$13+E597*$AE$14+F597*$AE$15+G597*$AE$16+H597*$AE$17+I597*$AE$18+J597*$AE$19+K597*$AE$20+L597*$AE$21+M597*$AE$22+N597*$AE$23+O597*$AE$24+P597*$AE$25+Q597*$AE$26+R597*$AE$27+S597*$AE$28+T597*$AE$29+U597*$AE$30</f>
        <v/>
      </c>
      <c r="W597" s="8">
        <f>1/(1+EXP(-V597))</f>
        <v/>
      </c>
      <c r="X597" s="9">
        <f>-IF(C597=1,LN(W597),LN(1-W597))</f>
        <v/>
      </c>
      <c r="Y597" s="8">
        <f>IF(C597=1,$AE$32,$AE$33)</f>
        <v/>
      </c>
      <c r="Z597" s="9">
        <f>Y597*X597</f>
        <v/>
      </c>
      <c r="AA597" s="10">
        <f>IF(W597&gt;$AE$34,1,0)</f>
        <v/>
      </c>
      <c r="AB597">
        <f>IF(AA597=C597,1,0)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$AE$12+D598*$AE$13+E598*$AE$14+F598*$AE$15+G598*$AE$16+H598*$AE$17+I598*$AE$18+J598*$AE$19+K598*$AE$20+L598*$AE$21+M598*$AE$22+N598*$AE$23+O598*$AE$24+P598*$AE$25+Q598*$AE$26+R598*$AE$27+S598*$AE$28+T598*$AE$29+U598*$AE$30</f>
        <v/>
      </c>
      <c r="W598" s="8">
        <f>1/(1+EXP(-V598))</f>
        <v/>
      </c>
      <c r="X598" s="9">
        <f>-IF(C598=1,LN(W598),LN(1-W598))</f>
        <v/>
      </c>
      <c r="Y598" s="8">
        <f>IF(C598=1,$AE$32,$AE$33)</f>
        <v/>
      </c>
      <c r="Z598" s="9">
        <f>Y598*X598</f>
        <v/>
      </c>
      <c r="AA598" s="10">
        <f>IF(W598&gt;$AE$34,1,0)</f>
        <v/>
      </c>
      <c r="AB598">
        <f>IF(AA598=C598,1,0)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$AE$12+D599*$AE$13+E599*$AE$14+F599*$AE$15+G599*$AE$16+H599*$AE$17+I599*$AE$18+J599*$AE$19+K599*$AE$20+L599*$AE$21+M599*$AE$22+N599*$AE$23+O599*$AE$24+P599*$AE$25+Q599*$AE$26+R599*$AE$27+S599*$AE$28+T599*$AE$29+U599*$AE$30</f>
        <v/>
      </c>
      <c r="W599" s="8">
        <f>1/(1+EXP(-V599))</f>
        <v/>
      </c>
      <c r="X599" s="9">
        <f>-IF(C599=1,LN(W599),LN(1-W599))</f>
        <v/>
      </c>
      <c r="Y599" s="8">
        <f>IF(C599=1,$AE$32,$AE$33)</f>
        <v/>
      </c>
      <c r="Z599" s="9">
        <f>Y599*X599</f>
        <v/>
      </c>
      <c r="AA599" s="10">
        <f>IF(W599&gt;$AE$34,1,0)</f>
        <v/>
      </c>
      <c r="AB599">
        <f>IF(AA599=C599,1,0)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$AE$12+D600*$AE$13+E600*$AE$14+F600*$AE$15+G600*$AE$16+H600*$AE$17+I600*$AE$18+J600*$AE$19+K600*$AE$20+L600*$AE$21+M600*$AE$22+N600*$AE$23+O600*$AE$24+P600*$AE$25+Q600*$AE$26+R600*$AE$27+S600*$AE$28+T600*$AE$29+U600*$AE$30</f>
        <v/>
      </c>
      <c r="W600" s="8">
        <f>1/(1+EXP(-V600))</f>
        <v/>
      </c>
      <c r="X600" s="9">
        <f>-IF(C600=1,LN(W600),LN(1-W600))</f>
        <v/>
      </c>
      <c r="Y600" s="8">
        <f>IF(C600=1,$AE$32,$AE$33)</f>
        <v/>
      </c>
      <c r="Z600" s="9">
        <f>Y600*X600</f>
        <v/>
      </c>
      <c r="AA600" s="10">
        <f>IF(W600&gt;$AE$34,1,0)</f>
        <v/>
      </c>
      <c r="AB600">
        <f>IF(AA600=C600,1,0)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$AE$12+D601*$AE$13+E601*$AE$14+F601*$AE$15+G601*$AE$16+H601*$AE$17+I601*$AE$18+J601*$AE$19+K601*$AE$20+L601*$AE$21+M601*$AE$22+N601*$AE$23+O601*$AE$24+P601*$AE$25+Q601*$AE$26+R601*$AE$27+S601*$AE$28+T601*$AE$29+U601*$AE$30</f>
        <v/>
      </c>
      <c r="W601" s="8">
        <f>1/(1+EXP(-V601))</f>
        <v/>
      </c>
      <c r="X601" s="9">
        <f>-IF(C601=1,LN(W601),LN(1-W601))</f>
        <v/>
      </c>
      <c r="Y601" s="8">
        <f>IF(C601=1,$AE$32,$AE$33)</f>
        <v/>
      </c>
      <c r="Z601" s="9">
        <f>Y601*X601</f>
        <v/>
      </c>
      <c r="AA601" s="10">
        <f>IF(W601&gt;$AE$34,1,0)</f>
        <v/>
      </c>
      <c r="AB601">
        <f>IF(AA601=C601,1,0)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$AE$12+D602*$AE$13+E602*$AE$14+F602*$AE$15+G602*$AE$16+H602*$AE$17+I602*$AE$18+J602*$AE$19+K602*$AE$20+L602*$AE$21+M602*$AE$22+N602*$AE$23+O602*$AE$24+P602*$AE$25+Q602*$AE$26+R602*$AE$27+S602*$AE$28+T602*$AE$29+U602*$AE$30</f>
        <v/>
      </c>
      <c r="W602" s="8">
        <f>1/(1+EXP(-V602))</f>
        <v/>
      </c>
      <c r="X602" s="9">
        <f>-IF(C602=1,LN(W602),LN(1-W602))</f>
        <v/>
      </c>
      <c r="Y602" s="8">
        <f>IF(C602=1,$AE$32,$AE$33)</f>
        <v/>
      </c>
      <c r="Z602" s="9">
        <f>Y602*X602</f>
        <v/>
      </c>
      <c r="AA602" s="10">
        <f>IF(W602&gt;$AE$34,1,0)</f>
        <v/>
      </c>
      <c r="AB602">
        <f>IF(AA602=C602,1,0)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$AE$12+D603*$AE$13+E603*$AE$14+F603*$AE$15+G603*$AE$16+H603*$AE$17+I603*$AE$18+J603*$AE$19+K603*$AE$20+L603*$AE$21+M603*$AE$22+N603*$AE$23+O603*$AE$24+P603*$AE$25+Q603*$AE$26+R603*$AE$27+S603*$AE$28+T603*$AE$29+U603*$AE$30</f>
        <v/>
      </c>
      <c r="W603" s="8">
        <f>1/(1+EXP(-V603))</f>
        <v/>
      </c>
      <c r="X603" s="9">
        <f>-IF(C603=1,LN(W603),LN(1-W603))</f>
        <v/>
      </c>
      <c r="Y603" s="8">
        <f>IF(C603=1,$AE$32,$AE$33)</f>
        <v/>
      </c>
      <c r="Z603" s="9">
        <f>Y603*X603</f>
        <v/>
      </c>
      <c r="AA603" s="10">
        <f>IF(W603&gt;$AE$34,1,0)</f>
        <v/>
      </c>
      <c r="AB603">
        <f>IF(AA603=C603,1,0)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$AE$12+D604*$AE$13+E604*$AE$14+F604*$AE$15+G604*$AE$16+H604*$AE$17+I604*$AE$18+J604*$AE$19+K604*$AE$20+L604*$AE$21+M604*$AE$22+N604*$AE$23+O604*$AE$24+P604*$AE$25+Q604*$AE$26+R604*$AE$27+S604*$AE$28+T604*$AE$29+U604*$AE$30</f>
        <v/>
      </c>
      <c r="W604" s="8">
        <f>1/(1+EXP(-V604))</f>
        <v/>
      </c>
      <c r="X604" s="9">
        <f>-IF(C604=1,LN(W604),LN(1-W604))</f>
        <v/>
      </c>
      <c r="Y604" s="8">
        <f>IF(C604=1,$AE$32,$AE$33)</f>
        <v/>
      </c>
      <c r="Z604" s="9">
        <f>Y604*X604</f>
        <v/>
      </c>
      <c r="AA604" s="10">
        <f>IF(W604&gt;$AE$34,1,0)</f>
        <v/>
      </c>
      <c r="AB604">
        <f>IF(AA604=C604,1,0)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$AE$12+D605*$AE$13+E605*$AE$14+F605*$AE$15+G605*$AE$16+H605*$AE$17+I605*$AE$18+J605*$AE$19+K605*$AE$20+L605*$AE$21+M605*$AE$22+N605*$AE$23+O605*$AE$24+P605*$AE$25+Q605*$AE$26+R605*$AE$27+S605*$AE$28+T605*$AE$29+U605*$AE$30</f>
        <v/>
      </c>
      <c r="W605" s="8">
        <f>1/(1+EXP(-V605))</f>
        <v/>
      </c>
      <c r="X605" s="9">
        <f>-IF(C605=1,LN(W605),LN(1-W605))</f>
        <v/>
      </c>
      <c r="Y605" s="8">
        <f>IF(C605=1,$AE$32,$AE$33)</f>
        <v/>
      </c>
      <c r="Z605" s="9">
        <f>Y605*X605</f>
        <v/>
      </c>
      <c r="AA605" s="10">
        <f>IF(W605&gt;$AE$34,1,0)</f>
        <v/>
      </c>
      <c r="AB605">
        <f>IF(AA605=C605,1,0)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$AE$12+D606*$AE$13+E606*$AE$14+F606*$AE$15+G606*$AE$16+H606*$AE$17+I606*$AE$18+J606*$AE$19+K606*$AE$20+L606*$AE$21+M606*$AE$22+N606*$AE$23+O606*$AE$24+P606*$AE$25+Q606*$AE$26+R606*$AE$27+S606*$AE$28+T606*$AE$29+U606*$AE$30</f>
        <v/>
      </c>
      <c r="W606" s="8">
        <f>1/(1+EXP(-V606))</f>
        <v/>
      </c>
      <c r="X606" s="9">
        <f>-IF(C606=1,LN(W606),LN(1-W606))</f>
        <v/>
      </c>
      <c r="Y606" s="8">
        <f>IF(C606=1,$AE$32,$AE$33)</f>
        <v/>
      </c>
      <c r="Z606" s="9">
        <f>Y606*X606</f>
        <v/>
      </c>
      <c r="AA606" s="10">
        <f>IF(W606&gt;$AE$34,1,0)</f>
        <v/>
      </c>
      <c r="AB606">
        <f>IF(AA606=C606,1,0)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$AE$12+D607*$AE$13+E607*$AE$14+F607*$AE$15+G607*$AE$16+H607*$AE$17+I607*$AE$18+J607*$AE$19+K607*$AE$20+L607*$AE$21+M607*$AE$22+N607*$AE$23+O607*$AE$24+P607*$AE$25+Q607*$AE$26+R607*$AE$27+S607*$AE$28+T607*$AE$29+U607*$AE$30</f>
        <v/>
      </c>
      <c r="W607" s="8">
        <f>1/(1+EXP(-V607))</f>
        <v/>
      </c>
      <c r="X607" s="9">
        <f>-IF(C607=1,LN(W607),LN(1-W607))</f>
        <v/>
      </c>
      <c r="Y607" s="8">
        <f>IF(C607=1,$AE$32,$AE$33)</f>
        <v/>
      </c>
      <c r="Z607" s="9">
        <f>Y607*X607</f>
        <v/>
      </c>
      <c r="AA607" s="10">
        <f>IF(W607&gt;$AE$34,1,0)</f>
        <v/>
      </c>
      <c r="AB607">
        <f>IF(AA607=C607,1,0)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$AE$12+D608*$AE$13+E608*$AE$14+F608*$AE$15+G608*$AE$16+H608*$AE$17+I608*$AE$18+J608*$AE$19+K608*$AE$20+L608*$AE$21+M608*$AE$22+N608*$AE$23+O608*$AE$24+P608*$AE$25+Q608*$AE$26+R608*$AE$27+S608*$AE$28+T608*$AE$29+U608*$AE$30</f>
        <v/>
      </c>
      <c r="W608" s="8">
        <f>1/(1+EXP(-V608))</f>
        <v/>
      </c>
      <c r="X608" s="9">
        <f>-IF(C608=1,LN(W608),LN(1-W608))</f>
        <v/>
      </c>
      <c r="Y608" s="8">
        <f>IF(C608=1,$AE$32,$AE$33)</f>
        <v/>
      </c>
      <c r="Z608" s="9">
        <f>Y608*X608</f>
        <v/>
      </c>
      <c r="AA608" s="10">
        <f>IF(W608&gt;$AE$34,1,0)</f>
        <v/>
      </c>
      <c r="AB608">
        <f>IF(AA608=C608,1,0)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$AE$12+D609*$AE$13+E609*$AE$14+F609*$AE$15+G609*$AE$16+H609*$AE$17+I609*$AE$18+J609*$AE$19+K609*$AE$20+L609*$AE$21+M609*$AE$22+N609*$AE$23+O609*$AE$24+P609*$AE$25+Q609*$AE$26+R609*$AE$27+S609*$AE$28+T609*$AE$29+U609*$AE$30</f>
        <v/>
      </c>
      <c r="W609" s="8">
        <f>1/(1+EXP(-V609))</f>
        <v/>
      </c>
      <c r="X609" s="9">
        <f>-IF(C609=1,LN(W609),LN(1-W609))</f>
        <v/>
      </c>
      <c r="Y609" s="8">
        <f>IF(C609=1,$AE$32,$AE$33)</f>
        <v/>
      </c>
      <c r="Z609" s="9">
        <f>Y609*X609</f>
        <v/>
      </c>
      <c r="AA609" s="10">
        <f>IF(W609&gt;$AE$34,1,0)</f>
        <v/>
      </c>
      <c r="AB609">
        <f>IF(AA609=C609,1,0)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$AE$12+D610*$AE$13+E610*$AE$14+F610*$AE$15+G610*$AE$16+H610*$AE$17+I610*$AE$18+J610*$AE$19+K610*$AE$20+L610*$AE$21+M610*$AE$22+N610*$AE$23+O610*$AE$24+P610*$AE$25+Q610*$AE$26+R610*$AE$27+S610*$AE$28+T610*$AE$29+U610*$AE$30</f>
        <v/>
      </c>
      <c r="W610" s="8">
        <f>1/(1+EXP(-V610))</f>
        <v/>
      </c>
      <c r="X610" s="9">
        <f>-IF(C610=1,LN(W610),LN(1-W610))</f>
        <v/>
      </c>
      <c r="Y610" s="8">
        <f>IF(C610=1,$AE$32,$AE$33)</f>
        <v/>
      </c>
      <c r="Z610" s="9">
        <f>Y610*X610</f>
        <v/>
      </c>
      <c r="AA610" s="10">
        <f>IF(W610&gt;$AE$34,1,0)</f>
        <v/>
      </c>
      <c r="AB610">
        <f>IF(AA610=C610,1,0)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$AE$12+D611*$AE$13+E611*$AE$14+F611*$AE$15+G611*$AE$16+H611*$AE$17+I611*$AE$18+J611*$AE$19+K611*$AE$20+L611*$AE$21+M611*$AE$22+N611*$AE$23+O611*$AE$24+P611*$AE$25+Q611*$AE$26+R611*$AE$27+S611*$AE$28+T611*$AE$29+U611*$AE$30</f>
        <v/>
      </c>
      <c r="W611" s="8">
        <f>1/(1+EXP(-V611))</f>
        <v/>
      </c>
      <c r="X611" s="9">
        <f>-IF(C611=1,LN(W611),LN(1-W611))</f>
        <v/>
      </c>
      <c r="Y611" s="8">
        <f>IF(C611=1,$AE$32,$AE$33)</f>
        <v/>
      </c>
      <c r="Z611" s="9">
        <f>Y611*X611</f>
        <v/>
      </c>
      <c r="AA611" s="10">
        <f>IF(W611&gt;$AE$34,1,0)</f>
        <v/>
      </c>
      <c r="AB611">
        <f>IF(AA611=C611,1,0)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$AE$12+D612*$AE$13+E612*$AE$14+F612*$AE$15+G612*$AE$16+H612*$AE$17+I612*$AE$18+J612*$AE$19+K612*$AE$20+L612*$AE$21+M612*$AE$22+N612*$AE$23+O612*$AE$24+P612*$AE$25+Q612*$AE$26+R612*$AE$27+S612*$AE$28+T612*$AE$29+U612*$AE$30</f>
        <v/>
      </c>
      <c r="W612" s="8">
        <f>1/(1+EXP(-V612))</f>
        <v/>
      </c>
      <c r="X612" s="9">
        <f>-IF(C612=1,LN(W612),LN(1-W612))</f>
        <v/>
      </c>
      <c r="Y612" s="8">
        <f>IF(C612=1,$AE$32,$AE$33)</f>
        <v/>
      </c>
      <c r="Z612" s="9">
        <f>Y612*X612</f>
        <v/>
      </c>
      <c r="AA612" s="10">
        <f>IF(W612&gt;$AE$34,1,0)</f>
        <v/>
      </c>
      <c r="AB612">
        <f>IF(AA612=C612,1,0)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$AE$12+D613*$AE$13+E613*$AE$14+F613*$AE$15+G613*$AE$16+H613*$AE$17+I613*$AE$18+J613*$AE$19+K613*$AE$20+L613*$AE$21+M613*$AE$22+N613*$AE$23+O613*$AE$24+P613*$AE$25+Q613*$AE$26+R613*$AE$27+S613*$AE$28+T613*$AE$29+U613*$AE$30</f>
        <v/>
      </c>
      <c r="W613" s="8">
        <f>1/(1+EXP(-V613))</f>
        <v/>
      </c>
      <c r="X613" s="9">
        <f>-IF(C613=1,LN(W613),LN(1-W613))</f>
        <v/>
      </c>
      <c r="Y613" s="8">
        <f>IF(C613=1,$AE$32,$AE$33)</f>
        <v/>
      </c>
      <c r="Z613" s="9">
        <f>Y613*X613</f>
        <v/>
      </c>
      <c r="AA613" s="10">
        <f>IF(W613&gt;$AE$34,1,0)</f>
        <v/>
      </c>
      <c r="AB613">
        <f>IF(AA613=C613,1,0)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$AE$12+D614*$AE$13+E614*$AE$14+F614*$AE$15+G614*$AE$16+H614*$AE$17+I614*$AE$18+J614*$AE$19+K614*$AE$20+L614*$AE$21+M614*$AE$22+N614*$AE$23+O614*$AE$24+P614*$AE$25+Q614*$AE$26+R614*$AE$27+S614*$AE$28+T614*$AE$29+U614*$AE$30</f>
        <v/>
      </c>
      <c r="W614" s="8">
        <f>1/(1+EXP(-V614))</f>
        <v/>
      </c>
      <c r="X614" s="9">
        <f>-IF(C614=1,LN(W614),LN(1-W614))</f>
        <v/>
      </c>
      <c r="Y614" s="8">
        <f>IF(C614=1,$AE$32,$AE$33)</f>
        <v/>
      </c>
      <c r="Z614" s="9">
        <f>Y614*X614</f>
        <v/>
      </c>
      <c r="AA614" s="10">
        <f>IF(W614&gt;$AE$34,1,0)</f>
        <v/>
      </c>
      <c r="AB614">
        <f>IF(AA614=C614,1,0)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$AE$12+D615*$AE$13+E615*$AE$14+F615*$AE$15+G615*$AE$16+H615*$AE$17+I615*$AE$18+J615*$AE$19+K615*$AE$20+L615*$AE$21+M615*$AE$22+N615*$AE$23+O615*$AE$24+P615*$AE$25+Q615*$AE$26+R615*$AE$27+S615*$AE$28+T615*$AE$29+U615*$AE$30</f>
        <v/>
      </c>
      <c r="W615" s="8">
        <f>1/(1+EXP(-V615))</f>
        <v/>
      </c>
      <c r="X615" s="9">
        <f>-IF(C615=1,LN(W615),LN(1-W615))</f>
        <v/>
      </c>
      <c r="Y615" s="8">
        <f>IF(C615=1,$AE$32,$AE$33)</f>
        <v/>
      </c>
      <c r="Z615" s="9">
        <f>Y615*X615</f>
        <v/>
      </c>
      <c r="AA615" s="10">
        <f>IF(W615&gt;$AE$34,1,0)</f>
        <v/>
      </c>
      <c r="AB615">
        <f>IF(AA615=C615,1,0)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$AE$12+D616*$AE$13+E616*$AE$14+F616*$AE$15+G616*$AE$16+H616*$AE$17+I616*$AE$18+J616*$AE$19+K616*$AE$20+L616*$AE$21+M616*$AE$22+N616*$AE$23+O616*$AE$24+P616*$AE$25+Q616*$AE$26+R616*$AE$27+S616*$AE$28+T616*$AE$29+U616*$AE$30</f>
        <v/>
      </c>
      <c r="W616" s="8">
        <f>1/(1+EXP(-V616))</f>
        <v/>
      </c>
      <c r="X616" s="9">
        <f>-IF(C616=1,LN(W616),LN(1-W616))</f>
        <v/>
      </c>
      <c r="Y616" s="8">
        <f>IF(C616=1,$AE$32,$AE$33)</f>
        <v/>
      </c>
      <c r="Z616" s="9">
        <f>Y616*X616</f>
        <v/>
      </c>
      <c r="AA616" s="10">
        <f>IF(W616&gt;$AE$34,1,0)</f>
        <v/>
      </c>
      <c r="AB616">
        <f>IF(AA616=C616,1,0)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$AE$12+D617*$AE$13+E617*$AE$14+F617*$AE$15+G617*$AE$16+H617*$AE$17+I617*$AE$18+J617*$AE$19+K617*$AE$20+L617*$AE$21+M617*$AE$22+N617*$AE$23+O617*$AE$24+P617*$AE$25+Q617*$AE$26+R617*$AE$27+S617*$AE$28+T617*$AE$29+U617*$AE$30</f>
        <v/>
      </c>
      <c r="W617" s="8">
        <f>1/(1+EXP(-V617))</f>
        <v/>
      </c>
      <c r="X617" s="9">
        <f>-IF(C617=1,LN(W617),LN(1-W617))</f>
        <v/>
      </c>
      <c r="Y617" s="8">
        <f>IF(C617=1,$AE$32,$AE$33)</f>
        <v/>
      </c>
      <c r="Z617" s="9">
        <f>Y617*X617</f>
        <v/>
      </c>
      <c r="AA617" s="10">
        <f>IF(W617&gt;$AE$34,1,0)</f>
        <v/>
      </c>
      <c r="AB617">
        <f>IF(AA617=C617,1,0)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$AE$12+D618*$AE$13+E618*$AE$14+F618*$AE$15+G618*$AE$16+H618*$AE$17+I618*$AE$18+J618*$AE$19+K618*$AE$20+L618*$AE$21+M618*$AE$22+N618*$AE$23+O618*$AE$24+P618*$AE$25+Q618*$AE$26+R618*$AE$27+S618*$AE$28+T618*$AE$29+U618*$AE$30</f>
        <v/>
      </c>
      <c r="W618" s="8">
        <f>1/(1+EXP(-V618))</f>
        <v/>
      </c>
      <c r="X618" s="9">
        <f>-IF(C618=1,LN(W618),LN(1-W618))</f>
        <v/>
      </c>
      <c r="Y618" s="8">
        <f>IF(C618=1,$AE$32,$AE$33)</f>
        <v/>
      </c>
      <c r="Z618" s="9">
        <f>Y618*X618</f>
        <v/>
      </c>
      <c r="AA618" s="10">
        <f>IF(W618&gt;$AE$34,1,0)</f>
        <v/>
      </c>
      <c r="AB618">
        <f>IF(AA618=C618,1,0)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$AE$12+D619*$AE$13+E619*$AE$14+F619*$AE$15+G619*$AE$16+H619*$AE$17+I619*$AE$18+J619*$AE$19+K619*$AE$20+L619*$AE$21+M619*$AE$22+N619*$AE$23+O619*$AE$24+P619*$AE$25+Q619*$AE$26+R619*$AE$27+S619*$AE$28+T619*$AE$29+U619*$AE$30</f>
        <v/>
      </c>
      <c r="W619" s="8">
        <f>1/(1+EXP(-V619))</f>
        <v/>
      </c>
      <c r="X619" s="9">
        <f>-IF(C619=1,LN(W619),LN(1-W619))</f>
        <v/>
      </c>
      <c r="Y619" s="8">
        <f>IF(C619=1,$AE$32,$AE$33)</f>
        <v/>
      </c>
      <c r="Z619" s="9">
        <f>Y619*X619</f>
        <v/>
      </c>
      <c r="AA619" s="10">
        <f>IF(W619&gt;$AE$34,1,0)</f>
        <v/>
      </c>
      <c r="AB619">
        <f>IF(AA619=C619,1,0)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$AE$12+D620*$AE$13+E620*$AE$14+F620*$AE$15+G620*$AE$16+H620*$AE$17+I620*$AE$18+J620*$AE$19+K620*$AE$20+L620*$AE$21+M620*$AE$22+N620*$AE$23+O620*$AE$24+P620*$AE$25+Q620*$AE$26+R620*$AE$27+S620*$AE$28+T620*$AE$29+U620*$AE$30</f>
        <v/>
      </c>
      <c r="W620" s="8">
        <f>1/(1+EXP(-V620))</f>
        <v/>
      </c>
      <c r="X620" s="9">
        <f>-IF(C620=1,LN(W620),LN(1-W620))</f>
        <v/>
      </c>
      <c r="Y620" s="8">
        <f>IF(C620=1,$AE$32,$AE$33)</f>
        <v/>
      </c>
      <c r="Z620" s="9">
        <f>Y620*X620</f>
        <v/>
      </c>
      <c r="AA620" s="10">
        <f>IF(W620&gt;$AE$34,1,0)</f>
        <v/>
      </c>
      <c r="AB620">
        <f>IF(AA620=C620,1,0)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$AE$12+D621*$AE$13+E621*$AE$14+F621*$AE$15+G621*$AE$16+H621*$AE$17+I621*$AE$18+J621*$AE$19+K621*$AE$20+L621*$AE$21+M621*$AE$22+N621*$AE$23+O621*$AE$24+P621*$AE$25+Q621*$AE$26+R621*$AE$27+S621*$AE$28+T621*$AE$29+U621*$AE$30</f>
        <v/>
      </c>
      <c r="W621" s="8">
        <f>1/(1+EXP(-V621))</f>
        <v/>
      </c>
      <c r="X621" s="9">
        <f>-IF(C621=1,LN(W621),LN(1-W621))</f>
        <v/>
      </c>
      <c r="Y621" s="8">
        <f>IF(C621=1,$AE$32,$AE$33)</f>
        <v/>
      </c>
      <c r="Z621" s="9">
        <f>Y621*X621</f>
        <v/>
      </c>
      <c r="AA621" s="10">
        <f>IF(W621&gt;$AE$34,1,0)</f>
        <v/>
      </c>
      <c r="AB621">
        <f>IF(AA621=C621,1,0)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$AE$12+D622*$AE$13+E622*$AE$14+F622*$AE$15+G622*$AE$16+H622*$AE$17+I622*$AE$18+J622*$AE$19+K622*$AE$20+L622*$AE$21+M622*$AE$22+N622*$AE$23+O622*$AE$24+P622*$AE$25+Q622*$AE$26+R622*$AE$27+S622*$AE$28+T622*$AE$29+U622*$AE$30</f>
        <v/>
      </c>
      <c r="W622" s="8">
        <f>1/(1+EXP(-V622))</f>
        <v/>
      </c>
      <c r="X622" s="9">
        <f>-IF(C622=1,LN(W622),LN(1-W622))</f>
        <v/>
      </c>
      <c r="Y622" s="8">
        <f>IF(C622=1,$AE$32,$AE$33)</f>
        <v/>
      </c>
      <c r="Z622" s="9">
        <f>Y622*X622</f>
        <v/>
      </c>
      <c r="AA622" s="10">
        <f>IF(W622&gt;$AE$34,1,0)</f>
        <v/>
      </c>
      <c r="AB622">
        <f>IF(AA622=C622,1,0)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$AE$12+D623*$AE$13+E623*$AE$14+F623*$AE$15+G623*$AE$16+H623*$AE$17+I623*$AE$18+J623*$AE$19+K623*$AE$20+L623*$AE$21+M623*$AE$22+N623*$AE$23+O623*$AE$24+P623*$AE$25+Q623*$AE$26+R623*$AE$27+S623*$AE$28+T623*$AE$29+U623*$AE$30</f>
        <v/>
      </c>
      <c r="W623" s="8">
        <f>1/(1+EXP(-V623))</f>
        <v/>
      </c>
      <c r="X623" s="9">
        <f>-IF(C623=1,LN(W623),LN(1-W623))</f>
        <v/>
      </c>
      <c r="Y623" s="8">
        <f>IF(C623=1,$AE$32,$AE$33)</f>
        <v/>
      </c>
      <c r="Z623" s="9">
        <f>Y623*X623</f>
        <v/>
      </c>
      <c r="AA623" s="10">
        <f>IF(W623&gt;$AE$34,1,0)</f>
        <v/>
      </c>
      <c r="AB623">
        <f>IF(AA623=C623,1,0)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$AE$12+D624*$AE$13+E624*$AE$14+F624*$AE$15+G624*$AE$16+H624*$AE$17+I624*$AE$18+J624*$AE$19+K624*$AE$20+L624*$AE$21+M624*$AE$22+N624*$AE$23+O624*$AE$24+P624*$AE$25+Q624*$AE$26+R624*$AE$27+S624*$AE$28+T624*$AE$29+U624*$AE$30</f>
        <v/>
      </c>
      <c r="W624" s="8">
        <f>1/(1+EXP(-V624))</f>
        <v/>
      </c>
      <c r="X624" s="9">
        <f>-IF(C624=1,LN(W624),LN(1-W624))</f>
        <v/>
      </c>
      <c r="Y624" s="8">
        <f>IF(C624=1,$AE$32,$AE$33)</f>
        <v/>
      </c>
      <c r="Z624" s="9">
        <f>Y624*X624</f>
        <v/>
      </c>
      <c r="AA624" s="10">
        <f>IF(W624&gt;$AE$34,1,0)</f>
        <v/>
      </c>
      <c r="AB624">
        <f>IF(AA624=C624,1,0)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$AE$12+D625*$AE$13+E625*$AE$14+F625*$AE$15+G625*$AE$16+H625*$AE$17+I625*$AE$18+J625*$AE$19+K625*$AE$20+L625*$AE$21+M625*$AE$22+N625*$AE$23+O625*$AE$24+P625*$AE$25+Q625*$AE$26+R625*$AE$27+S625*$AE$28+T625*$AE$29+U625*$AE$30</f>
        <v/>
      </c>
      <c r="W625" s="8">
        <f>1/(1+EXP(-V625))</f>
        <v/>
      </c>
      <c r="X625" s="9">
        <f>-IF(C625=1,LN(W625),LN(1-W625))</f>
        <v/>
      </c>
      <c r="Y625" s="8">
        <f>IF(C625=1,$AE$32,$AE$33)</f>
        <v/>
      </c>
      <c r="Z625" s="9">
        <f>Y625*X625</f>
        <v/>
      </c>
      <c r="AA625" s="10">
        <f>IF(W625&gt;$AE$34,1,0)</f>
        <v/>
      </c>
      <c r="AB625">
        <f>IF(AA625=C625,1,0)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$AE$12+D626*$AE$13+E626*$AE$14+F626*$AE$15+G626*$AE$16+H626*$AE$17+I626*$AE$18+J626*$AE$19+K626*$AE$20+L626*$AE$21+M626*$AE$22+N626*$AE$23+O626*$AE$24+P626*$AE$25+Q626*$AE$26+R626*$AE$27+S626*$AE$28+T626*$AE$29+U626*$AE$30</f>
        <v/>
      </c>
      <c r="W626" s="8">
        <f>1/(1+EXP(-V626))</f>
        <v/>
      </c>
      <c r="X626" s="9">
        <f>-IF(C626=1,LN(W626),LN(1-W626))</f>
        <v/>
      </c>
      <c r="Y626" s="8">
        <f>IF(C626=1,$AE$32,$AE$33)</f>
        <v/>
      </c>
      <c r="Z626" s="9">
        <f>Y626*X626</f>
        <v/>
      </c>
      <c r="AA626" s="10">
        <f>IF(W626&gt;$AE$34,1,0)</f>
        <v/>
      </c>
      <c r="AB626">
        <f>IF(AA626=C626,1,0)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$AE$12+D627*$AE$13+E627*$AE$14+F627*$AE$15+G627*$AE$16+H627*$AE$17+I627*$AE$18+J627*$AE$19+K627*$AE$20+L627*$AE$21+M627*$AE$22+N627*$AE$23+O627*$AE$24+P627*$AE$25+Q627*$AE$26+R627*$AE$27+S627*$AE$28+T627*$AE$29+U627*$AE$30</f>
        <v/>
      </c>
      <c r="W627" s="8">
        <f>1/(1+EXP(-V627))</f>
        <v/>
      </c>
      <c r="X627" s="9">
        <f>-IF(C627=1,LN(W627),LN(1-W627))</f>
        <v/>
      </c>
      <c r="Y627" s="8">
        <f>IF(C627=1,$AE$32,$AE$33)</f>
        <v/>
      </c>
      <c r="Z627" s="9">
        <f>Y627*X627</f>
        <v/>
      </c>
      <c r="AA627" s="10">
        <f>IF(W627&gt;$AE$34,1,0)</f>
        <v/>
      </c>
      <c r="AB627">
        <f>IF(AA627=C627,1,0)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$AE$12+D628*$AE$13+E628*$AE$14+F628*$AE$15+G628*$AE$16+H628*$AE$17+I628*$AE$18+J628*$AE$19+K628*$AE$20+L628*$AE$21+M628*$AE$22+N628*$AE$23+O628*$AE$24+P628*$AE$25+Q628*$AE$26+R628*$AE$27+S628*$AE$28+T628*$AE$29+U628*$AE$30</f>
        <v/>
      </c>
      <c r="W628" s="8">
        <f>1/(1+EXP(-V628))</f>
        <v/>
      </c>
      <c r="X628" s="9">
        <f>-IF(C628=1,LN(W628),LN(1-W628))</f>
        <v/>
      </c>
      <c r="Y628" s="8">
        <f>IF(C628=1,$AE$32,$AE$33)</f>
        <v/>
      </c>
      <c r="Z628" s="9">
        <f>Y628*X628</f>
        <v/>
      </c>
      <c r="AA628" s="10">
        <f>IF(W628&gt;$AE$34,1,0)</f>
        <v/>
      </c>
      <c r="AB628">
        <f>IF(AA628=C628,1,0)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$AE$12+D629*$AE$13+E629*$AE$14+F629*$AE$15+G629*$AE$16+H629*$AE$17+I629*$AE$18+J629*$AE$19+K629*$AE$20+L629*$AE$21+M629*$AE$22+N629*$AE$23+O629*$AE$24+P629*$AE$25+Q629*$AE$26+R629*$AE$27+S629*$AE$28+T629*$AE$29+U629*$AE$30</f>
        <v/>
      </c>
      <c r="W629" s="8">
        <f>1/(1+EXP(-V629))</f>
        <v/>
      </c>
      <c r="X629" s="9">
        <f>-IF(C629=1,LN(W629),LN(1-W629))</f>
        <v/>
      </c>
      <c r="Y629" s="8">
        <f>IF(C629=1,$AE$32,$AE$33)</f>
        <v/>
      </c>
      <c r="Z629" s="9">
        <f>Y629*X629</f>
        <v/>
      </c>
      <c r="AA629" s="10">
        <f>IF(W629&gt;$AE$34,1,0)</f>
        <v/>
      </c>
      <c r="AB629">
        <f>IF(AA629=C629,1,0)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$AE$12+D630*$AE$13+E630*$AE$14+F630*$AE$15+G630*$AE$16+H630*$AE$17+I630*$AE$18+J630*$AE$19+K630*$AE$20+L630*$AE$21+M630*$AE$22+N630*$AE$23+O630*$AE$24+P630*$AE$25+Q630*$AE$26+R630*$AE$27+S630*$AE$28+T630*$AE$29+U630*$AE$30</f>
        <v/>
      </c>
      <c r="W630" s="8">
        <f>1/(1+EXP(-V630))</f>
        <v/>
      </c>
      <c r="X630" s="9">
        <f>-IF(C630=1,LN(W630),LN(1-W630))</f>
        <v/>
      </c>
      <c r="Y630" s="8">
        <f>IF(C630=1,$AE$32,$AE$33)</f>
        <v/>
      </c>
      <c r="Z630" s="9">
        <f>Y630*X630</f>
        <v/>
      </c>
      <c r="AA630" s="10">
        <f>IF(W630&gt;$AE$34,1,0)</f>
        <v/>
      </c>
      <c r="AB630">
        <f>IF(AA630=C630,1,0)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$AE$12+D631*$AE$13+E631*$AE$14+F631*$AE$15+G631*$AE$16+H631*$AE$17+I631*$AE$18+J631*$AE$19+K631*$AE$20+L631*$AE$21+M631*$AE$22+N631*$AE$23+O631*$AE$24+P631*$AE$25+Q631*$AE$26+R631*$AE$27+S631*$AE$28+T631*$AE$29+U631*$AE$30</f>
        <v/>
      </c>
      <c r="W631" s="8">
        <f>1/(1+EXP(-V631))</f>
        <v/>
      </c>
      <c r="X631" s="9">
        <f>-IF(C631=1,LN(W631),LN(1-W631))</f>
        <v/>
      </c>
      <c r="Y631" s="8">
        <f>IF(C631=1,$AE$32,$AE$33)</f>
        <v/>
      </c>
      <c r="Z631" s="9">
        <f>Y631*X631</f>
        <v/>
      </c>
      <c r="AA631" s="10">
        <f>IF(W631&gt;$AE$34,1,0)</f>
        <v/>
      </c>
      <c r="AB631">
        <f>IF(AA631=C631,1,0)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$AE$12+D632*$AE$13+E632*$AE$14+F632*$AE$15+G632*$AE$16+H632*$AE$17+I632*$AE$18+J632*$AE$19+K632*$AE$20+L632*$AE$21+M632*$AE$22+N632*$AE$23+O632*$AE$24+P632*$AE$25+Q632*$AE$26+R632*$AE$27+S632*$AE$28+T632*$AE$29+U632*$AE$30</f>
        <v/>
      </c>
      <c r="W632" s="8">
        <f>1/(1+EXP(-V632))</f>
        <v/>
      </c>
      <c r="X632" s="9">
        <f>-IF(C632=1,LN(W632),LN(1-W632))</f>
        <v/>
      </c>
      <c r="Y632" s="8">
        <f>IF(C632=1,$AE$32,$AE$33)</f>
        <v/>
      </c>
      <c r="Z632" s="9">
        <f>Y632*X632</f>
        <v/>
      </c>
      <c r="AA632" s="10">
        <f>IF(W632&gt;$AE$34,1,0)</f>
        <v/>
      </c>
      <c r="AB632">
        <f>IF(AA632=C632,1,0)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$AE$12+D633*$AE$13+E633*$AE$14+F633*$AE$15+G633*$AE$16+H633*$AE$17+I633*$AE$18+J633*$AE$19+K633*$AE$20+L633*$AE$21+M633*$AE$22+N633*$AE$23+O633*$AE$24+P633*$AE$25+Q633*$AE$26+R633*$AE$27+S633*$AE$28+T633*$AE$29+U633*$AE$30</f>
        <v/>
      </c>
      <c r="W633" s="8">
        <f>1/(1+EXP(-V633))</f>
        <v/>
      </c>
      <c r="X633" s="9">
        <f>-IF(C633=1,LN(W633),LN(1-W633))</f>
        <v/>
      </c>
      <c r="Y633" s="8">
        <f>IF(C633=1,$AE$32,$AE$33)</f>
        <v/>
      </c>
      <c r="Z633" s="9">
        <f>Y633*X633</f>
        <v/>
      </c>
      <c r="AA633" s="10">
        <f>IF(W633&gt;$AE$34,1,0)</f>
        <v/>
      </c>
      <c r="AB633">
        <f>IF(AA633=C633,1,0)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$AE$12+D634*$AE$13+E634*$AE$14+F634*$AE$15+G634*$AE$16+H634*$AE$17+I634*$AE$18+J634*$AE$19+K634*$AE$20+L634*$AE$21+M634*$AE$22+N634*$AE$23+O634*$AE$24+P634*$AE$25+Q634*$AE$26+R634*$AE$27+S634*$AE$28+T634*$AE$29+U634*$AE$30</f>
        <v/>
      </c>
      <c r="W634" s="8">
        <f>1/(1+EXP(-V634))</f>
        <v/>
      </c>
      <c r="X634" s="9">
        <f>-IF(C634=1,LN(W634),LN(1-W634))</f>
        <v/>
      </c>
      <c r="Y634" s="8">
        <f>IF(C634=1,$AE$32,$AE$33)</f>
        <v/>
      </c>
      <c r="Z634" s="9">
        <f>Y634*X634</f>
        <v/>
      </c>
      <c r="AA634" s="10">
        <f>IF(W634&gt;$AE$34,1,0)</f>
        <v/>
      </c>
      <c r="AB634">
        <f>IF(AA634=C634,1,0)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$AE$12+D635*$AE$13+E635*$AE$14+F635*$AE$15+G635*$AE$16+H635*$AE$17+I635*$AE$18+J635*$AE$19+K635*$AE$20+L635*$AE$21+M635*$AE$22+N635*$AE$23+O635*$AE$24+P635*$AE$25+Q635*$AE$26+R635*$AE$27+S635*$AE$28+T635*$AE$29+U635*$AE$30</f>
        <v/>
      </c>
      <c r="W635" s="8">
        <f>1/(1+EXP(-V635))</f>
        <v/>
      </c>
      <c r="X635" s="9">
        <f>-IF(C635=1,LN(W635),LN(1-W635))</f>
        <v/>
      </c>
      <c r="Y635" s="8">
        <f>IF(C635=1,$AE$32,$AE$33)</f>
        <v/>
      </c>
      <c r="Z635" s="9">
        <f>Y635*X635</f>
        <v/>
      </c>
      <c r="AA635" s="10">
        <f>IF(W635&gt;$AE$34,1,0)</f>
        <v/>
      </c>
      <c r="AB635">
        <f>IF(AA635=C635,1,0)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$AE$12+D636*$AE$13+E636*$AE$14+F636*$AE$15+G636*$AE$16+H636*$AE$17+I636*$AE$18+J636*$AE$19+K636*$AE$20+L636*$AE$21+M636*$AE$22+N636*$AE$23+O636*$AE$24+P636*$AE$25+Q636*$AE$26+R636*$AE$27+S636*$AE$28+T636*$AE$29+U636*$AE$30</f>
        <v/>
      </c>
      <c r="W636" s="8">
        <f>1/(1+EXP(-V636))</f>
        <v/>
      </c>
      <c r="X636" s="9">
        <f>-IF(C636=1,LN(W636),LN(1-W636))</f>
        <v/>
      </c>
      <c r="Y636" s="8">
        <f>IF(C636=1,$AE$32,$AE$33)</f>
        <v/>
      </c>
      <c r="Z636" s="9">
        <f>Y636*X636</f>
        <v/>
      </c>
      <c r="AA636" s="10">
        <f>IF(W636&gt;$AE$34,1,0)</f>
        <v/>
      </c>
      <c r="AB636">
        <f>IF(AA636=C636,1,0)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$AE$12+D637*$AE$13+E637*$AE$14+F637*$AE$15+G637*$AE$16+H637*$AE$17+I637*$AE$18+J637*$AE$19+K637*$AE$20+L637*$AE$21+M637*$AE$22+N637*$AE$23+O637*$AE$24+P637*$AE$25+Q637*$AE$26+R637*$AE$27+S637*$AE$28+T637*$AE$29+U637*$AE$30</f>
        <v/>
      </c>
      <c r="W637" s="8">
        <f>1/(1+EXP(-V637))</f>
        <v/>
      </c>
      <c r="X637" s="9">
        <f>-IF(C637=1,LN(W637),LN(1-W637))</f>
        <v/>
      </c>
      <c r="Y637" s="8">
        <f>IF(C637=1,$AE$32,$AE$33)</f>
        <v/>
      </c>
      <c r="Z637" s="9">
        <f>Y637*X637</f>
        <v/>
      </c>
      <c r="AA637" s="10">
        <f>IF(W637&gt;$AE$34,1,0)</f>
        <v/>
      </c>
      <c r="AB637">
        <f>IF(AA637=C637,1,0)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$AE$12+D638*$AE$13+E638*$AE$14+F638*$AE$15+G638*$AE$16+H638*$AE$17+I638*$AE$18+J638*$AE$19+K638*$AE$20+L638*$AE$21+M638*$AE$22+N638*$AE$23+O638*$AE$24+P638*$AE$25+Q638*$AE$26+R638*$AE$27+S638*$AE$28+T638*$AE$29+U638*$AE$30</f>
        <v/>
      </c>
      <c r="W638" s="8">
        <f>1/(1+EXP(-V638))</f>
        <v/>
      </c>
      <c r="X638" s="9">
        <f>-IF(C638=1,LN(W638),LN(1-W638))</f>
        <v/>
      </c>
      <c r="Y638" s="8">
        <f>IF(C638=1,$AE$32,$AE$33)</f>
        <v/>
      </c>
      <c r="Z638" s="9">
        <f>Y638*X638</f>
        <v/>
      </c>
      <c r="AA638" s="10">
        <f>IF(W638&gt;$AE$34,1,0)</f>
        <v/>
      </c>
      <c r="AB638">
        <f>IF(AA638=C638,1,0)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$AE$12+D639*$AE$13+E639*$AE$14+F639*$AE$15+G639*$AE$16+H639*$AE$17+I639*$AE$18+J639*$AE$19+K639*$AE$20+L639*$AE$21+M639*$AE$22+N639*$AE$23+O639*$AE$24+P639*$AE$25+Q639*$AE$26+R639*$AE$27+S639*$AE$28+T639*$AE$29+U639*$AE$30</f>
        <v/>
      </c>
      <c r="W639" s="8">
        <f>1/(1+EXP(-V639))</f>
        <v/>
      </c>
      <c r="X639" s="9">
        <f>-IF(C639=1,LN(W639),LN(1-W639))</f>
        <v/>
      </c>
      <c r="Y639" s="8">
        <f>IF(C639=1,$AE$32,$AE$33)</f>
        <v/>
      </c>
      <c r="Z639" s="9">
        <f>Y639*X639</f>
        <v/>
      </c>
      <c r="AA639" s="10">
        <f>IF(W639&gt;$AE$34,1,0)</f>
        <v/>
      </c>
      <c r="AB639">
        <f>IF(AA639=C639,1,0)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$AE$12+D640*$AE$13+E640*$AE$14+F640*$AE$15+G640*$AE$16+H640*$AE$17+I640*$AE$18+J640*$AE$19+K640*$AE$20+L640*$AE$21+M640*$AE$22+N640*$AE$23+O640*$AE$24+P640*$AE$25+Q640*$AE$26+R640*$AE$27+S640*$AE$28+T640*$AE$29+U640*$AE$30</f>
        <v/>
      </c>
      <c r="W640" s="8">
        <f>1/(1+EXP(-V640))</f>
        <v/>
      </c>
      <c r="X640" s="9">
        <f>-IF(C640=1,LN(W640),LN(1-W640))</f>
        <v/>
      </c>
      <c r="Y640" s="8">
        <f>IF(C640=1,$AE$32,$AE$33)</f>
        <v/>
      </c>
      <c r="Z640" s="9">
        <f>Y640*X640</f>
        <v/>
      </c>
      <c r="AA640" s="10">
        <f>IF(W640&gt;$AE$34,1,0)</f>
        <v/>
      </c>
      <c r="AB640">
        <f>IF(AA640=C640,1,0)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$AE$12+D641*$AE$13+E641*$AE$14+F641*$AE$15+G641*$AE$16+H641*$AE$17+I641*$AE$18+J641*$AE$19+K641*$AE$20+L641*$AE$21+M641*$AE$22+N641*$AE$23+O641*$AE$24+P641*$AE$25+Q641*$AE$26+R641*$AE$27+S641*$AE$28+T641*$AE$29+U641*$AE$30</f>
        <v/>
      </c>
      <c r="W641" s="8">
        <f>1/(1+EXP(-V641))</f>
        <v/>
      </c>
      <c r="X641" s="9">
        <f>-IF(C641=1,LN(W641),LN(1-W641))</f>
        <v/>
      </c>
      <c r="Y641" s="8">
        <f>IF(C641=1,$AE$32,$AE$33)</f>
        <v/>
      </c>
      <c r="Z641" s="9">
        <f>Y641*X641</f>
        <v/>
      </c>
      <c r="AA641" s="10">
        <f>IF(W641&gt;$AE$34,1,0)</f>
        <v/>
      </c>
      <c r="AB641">
        <f>IF(AA641=C641,1,0)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$AE$12+D642*$AE$13+E642*$AE$14+F642*$AE$15+G642*$AE$16+H642*$AE$17+I642*$AE$18+J642*$AE$19+K642*$AE$20+L642*$AE$21+M642*$AE$22+N642*$AE$23+O642*$AE$24+P642*$AE$25+Q642*$AE$26+R642*$AE$27+S642*$AE$28+T642*$AE$29+U642*$AE$30</f>
        <v/>
      </c>
      <c r="W642" s="8">
        <f>1/(1+EXP(-V642))</f>
        <v/>
      </c>
      <c r="X642" s="9">
        <f>-IF(C642=1,LN(W642),LN(1-W642))</f>
        <v/>
      </c>
      <c r="Y642" s="8">
        <f>IF(C642=1,$AE$32,$AE$33)</f>
        <v/>
      </c>
      <c r="Z642" s="9">
        <f>Y642*X642</f>
        <v/>
      </c>
      <c r="AA642" s="10">
        <f>IF(W642&gt;$AE$34,1,0)</f>
        <v/>
      </c>
      <c r="AB642">
        <f>IF(AA642=C642,1,0)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$AE$12+D643*$AE$13+E643*$AE$14+F643*$AE$15+G643*$AE$16+H643*$AE$17+I643*$AE$18+J643*$AE$19+K643*$AE$20+L643*$AE$21+M643*$AE$22+N643*$AE$23+O643*$AE$24+P643*$AE$25+Q643*$AE$26+R643*$AE$27+S643*$AE$28+T643*$AE$29+U643*$AE$30</f>
        <v/>
      </c>
      <c r="W643" s="8">
        <f>1/(1+EXP(-V643))</f>
        <v/>
      </c>
      <c r="X643" s="9">
        <f>-IF(C643=1,LN(W643),LN(1-W643))</f>
        <v/>
      </c>
      <c r="Y643" s="8">
        <f>IF(C643=1,$AE$32,$AE$33)</f>
        <v/>
      </c>
      <c r="Z643" s="9">
        <f>Y643*X643</f>
        <v/>
      </c>
      <c r="AA643" s="10">
        <f>IF(W643&gt;$AE$34,1,0)</f>
        <v/>
      </c>
      <c r="AB643">
        <f>IF(AA643=C643,1,0)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$AE$12+D644*$AE$13+E644*$AE$14+F644*$AE$15+G644*$AE$16+H644*$AE$17+I644*$AE$18+J644*$AE$19+K644*$AE$20+L644*$AE$21+M644*$AE$22+N644*$AE$23+O644*$AE$24+P644*$AE$25+Q644*$AE$26+R644*$AE$27+S644*$AE$28+T644*$AE$29+U644*$AE$30</f>
        <v/>
      </c>
      <c r="W644" s="8">
        <f>1/(1+EXP(-V644))</f>
        <v/>
      </c>
      <c r="X644" s="9">
        <f>-IF(C644=1,LN(W644),LN(1-W644))</f>
        <v/>
      </c>
      <c r="Y644" s="8">
        <f>IF(C644=1,$AE$32,$AE$33)</f>
        <v/>
      </c>
      <c r="Z644" s="9">
        <f>Y644*X644</f>
        <v/>
      </c>
      <c r="AA644" s="10">
        <f>IF(W644&gt;$AE$34,1,0)</f>
        <v/>
      </c>
      <c r="AB644">
        <f>IF(AA644=C644,1,0)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$AE$12+D645*$AE$13+E645*$AE$14+F645*$AE$15+G645*$AE$16+H645*$AE$17+I645*$AE$18+J645*$AE$19+K645*$AE$20+L645*$AE$21+M645*$AE$22+N645*$AE$23+O645*$AE$24+P645*$AE$25+Q645*$AE$26+R645*$AE$27+S645*$AE$28+T645*$AE$29+U645*$AE$30</f>
        <v/>
      </c>
      <c r="W645" s="8">
        <f>1/(1+EXP(-V645))</f>
        <v/>
      </c>
      <c r="X645" s="9">
        <f>-IF(C645=1,LN(W645),LN(1-W645))</f>
        <v/>
      </c>
      <c r="Y645" s="8">
        <f>IF(C645=1,$AE$32,$AE$33)</f>
        <v/>
      </c>
      <c r="Z645" s="9">
        <f>Y645*X645</f>
        <v/>
      </c>
      <c r="AA645" s="10">
        <f>IF(W645&gt;$AE$34,1,0)</f>
        <v/>
      </c>
      <c r="AB645">
        <f>IF(AA645=C645,1,0)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$AE$12+D646*$AE$13+E646*$AE$14+F646*$AE$15+G646*$AE$16+H646*$AE$17+I646*$AE$18+J646*$AE$19+K646*$AE$20+L646*$AE$21+M646*$AE$22+N646*$AE$23+O646*$AE$24+P646*$AE$25+Q646*$AE$26+R646*$AE$27+S646*$AE$28+T646*$AE$29+U646*$AE$30</f>
        <v/>
      </c>
      <c r="W646" s="8">
        <f>1/(1+EXP(-V646))</f>
        <v/>
      </c>
      <c r="X646" s="9">
        <f>-IF(C646=1,LN(W646),LN(1-W646))</f>
        <v/>
      </c>
      <c r="Y646" s="8">
        <f>IF(C646=1,$AE$32,$AE$33)</f>
        <v/>
      </c>
      <c r="Z646" s="9">
        <f>Y646*X646</f>
        <v/>
      </c>
      <c r="AA646" s="10">
        <f>IF(W646&gt;$AE$34,1,0)</f>
        <v/>
      </c>
      <c r="AB646">
        <f>IF(AA646=C646,1,0)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$AE$12+D647*$AE$13+E647*$AE$14+F647*$AE$15+G647*$AE$16+H647*$AE$17+I647*$AE$18+J647*$AE$19+K647*$AE$20+L647*$AE$21+M647*$AE$22+N647*$AE$23+O647*$AE$24+P647*$AE$25+Q647*$AE$26+R647*$AE$27+S647*$AE$28+T647*$AE$29+U647*$AE$30</f>
        <v/>
      </c>
      <c r="W647" s="8">
        <f>1/(1+EXP(-V647))</f>
        <v/>
      </c>
      <c r="X647" s="9">
        <f>-IF(C647=1,LN(W647),LN(1-W647))</f>
        <v/>
      </c>
      <c r="Y647" s="8">
        <f>IF(C647=1,$AE$32,$AE$33)</f>
        <v/>
      </c>
      <c r="Z647" s="9">
        <f>Y647*X647</f>
        <v/>
      </c>
      <c r="AA647" s="10">
        <f>IF(W647&gt;$AE$34,1,0)</f>
        <v/>
      </c>
      <c r="AB647">
        <f>IF(AA647=C647,1,0)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$AE$12+D648*$AE$13+E648*$AE$14+F648*$AE$15+G648*$AE$16+H648*$AE$17+I648*$AE$18+J648*$AE$19+K648*$AE$20+L648*$AE$21+M648*$AE$22+N648*$AE$23+O648*$AE$24+P648*$AE$25+Q648*$AE$26+R648*$AE$27+S648*$AE$28+T648*$AE$29+U648*$AE$30</f>
        <v/>
      </c>
      <c r="W648" s="8">
        <f>1/(1+EXP(-V648))</f>
        <v/>
      </c>
      <c r="X648" s="9">
        <f>-IF(C648=1,LN(W648),LN(1-W648))</f>
        <v/>
      </c>
      <c r="Y648" s="8">
        <f>IF(C648=1,$AE$32,$AE$33)</f>
        <v/>
      </c>
      <c r="Z648" s="9">
        <f>Y648*X648</f>
        <v/>
      </c>
      <c r="AA648" s="10">
        <f>IF(W648&gt;$AE$34,1,0)</f>
        <v/>
      </c>
      <c r="AB648">
        <f>IF(AA648=C648,1,0)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$AE$12+D649*$AE$13+E649*$AE$14+F649*$AE$15+G649*$AE$16+H649*$AE$17+I649*$AE$18+J649*$AE$19+K649*$AE$20+L649*$AE$21+M649*$AE$22+N649*$AE$23+O649*$AE$24+P649*$AE$25+Q649*$AE$26+R649*$AE$27+S649*$AE$28+T649*$AE$29+U649*$AE$30</f>
        <v/>
      </c>
      <c r="W649" s="8">
        <f>1/(1+EXP(-V649))</f>
        <v/>
      </c>
      <c r="X649" s="9">
        <f>-IF(C649=1,LN(W649),LN(1-W649))</f>
        <v/>
      </c>
      <c r="Y649" s="8">
        <f>IF(C649=1,$AE$32,$AE$33)</f>
        <v/>
      </c>
      <c r="Z649" s="9">
        <f>Y649*X649</f>
        <v/>
      </c>
      <c r="AA649" s="10">
        <f>IF(W649&gt;$AE$34,1,0)</f>
        <v/>
      </c>
      <c r="AB649">
        <f>IF(AA649=C649,1,0)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$AE$12+D650*$AE$13+E650*$AE$14+F650*$AE$15+G650*$AE$16+H650*$AE$17+I650*$AE$18+J650*$AE$19+K650*$AE$20+L650*$AE$21+M650*$AE$22+N650*$AE$23+O650*$AE$24+P650*$AE$25+Q650*$AE$26+R650*$AE$27+S650*$AE$28+T650*$AE$29+U650*$AE$30</f>
        <v/>
      </c>
      <c r="W650" s="8">
        <f>1/(1+EXP(-V650))</f>
        <v/>
      </c>
      <c r="X650" s="9">
        <f>-IF(C650=1,LN(W650),LN(1-W650))</f>
        <v/>
      </c>
      <c r="Y650" s="8">
        <f>IF(C650=1,$AE$32,$AE$33)</f>
        <v/>
      </c>
      <c r="Z650" s="9">
        <f>Y650*X650</f>
        <v/>
      </c>
      <c r="AA650" s="10">
        <f>IF(W650&gt;$AE$34,1,0)</f>
        <v/>
      </c>
      <c r="AB650">
        <f>IF(AA650=C650,1,0)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$AE$12+D651*$AE$13+E651*$AE$14+F651*$AE$15+G651*$AE$16+H651*$AE$17+I651*$AE$18+J651*$AE$19+K651*$AE$20+L651*$AE$21+M651*$AE$22+N651*$AE$23+O651*$AE$24+P651*$AE$25+Q651*$AE$26+R651*$AE$27+S651*$AE$28+T651*$AE$29+U651*$AE$30</f>
        <v/>
      </c>
      <c r="W651" s="8">
        <f>1/(1+EXP(-V651))</f>
        <v/>
      </c>
      <c r="X651" s="9">
        <f>-IF(C651=1,LN(W651),LN(1-W651))</f>
        <v/>
      </c>
      <c r="Y651" s="8">
        <f>IF(C651=1,$AE$32,$AE$33)</f>
        <v/>
      </c>
      <c r="Z651" s="9">
        <f>Y651*X651</f>
        <v/>
      </c>
      <c r="AA651" s="10">
        <f>IF(W651&gt;$AE$34,1,0)</f>
        <v/>
      </c>
      <c r="AB651">
        <f>IF(AA651=C651,1,0)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$AE$12+D652*$AE$13+E652*$AE$14+F652*$AE$15+G652*$AE$16+H652*$AE$17+I652*$AE$18+J652*$AE$19+K652*$AE$20+L652*$AE$21+M652*$AE$22+N652*$AE$23+O652*$AE$24+P652*$AE$25+Q652*$AE$26+R652*$AE$27+S652*$AE$28+T652*$AE$29+U652*$AE$30</f>
        <v/>
      </c>
      <c r="W652" s="8">
        <f>1/(1+EXP(-V652))</f>
        <v/>
      </c>
      <c r="X652" s="9">
        <f>-IF(C652=1,LN(W652),LN(1-W652))</f>
        <v/>
      </c>
      <c r="Y652" s="8">
        <f>IF(C652=1,$AE$32,$AE$33)</f>
        <v/>
      </c>
      <c r="Z652" s="9">
        <f>Y652*X652</f>
        <v/>
      </c>
      <c r="AA652" s="10">
        <f>IF(W652&gt;$AE$34,1,0)</f>
        <v/>
      </c>
      <c r="AB652">
        <f>IF(AA652=C652,1,0)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$AE$12+D653*$AE$13+E653*$AE$14+F653*$AE$15+G653*$AE$16+H653*$AE$17+I653*$AE$18+J653*$AE$19+K653*$AE$20+L653*$AE$21+M653*$AE$22+N653*$AE$23+O653*$AE$24+P653*$AE$25+Q653*$AE$26+R653*$AE$27+S653*$AE$28+T653*$AE$29+U653*$AE$30</f>
        <v/>
      </c>
      <c r="W653" s="8">
        <f>1/(1+EXP(-V653))</f>
        <v/>
      </c>
      <c r="X653" s="9">
        <f>-IF(C653=1,LN(W653),LN(1-W653))</f>
        <v/>
      </c>
      <c r="Y653" s="8">
        <f>IF(C653=1,$AE$32,$AE$33)</f>
        <v/>
      </c>
      <c r="Z653" s="9">
        <f>Y653*X653</f>
        <v/>
      </c>
      <c r="AA653" s="10">
        <f>IF(W653&gt;$AE$34,1,0)</f>
        <v/>
      </c>
      <c r="AB653">
        <f>IF(AA653=C653,1,0)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$AE$12+D654*$AE$13+E654*$AE$14+F654*$AE$15+G654*$AE$16+H654*$AE$17+I654*$AE$18+J654*$AE$19+K654*$AE$20+L654*$AE$21+M654*$AE$22+N654*$AE$23+O654*$AE$24+P654*$AE$25+Q654*$AE$26+R654*$AE$27+S654*$AE$28+T654*$AE$29+U654*$AE$30</f>
        <v/>
      </c>
      <c r="W654" s="8">
        <f>1/(1+EXP(-V654))</f>
        <v/>
      </c>
      <c r="X654" s="9">
        <f>-IF(C654=1,LN(W654),LN(1-W654))</f>
        <v/>
      </c>
      <c r="Y654" s="8">
        <f>IF(C654=1,$AE$32,$AE$33)</f>
        <v/>
      </c>
      <c r="Z654" s="9">
        <f>Y654*X654</f>
        <v/>
      </c>
      <c r="AA654" s="10">
        <f>IF(W654&gt;$AE$34,1,0)</f>
        <v/>
      </c>
      <c r="AB654">
        <f>IF(AA654=C654,1,0)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$AE$12+D655*$AE$13+E655*$AE$14+F655*$AE$15+G655*$AE$16+H655*$AE$17+I655*$AE$18+J655*$AE$19+K655*$AE$20+L655*$AE$21+M655*$AE$22+N655*$AE$23+O655*$AE$24+P655*$AE$25+Q655*$AE$26+R655*$AE$27+S655*$AE$28+T655*$AE$29+U655*$AE$30</f>
        <v/>
      </c>
      <c r="W655" s="8">
        <f>1/(1+EXP(-V655))</f>
        <v/>
      </c>
      <c r="X655" s="9">
        <f>-IF(C655=1,LN(W655),LN(1-W655))</f>
        <v/>
      </c>
      <c r="Y655" s="8">
        <f>IF(C655=1,$AE$32,$AE$33)</f>
        <v/>
      </c>
      <c r="Z655" s="9">
        <f>Y655*X655</f>
        <v/>
      </c>
      <c r="AA655" s="10">
        <f>IF(W655&gt;$AE$34,1,0)</f>
        <v/>
      </c>
      <c r="AB655">
        <f>IF(AA655=C655,1,0)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$AE$12+D656*$AE$13+E656*$AE$14+F656*$AE$15+G656*$AE$16+H656*$AE$17+I656*$AE$18+J656*$AE$19+K656*$AE$20+L656*$AE$21+M656*$AE$22+N656*$AE$23+O656*$AE$24+P656*$AE$25+Q656*$AE$26+R656*$AE$27+S656*$AE$28+T656*$AE$29+U656*$AE$30</f>
        <v/>
      </c>
      <c r="W656" s="8">
        <f>1/(1+EXP(-V656))</f>
        <v/>
      </c>
      <c r="X656" s="9">
        <f>-IF(C656=1,LN(W656),LN(1-W656))</f>
        <v/>
      </c>
      <c r="Y656" s="8">
        <f>IF(C656=1,$AE$32,$AE$33)</f>
        <v/>
      </c>
      <c r="Z656" s="9">
        <f>Y656*X656</f>
        <v/>
      </c>
      <c r="AA656" s="10">
        <f>IF(W656&gt;$AE$34,1,0)</f>
        <v/>
      </c>
      <c r="AB656">
        <f>IF(AA656=C656,1,0)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$AE$12+D657*$AE$13+E657*$AE$14+F657*$AE$15+G657*$AE$16+H657*$AE$17+I657*$AE$18+J657*$AE$19+K657*$AE$20+L657*$AE$21+M657*$AE$22+N657*$AE$23+O657*$AE$24+P657*$AE$25+Q657*$AE$26+R657*$AE$27+S657*$AE$28+T657*$AE$29+U657*$AE$30</f>
        <v/>
      </c>
      <c r="W657" s="8">
        <f>1/(1+EXP(-V657))</f>
        <v/>
      </c>
      <c r="X657" s="9">
        <f>-IF(C657=1,LN(W657),LN(1-W657))</f>
        <v/>
      </c>
      <c r="Y657" s="8">
        <f>IF(C657=1,$AE$32,$AE$33)</f>
        <v/>
      </c>
      <c r="Z657" s="9">
        <f>Y657*X657</f>
        <v/>
      </c>
      <c r="AA657" s="10">
        <f>IF(W657&gt;$AE$34,1,0)</f>
        <v/>
      </c>
      <c r="AB657">
        <f>IF(AA657=C657,1,0)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$AE$12+D658*$AE$13+E658*$AE$14+F658*$AE$15+G658*$AE$16+H658*$AE$17+I658*$AE$18+J658*$AE$19+K658*$AE$20+L658*$AE$21+M658*$AE$22+N658*$AE$23+O658*$AE$24+P658*$AE$25+Q658*$AE$26+R658*$AE$27+S658*$AE$28+T658*$AE$29+U658*$AE$30</f>
        <v/>
      </c>
      <c r="W658" s="8">
        <f>1/(1+EXP(-V658))</f>
        <v/>
      </c>
      <c r="X658" s="9">
        <f>-IF(C658=1,LN(W658),LN(1-W658))</f>
        <v/>
      </c>
      <c r="Y658" s="8">
        <f>IF(C658=1,$AE$32,$AE$33)</f>
        <v/>
      </c>
      <c r="Z658" s="9">
        <f>Y658*X658</f>
        <v/>
      </c>
      <c r="AA658" s="10">
        <f>IF(W658&gt;$AE$34,1,0)</f>
        <v/>
      </c>
      <c r="AB658">
        <f>IF(AA658=C658,1,0)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$AE$12+D659*$AE$13+E659*$AE$14+F659*$AE$15+G659*$AE$16+H659*$AE$17+I659*$AE$18+J659*$AE$19+K659*$AE$20+L659*$AE$21+M659*$AE$22+N659*$AE$23+O659*$AE$24+P659*$AE$25+Q659*$AE$26+R659*$AE$27+S659*$AE$28+T659*$AE$29+U659*$AE$30</f>
        <v/>
      </c>
      <c r="W659" s="8">
        <f>1/(1+EXP(-V659))</f>
        <v/>
      </c>
      <c r="X659" s="9">
        <f>-IF(C659=1,LN(W659),LN(1-W659))</f>
        <v/>
      </c>
      <c r="Y659" s="8">
        <f>IF(C659=1,$AE$32,$AE$33)</f>
        <v/>
      </c>
      <c r="Z659" s="9">
        <f>Y659*X659</f>
        <v/>
      </c>
      <c r="AA659" s="10">
        <f>IF(W659&gt;$AE$34,1,0)</f>
        <v/>
      </c>
      <c r="AB659">
        <f>IF(AA659=C659,1,0)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$AE$12+D660*$AE$13+E660*$AE$14+F660*$AE$15+G660*$AE$16+H660*$AE$17+I660*$AE$18+J660*$AE$19+K660*$AE$20+L660*$AE$21+M660*$AE$22+N660*$AE$23+O660*$AE$24+P660*$AE$25+Q660*$AE$26+R660*$AE$27+S660*$AE$28+T660*$AE$29+U660*$AE$30</f>
        <v/>
      </c>
      <c r="W660" s="8">
        <f>1/(1+EXP(-V660))</f>
        <v/>
      </c>
      <c r="X660" s="9">
        <f>-IF(C660=1,LN(W660),LN(1-W660))</f>
        <v/>
      </c>
      <c r="Y660" s="8">
        <f>IF(C660=1,$AE$32,$AE$33)</f>
        <v/>
      </c>
      <c r="Z660" s="9">
        <f>Y660*X660</f>
        <v/>
      </c>
      <c r="AA660" s="10">
        <f>IF(W660&gt;$AE$34,1,0)</f>
        <v/>
      </c>
      <c r="AB660">
        <f>IF(AA660=C660,1,0)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$AE$12+D661*$AE$13+E661*$AE$14+F661*$AE$15+G661*$AE$16+H661*$AE$17+I661*$AE$18+J661*$AE$19+K661*$AE$20+L661*$AE$21+M661*$AE$22+N661*$AE$23+O661*$AE$24+P661*$AE$25+Q661*$AE$26+R661*$AE$27+S661*$AE$28+T661*$AE$29+U661*$AE$30</f>
        <v/>
      </c>
      <c r="W661" s="8">
        <f>1/(1+EXP(-V661))</f>
        <v/>
      </c>
      <c r="X661" s="9">
        <f>-IF(C661=1,LN(W661),LN(1-W661))</f>
        <v/>
      </c>
      <c r="Y661" s="8">
        <f>IF(C661=1,$AE$32,$AE$33)</f>
        <v/>
      </c>
      <c r="Z661" s="9">
        <f>Y661*X661</f>
        <v/>
      </c>
      <c r="AA661" s="10">
        <f>IF(W661&gt;$AE$34,1,0)</f>
        <v/>
      </c>
      <c r="AB661">
        <f>IF(AA661=C661,1,0)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$AE$12+D662*$AE$13+E662*$AE$14+F662*$AE$15+G662*$AE$16+H662*$AE$17+I662*$AE$18+J662*$AE$19+K662*$AE$20+L662*$AE$21+M662*$AE$22+N662*$AE$23+O662*$AE$24+P662*$AE$25+Q662*$AE$26+R662*$AE$27+S662*$AE$28+T662*$AE$29+U662*$AE$30</f>
        <v/>
      </c>
      <c r="W662" s="8">
        <f>1/(1+EXP(-V662))</f>
        <v/>
      </c>
      <c r="X662" s="9">
        <f>-IF(C662=1,LN(W662),LN(1-W662))</f>
        <v/>
      </c>
      <c r="Y662" s="8">
        <f>IF(C662=1,$AE$32,$AE$33)</f>
        <v/>
      </c>
      <c r="Z662" s="9">
        <f>Y662*X662</f>
        <v/>
      </c>
      <c r="AA662" s="10">
        <f>IF(W662&gt;$AE$34,1,0)</f>
        <v/>
      </c>
      <c r="AB662">
        <f>IF(AA662=C662,1,0)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$AE$12+D663*$AE$13+E663*$AE$14+F663*$AE$15+G663*$AE$16+H663*$AE$17+I663*$AE$18+J663*$AE$19+K663*$AE$20+L663*$AE$21+M663*$AE$22+N663*$AE$23+O663*$AE$24+P663*$AE$25+Q663*$AE$26+R663*$AE$27+S663*$AE$28+T663*$AE$29+U663*$AE$30</f>
        <v/>
      </c>
      <c r="W663" s="8">
        <f>1/(1+EXP(-V663))</f>
        <v/>
      </c>
      <c r="X663" s="9">
        <f>-IF(C663=1,LN(W663),LN(1-W663))</f>
        <v/>
      </c>
      <c r="Y663" s="8">
        <f>IF(C663=1,$AE$32,$AE$33)</f>
        <v/>
      </c>
      <c r="Z663" s="9">
        <f>Y663*X663</f>
        <v/>
      </c>
      <c r="AA663" s="10">
        <f>IF(W663&gt;$AE$34,1,0)</f>
        <v/>
      </c>
      <c r="AB663">
        <f>IF(AA663=C663,1,0)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$AE$12+D664*$AE$13+E664*$AE$14+F664*$AE$15+G664*$AE$16+H664*$AE$17+I664*$AE$18+J664*$AE$19+K664*$AE$20+L664*$AE$21+M664*$AE$22+N664*$AE$23+O664*$AE$24+P664*$AE$25+Q664*$AE$26+R664*$AE$27+S664*$AE$28+T664*$AE$29+U664*$AE$30</f>
        <v/>
      </c>
      <c r="W664" s="8">
        <f>1/(1+EXP(-V664))</f>
        <v/>
      </c>
      <c r="X664" s="9">
        <f>-IF(C664=1,LN(W664),LN(1-W664))</f>
        <v/>
      </c>
      <c r="Y664" s="8">
        <f>IF(C664=1,$AE$32,$AE$33)</f>
        <v/>
      </c>
      <c r="Z664" s="9">
        <f>Y664*X664</f>
        <v/>
      </c>
      <c r="AA664" s="10">
        <f>IF(W664&gt;$AE$34,1,0)</f>
        <v/>
      </c>
      <c r="AB664">
        <f>IF(AA664=C664,1,0)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$AE$12+D665*$AE$13+E665*$AE$14+F665*$AE$15+G665*$AE$16+H665*$AE$17+I665*$AE$18+J665*$AE$19+K665*$AE$20+L665*$AE$21+M665*$AE$22+N665*$AE$23+O665*$AE$24+P665*$AE$25+Q665*$AE$26+R665*$AE$27+S665*$AE$28+T665*$AE$29+U665*$AE$30</f>
        <v/>
      </c>
      <c r="W665" s="8">
        <f>1/(1+EXP(-V665))</f>
        <v/>
      </c>
      <c r="X665" s="9">
        <f>-IF(C665=1,LN(W665),LN(1-W665))</f>
        <v/>
      </c>
      <c r="Y665" s="8">
        <f>IF(C665=1,$AE$32,$AE$33)</f>
        <v/>
      </c>
      <c r="Z665" s="9">
        <f>Y665*X665</f>
        <v/>
      </c>
      <c r="AA665" s="10">
        <f>IF(W665&gt;$AE$34,1,0)</f>
        <v/>
      </c>
      <c r="AB665">
        <f>IF(AA665=C665,1,0)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$AE$12+D666*$AE$13+E666*$AE$14+F666*$AE$15+G666*$AE$16+H666*$AE$17+I666*$AE$18+J666*$AE$19+K666*$AE$20+L666*$AE$21+M666*$AE$22+N666*$AE$23+O666*$AE$24+P666*$AE$25+Q666*$AE$26+R666*$AE$27+S666*$AE$28+T666*$AE$29+U666*$AE$30</f>
        <v/>
      </c>
      <c r="W666" s="8">
        <f>1/(1+EXP(-V666))</f>
        <v/>
      </c>
      <c r="X666" s="9">
        <f>-IF(C666=1,LN(W666),LN(1-W666))</f>
        <v/>
      </c>
      <c r="Y666" s="8">
        <f>IF(C666=1,$AE$32,$AE$33)</f>
        <v/>
      </c>
      <c r="Z666" s="9">
        <f>Y666*X666</f>
        <v/>
      </c>
      <c r="AA666" s="10">
        <f>IF(W666&gt;$AE$34,1,0)</f>
        <v/>
      </c>
      <c r="AB666">
        <f>IF(AA666=C666,1,0)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$AE$12+D667*$AE$13+E667*$AE$14+F667*$AE$15+G667*$AE$16+H667*$AE$17+I667*$AE$18+J667*$AE$19+K667*$AE$20+L667*$AE$21+M667*$AE$22+N667*$AE$23+O667*$AE$24+P667*$AE$25+Q667*$AE$26+R667*$AE$27+S667*$AE$28+T667*$AE$29+U667*$AE$30</f>
        <v/>
      </c>
      <c r="W667" s="8">
        <f>1/(1+EXP(-V667))</f>
        <v/>
      </c>
      <c r="X667" s="9">
        <f>-IF(C667=1,LN(W667),LN(1-W667))</f>
        <v/>
      </c>
      <c r="Y667" s="8">
        <f>IF(C667=1,$AE$32,$AE$33)</f>
        <v/>
      </c>
      <c r="Z667" s="9">
        <f>Y667*X667</f>
        <v/>
      </c>
      <c r="AA667" s="10">
        <f>IF(W667&gt;$AE$34,1,0)</f>
        <v/>
      </c>
      <c r="AB667">
        <f>IF(AA667=C667,1,0)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$AE$12+D668*$AE$13+E668*$AE$14+F668*$AE$15+G668*$AE$16+H668*$AE$17+I668*$AE$18+J668*$AE$19+K668*$AE$20+L668*$AE$21+M668*$AE$22+N668*$AE$23+O668*$AE$24+P668*$AE$25+Q668*$AE$26+R668*$AE$27+S668*$AE$28+T668*$AE$29+U668*$AE$30</f>
        <v/>
      </c>
      <c r="W668" s="8">
        <f>1/(1+EXP(-V668))</f>
        <v/>
      </c>
      <c r="X668" s="9">
        <f>-IF(C668=1,LN(W668),LN(1-W668))</f>
        <v/>
      </c>
      <c r="Y668" s="8">
        <f>IF(C668=1,$AE$32,$AE$33)</f>
        <v/>
      </c>
      <c r="Z668" s="9">
        <f>Y668*X668</f>
        <v/>
      </c>
      <c r="AA668" s="10">
        <f>IF(W668&gt;$AE$34,1,0)</f>
        <v/>
      </c>
      <c r="AB668">
        <f>IF(AA668=C668,1,0)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$AE$12+D669*$AE$13+E669*$AE$14+F669*$AE$15+G669*$AE$16+H669*$AE$17+I669*$AE$18+J669*$AE$19+K669*$AE$20+L669*$AE$21+M669*$AE$22+N669*$AE$23+O669*$AE$24+P669*$AE$25+Q669*$AE$26+R669*$AE$27+S669*$AE$28+T669*$AE$29+U669*$AE$30</f>
        <v/>
      </c>
      <c r="W669" s="8">
        <f>1/(1+EXP(-V669))</f>
        <v/>
      </c>
      <c r="X669" s="9">
        <f>-IF(C669=1,LN(W669),LN(1-W669))</f>
        <v/>
      </c>
      <c r="Y669" s="8">
        <f>IF(C669=1,$AE$32,$AE$33)</f>
        <v/>
      </c>
      <c r="Z669" s="9">
        <f>Y669*X669</f>
        <v/>
      </c>
      <c r="AA669" s="10">
        <f>IF(W669&gt;$AE$34,1,0)</f>
        <v/>
      </c>
      <c r="AB669">
        <f>IF(AA669=C669,1,0)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$AE$12+D670*$AE$13+E670*$AE$14+F670*$AE$15+G670*$AE$16+H670*$AE$17+I670*$AE$18+J670*$AE$19+K670*$AE$20+L670*$AE$21+M670*$AE$22+N670*$AE$23+O670*$AE$24+P670*$AE$25+Q670*$AE$26+R670*$AE$27+S670*$AE$28+T670*$AE$29+U670*$AE$30</f>
        <v/>
      </c>
      <c r="W670" s="8">
        <f>1/(1+EXP(-V670))</f>
        <v/>
      </c>
      <c r="X670" s="9">
        <f>-IF(C670=1,LN(W670),LN(1-W670))</f>
        <v/>
      </c>
      <c r="Y670" s="8">
        <f>IF(C670=1,$AE$32,$AE$33)</f>
        <v/>
      </c>
      <c r="Z670" s="9">
        <f>Y670*X670</f>
        <v/>
      </c>
      <c r="AA670" s="10">
        <f>IF(W670&gt;$AE$34,1,0)</f>
        <v/>
      </c>
      <c r="AB670">
        <f>IF(AA670=C670,1,0)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$AE$12+D671*$AE$13+E671*$AE$14+F671*$AE$15+G671*$AE$16+H671*$AE$17+I671*$AE$18+J671*$AE$19+K671*$AE$20+L671*$AE$21+M671*$AE$22+N671*$AE$23+O671*$AE$24+P671*$AE$25+Q671*$AE$26+R671*$AE$27+S671*$AE$28+T671*$AE$29+U671*$AE$30</f>
        <v/>
      </c>
      <c r="W671" s="8">
        <f>1/(1+EXP(-V671))</f>
        <v/>
      </c>
      <c r="X671" s="9">
        <f>-IF(C671=1,LN(W671),LN(1-W671))</f>
        <v/>
      </c>
      <c r="Y671" s="8">
        <f>IF(C671=1,$AE$32,$AE$33)</f>
        <v/>
      </c>
      <c r="Z671" s="9">
        <f>Y671*X671</f>
        <v/>
      </c>
      <c r="AA671" s="10">
        <f>IF(W671&gt;$AE$34,1,0)</f>
        <v/>
      </c>
      <c r="AB671">
        <f>IF(AA671=C671,1,0)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$AE$12+D672*$AE$13+E672*$AE$14+F672*$AE$15+G672*$AE$16+H672*$AE$17+I672*$AE$18+J672*$AE$19+K672*$AE$20+L672*$AE$21+M672*$AE$22+N672*$AE$23+O672*$AE$24+P672*$AE$25+Q672*$AE$26+R672*$AE$27+S672*$AE$28+T672*$AE$29+U672*$AE$30</f>
        <v/>
      </c>
      <c r="W672" s="8">
        <f>1/(1+EXP(-V672))</f>
        <v/>
      </c>
      <c r="X672" s="9">
        <f>-IF(C672=1,LN(W672),LN(1-W672))</f>
        <v/>
      </c>
      <c r="Y672" s="8">
        <f>IF(C672=1,$AE$32,$AE$33)</f>
        <v/>
      </c>
      <c r="Z672" s="9">
        <f>Y672*X672</f>
        <v/>
      </c>
      <c r="AA672" s="10">
        <f>IF(W672&gt;$AE$34,1,0)</f>
        <v/>
      </c>
      <c r="AB672">
        <f>IF(AA672=C672,1,0)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$AE$12+D673*$AE$13+E673*$AE$14+F673*$AE$15+G673*$AE$16+H673*$AE$17+I673*$AE$18+J673*$AE$19+K673*$AE$20+L673*$AE$21+M673*$AE$22+N673*$AE$23+O673*$AE$24+P673*$AE$25+Q673*$AE$26+R673*$AE$27+S673*$AE$28+T673*$AE$29+U673*$AE$30</f>
        <v/>
      </c>
      <c r="W673" s="8">
        <f>1/(1+EXP(-V673))</f>
        <v/>
      </c>
      <c r="X673" s="9">
        <f>-IF(C673=1,LN(W673),LN(1-W673))</f>
        <v/>
      </c>
      <c r="Y673" s="8">
        <f>IF(C673=1,$AE$32,$AE$33)</f>
        <v/>
      </c>
      <c r="Z673" s="9">
        <f>Y673*X673</f>
        <v/>
      </c>
      <c r="AA673" s="10">
        <f>IF(W673&gt;$AE$34,1,0)</f>
        <v/>
      </c>
      <c r="AB673">
        <f>IF(AA673=C673,1,0)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$AE$12+D674*$AE$13+E674*$AE$14+F674*$AE$15+G674*$AE$16+H674*$AE$17+I674*$AE$18+J674*$AE$19+K674*$AE$20+L674*$AE$21+M674*$AE$22+N674*$AE$23+O674*$AE$24+P674*$AE$25+Q674*$AE$26+R674*$AE$27+S674*$AE$28+T674*$AE$29+U674*$AE$30</f>
        <v/>
      </c>
      <c r="W674" s="8">
        <f>1/(1+EXP(-V674))</f>
        <v/>
      </c>
      <c r="X674" s="9">
        <f>-IF(C674=1,LN(W674),LN(1-W674))</f>
        <v/>
      </c>
      <c r="Y674" s="8">
        <f>IF(C674=1,$AE$32,$AE$33)</f>
        <v/>
      </c>
      <c r="Z674" s="9">
        <f>Y674*X674</f>
        <v/>
      </c>
      <c r="AA674" s="10">
        <f>IF(W674&gt;$AE$34,1,0)</f>
        <v/>
      </c>
      <c r="AB674">
        <f>IF(AA674=C674,1,0)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$AE$12+D675*$AE$13+E675*$AE$14+F675*$AE$15+G675*$AE$16+H675*$AE$17+I675*$AE$18+J675*$AE$19+K675*$AE$20+L675*$AE$21+M675*$AE$22+N675*$AE$23+O675*$AE$24+P675*$AE$25+Q675*$AE$26+R675*$AE$27+S675*$AE$28+T675*$AE$29+U675*$AE$30</f>
        <v/>
      </c>
      <c r="W675" s="8">
        <f>1/(1+EXP(-V675))</f>
        <v/>
      </c>
      <c r="X675" s="9">
        <f>-IF(C675=1,LN(W675),LN(1-W675))</f>
        <v/>
      </c>
      <c r="Y675" s="8">
        <f>IF(C675=1,$AE$32,$AE$33)</f>
        <v/>
      </c>
      <c r="Z675" s="9">
        <f>Y675*X675</f>
        <v/>
      </c>
      <c r="AA675" s="10">
        <f>IF(W675&gt;$AE$34,1,0)</f>
        <v/>
      </c>
      <c r="AB675">
        <f>IF(AA675=C675,1,0)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$AE$12+D676*$AE$13+E676*$AE$14+F676*$AE$15+G676*$AE$16+H676*$AE$17+I676*$AE$18+J676*$AE$19+K676*$AE$20+L676*$AE$21+M676*$AE$22+N676*$AE$23+O676*$AE$24+P676*$AE$25+Q676*$AE$26+R676*$AE$27+S676*$AE$28+T676*$AE$29+U676*$AE$30</f>
        <v/>
      </c>
      <c r="W676" s="8">
        <f>1/(1+EXP(-V676))</f>
        <v/>
      </c>
      <c r="X676" s="9">
        <f>-IF(C676=1,LN(W676),LN(1-W676))</f>
        <v/>
      </c>
      <c r="Y676" s="8">
        <f>IF(C676=1,$AE$32,$AE$33)</f>
        <v/>
      </c>
      <c r="Z676" s="9">
        <f>Y676*X676</f>
        <v/>
      </c>
      <c r="AA676" s="10">
        <f>IF(W676&gt;$AE$34,1,0)</f>
        <v/>
      </c>
      <c r="AB676">
        <f>IF(AA676=C676,1,0)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$AE$12+D677*$AE$13+E677*$AE$14+F677*$AE$15+G677*$AE$16+H677*$AE$17+I677*$AE$18+J677*$AE$19+K677*$AE$20+L677*$AE$21+M677*$AE$22+N677*$AE$23+O677*$AE$24+P677*$AE$25+Q677*$AE$26+R677*$AE$27+S677*$AE$28+T677*$AE$29+U677*$AE$30</f>
        <v/>
      </c>
      <c r="W677" s="8">
        <f>1/(1+EXP(-V677))</f>
        <v/>
      </c>
      <c r="X677" s="9">
        <f>-IF(C677=1,LN(W677),LN(1-W677))</f>
        <v/>
      </c>
      <c r="Y677" s="8">
        <f>IF(C677=1,$AE$32,$AE$33)</f>
        <v/>
      </c>
      <c r="Z677" s="9">
        <f>Y677*X677</f>
        <v/>
      </c>
      <c r="AA677" s="10">
        <f>IF(W677&gt;$AE$34,1,0)</f>
        <v/>
      </c>
      <c r="AB677">
        <f>IF(AA677=C677,1,0)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$AE$12+D678*$AE$13+E678*$AE$14+F678*$AE$15+G678*$AE$16+H678*$AE$17+I678*$AE$18+J678*$AE$19+K678*$AE$20+L678*$AE$21+M678*$AE$22+N678*$AE$23+O678*$AE$24+P678*$AE$25+Q678*$AE$26+R678*$AE$27+S678*$AE$28+T678*$AE$29+U678*$AE$30</f>
        <v/>
      </c>
      <c r="W678" s="8">
        <f>1/(1+EXP(-V678))</f>
        <v/>
      </c>
      <c r="X678" s="9">
        <f>-IF(C678=1,LN(W678),LN(1-W678))</f>
        <v/>
      </c>
      <c r="Y678" s="8">
        <f>IF(C678=1,$AE$32,$AE$33)</f>
        <v/>
      </c>
      <c r="Z678" s="9">
        <f>Y678*X678</f>
        <v/>
      </c>
      <c r="AA678" s="10">
        <f>IF(W678&gt;$AE$34,1,0)</f>
        <v/>
      </c>
      <c r="AB678">
        <f>IF(AA678=C678,1,0)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$AE$12+D679*$AE$13+E679*$AE$14+F679*$AE$15+G679*$AE$16+H679*$AE$17+I679*$AE$18+J679*$AE$19+K679*$AE$20+L679*$AE$21+M679*$AE$22+N679*$AE$23+O679*$AE$24+P679*$AE$25+Q679*$AE$26+R679*$AE$27+S679*$AE$28+T679*$AE$29+U679*$AE$30</f>
        <v/>
      </c>
      <c r="W679" s="8">
        <f>1/(1+EXP(-V679))</f>
        <v/>
      </c>
      <c r="X679" s="9">
        <f>-IF(C679=1,LN(W679),LN(1-W679))</f>
        <v/>
      </c>
      <c r="Y679" s="8">
        <f>IF(C679=1,$AE$32,$AE$33)</f>
        <v/>
      </c>
      <c r="Z679" s="9">
        <f>Y679*X679</f>
        <v/>
      </c>
      <c r="AA679" s="10">
        <f>IF(W679&gt;$AE$34,1,0)</f>
        <v/>
      </c>
      <c r="AB679">
        <f>IF(AA679=C679,1,0)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$AE$12+D680*$AE$13+E680*$AE$14+F680*$AE$15+G680*$AE$16+H680*$AE$17+I680*$AE$18+J680*$AE$19+K680*$AE$20+L680*$AE$21+M680*$AE$22+N680*$AE$23+O680*$AE$24+P680*$AE$25+Q680*$AE$26+R680*$AE$27+S680*$AE$28+T680*$AE$29+U680*$AE$30</f>
        <v/>
      </c>
      <c r="W680" s="8">
        <f>1/(1+EXP(-V680))</f>
        <v/>
      </c>
      <c r="X680" s="9">
        <f>-IF(C680=1,LN(W680),LN(1-W680))</f>
        <v/>
      </c>
      <c r="Y680" s="8">
        <f>IF(C680=1,$AE$32,$AE$33)</f>
        <v/>
      </c>
      <c r="Z680" s="9">
        <f>Y680*X680</f>
        <v/>
      </c>
      <c r="AA680" s="10">
        <f>IF(W680&gt;$AE$34,1,0)</f>
        <v/>
      </c>
      <c r="AB680">
        <f>IF(AA680=C680,1,0)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$AE$12+D681*$AE$13+E681*$AE$14+F681*$AE$15+G681*$AE$16+H681*$AE$17+I681*$AE$18+J681*$AE$19+K681*$AE$20+L681*$AE$21+M681*$AE$22+N681*$AE$23+O681*$AE$24+P681*$AE$25+Q681*$AE$26+R681*$AE$27+S681*$AE$28+T681*$AE$29+U681*$AE$30</f>
        <v/>
      </c>
      <c r="W681" s="8">
        <f>1/(1+EXP(-V681))</f>
        <v/>
      </c>
      <c r="X681" s="9">
        <f>-IF(C681=1,LN(W681),LN(1-W681))</f>
        <v/>
      </c>
      <c r="Y681" s="8">
        <f>IF(C681=1,$AE$32,$AE$33)</f>
        <v/>
      </c>
      <c r="Z681" s="9">
        <f>Y681*X681</f>
        <v/>
      </c>
      <c r="AA681" s="10">
        <f>IF(W681&gt;$AE$34,1,0)</f>
        <v/>
      </c>
      <c r="AB681">
        <f>IF(AA681=C681,1,0)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$AE$12+D682*$AE$13+E682*$AE$14+F682*$AE$15+G682*$AE$16+H682*$AE$17+I682*$AE$18+J682*$AE$19+K682*$AE$20+L682*$AE$21+M682*$AE$22+N682*$AE$23+O682*$AE$24+P682*$AE$25+Q682*$AE$26+R682*$AE$27+S682*$AE$28+T682*$AE$29+U682*$AE$30</f>
        <v/>
      </c>
      <c r="W682" s="8">
        <f>1/(1+EXP(-V682))</f>
        <v/>
      </c>
      <c r="X682" s="9">
        <f>-IF(C682=1,LN(W682),LN(1-W682))</f>
        <v/>
      </c>
      <c r="Y682" s="8">
        <f>IF(C682=1,$AE$32,$AE$33)</f>
        <v/>
      </c>
      <c r="Z682" s="9">
        <f>Y682*X682</f>
        <v/>
      </c>
      <c r="AA682" s="10">
        <f>IF(W682&gt;$AE$34,1,0)</f>
        <v/>
      </c>
      <c r="AB682">
        <f>IF(AA682=C682,1,0)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$AE$12+D683*$AE$13+E683*$AE$14+F683*$AE$15+G683*$AE$16+H683*$AE$17+I683*$AE$18+J683*$AE$19+K683*$AE$20+L683*$AE$21+M683*$AE$22+N683*$AE$23+O683*$AE$24+P683*$AE$25+Q683*$AE$26+R683*$AE$27+S683*$AE$28+T683*$AE$29+U683*$AE$30</f>
        <v/>
      </c>
      <c r="W683" s="8">
        <f>1/(1+EXP(-V683))</f>
        <v/>
      </c>
      <c r="X683" s="9">
        <f>-IF(C683=1,LN(W683),LN(1-W683))</f>
        <v/>
      </c>
      <c r="Y683" s="8">
        <f>IF(C683=1,$AE$32,$AE$33)</f>
        <v/>
      </c>
      <c r="Z683" s="9">
        <f>Y683*X683</f>
        <v/>
      </c>
      <c r="AA683" s="10">
        <f>IF(W683&gt;$AE$34,1,0)</f>
        <v/>
      </c>
      <c r="AB683">
        <f>IF(AA683=C683,1,0)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$AE$12+D684*$AE$13+E684*$AE$14+F684*$AE$15+G684*$AE$16+H684*$AE$17+I684*$AE$18+J684*$AE$19+K684*$AE$20+L684*$AE$21+M684*$AE$22+N684*$AE$23+O684*$AE$24+P684*$AE$25+Q684*$AE$26+R684*$AE$27+S684*$AE$28+T684*$AE$29+U684*$AE$30</f>
        <v/>
      </c>
      <c r="W684" s="8">
        <f>1/(1+EXP(-V684))</f>
        <v/>
      </c>
      <c r="X684" s="9">
        <f>-IF(C684=1,LN(W684),LN(1-W684))</f>
        <v/>
      </c>
      <c r="Y684" s="8">
        <f>IF(C684=1,$AE$32,$AE$33)</f>
        <v/>
      </c>
      <c r="Z684" s="9">
        <f>Y684*X684</f>
        <v/>
      </c>
      <c r="AA684" s="10">
        <f>IF(W684&gt;$AE$34,1,0)</f>
        <v/>
      </c>
      <c r="AB684">
        <f>IF(AA684=C684,1,0)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$AE$12+D685*$AE$13+E685*$AE$14+F685*$AE$15+G685*$AE$16+H685*$AE$17+I685*$AE$18+J685*$AE$19+K685*$AE$20+L685*$AE$21+M685*$AE$22+N685*$AE$23+O685*$AE$24+P685*$AE$25+Q685*$AE$26+R685*$AE$27+S685*$AE$28+T685*$AE$29+U685*$AE$30</f>
        <v/>
      </c>
      <c r="W685" s="8">
        <f>1/(1+EXP(-V685))</f>
        <v/>
      </c>
      <c r="X685" s="9">
        <f>-IF(C685=1,LN(W685),LN(1-W685))</f>
        <v/>
      </c>
      <c r="Y685" s="8">
        <f>IF(C685=1,$AE$32,$AE$33)</f>
        <v/>
      </c>
      <c r="Z685" s="9">
        <f>Y685*X685</f>
        <v/>
      </c>
      <c r="AA685" s="10">
        <f>IF(W685&gt;$AE$34,1,0)</f>
        <v/>
      </c>
      <c r="AB685">
        <f>IF(AA685=C685,1,0)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$AE$12+D686*$AE$13+E686*$AE$14+F686*$AE$15+G686*$AE$16+H686*$AE$17+I686*$AE$18+J686*$AE$19+K686*$AE$20+L686*$AE$21+M686*$AE$22+N686*$AE$23+O686*$AE$24+P686*$AE$25+Q686*$AE$26+R686*$AE$27+S686*$AE$28+T686*$AE$29+U686*$AE$30</f>
        <v/>
      </c>
      <c r="W686" s="8">
        <f>1/(1+EXP(-V686))</f>
        <v/>
      </c>
      <c r="X686" s="9">
        <f>-IF(C686=1,LN(W686),LN(1-W686))</f>
        <v/>
      </c>
      <c r="Y686" s="8">
        <f>IF(C686=1,$AE$32,$AE$33)</f>
        <v/>
      </c>
      <c r="Z686" s="9">
        <f>Y686*X686</f>
        <v/>
      </c>
      <c r="AA686" s="10">
        <f>IF(W686&gt;$AE$34,1,0)</f>
        <v/>
      </c>
      <c r="AB686">
        <f>IF(AA686=C686,1,0)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$AE$12+D687*$AE$13+E687*$AE$14+F687*$AE$15+G687*$AE$16+H687*$AE$17+I687*$AE$18+J687*$AE$19+K687*$AE$20+L687*$AE$21+M687*$AE$22+N687*$AE$23+O687*$AE$24+P687*$AE$25+Q687*$AE$26+R687*$AE$27+S687*$AE$28+T687*$AE$29+U687*$AE$30</f>
        <v/>
      </c>
      <c r="W687" s="8">
        <f>1/(1+EXP(-V687))</f>
        <v/>
      </c>
      <c r="X687" s="9">
        <f>-IF(C687=1,LN(W687),LN(1-W687))</f>
        <v/>
      </c>
      <c r="Y687" s="8">
        <f>IF(C687=1,$AE$32,$AE$33)</f>
        <v/>
      </c>
      <c r="Z687" s="9">
        <f>Y687*X687</f>
        <v/>
      </c>
      <c r="AA687" s="10">
        <f>IF(W687&gt;$AE$34,1,0)</f>
        <v/>
      </c>
      <c r="AB687">
        <f>IF(AA687=C687,1,0)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$AE$12+D688*$AE$13+E688*$AE$14+F688*$AE$15+G688*$AE$16+H688*$AE$17+I688*$AE$18+J688*$AE$19+K688*$AE$20+L688*$AE$21+M688*$AE$22+N688*$AE$23+O688*$AE$24+P688*$AE$25+Q688*$AE$26+R688*$AE$27+S688*$AE$28+T688*$AE$29+U688*$AE$30</f>
        <v/>
      </c>
      <c r="W688" s="8">
        <f>1/(1+EXP(-V688))</f>
        <v/>
      </c>
      <c r="X688" s="9">
        <f>-IF(C688=1,LN(W688),LN(1-W688))</f>
        <v/>
      </c>
      <c r="Y688" s="8">
        <f>IF(C688=1,$AE$32,$AE$33)</f>
        <v/>
      </c>
      <c r="Z688" s="9">
        <f>Y688*X688</f>
        <v/>
      </c>
      <c r="AA688" s="10">
        <f>IF(W688&gt;$AE$34,1,0)</f>
        <v/>
      </c>
      <c r="AB688">
        <f>IF(AA688=C688,1,0)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$AE$12+D689*$AE$13+E689*$AE$14+F689*$AE$15+G689*$AE$16+H689*$AE$17+I689*$AE$18+J689*$AE$19+K689*$AE$20+L689*$AE$21+M689*$AE$22+N689*$AE$23+O689*$AE$24+P689*$AE$25+Q689*$AE$26+R689*$AE$27+S689*$AE$28+T689*$AE$29+U689*$AE$30</f>
        <v/>
      </c>
      <c r="W689" s="8">
        <f>1/(1+EXP(-V689))</f>
        <v/>
      </c>
      <c r="X689" s="9">
        <f>-IF(C689=1,LN(W689),LN(1-W689))</f>
        <v/>
      </c>
      <c r="Y689" s="8">
        <f>IF(C689=1,$AE$32,$AE$33)</f>
        <v/>
      </c>
      <c r="Z689" s="9">
        <f>Y689*X689</f>
        <v/>
      </c>
      <c r="AA689" s="10">
        <f>IF(W689&gt;$AE$34,1,0)</f>
        <v/>
      </c>
      <c r="AB689">
        <f>IF(AA689=C689,1,0)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$AE$12+D690*$AE$13+E690*$AE$14+F690*$AE$15+G690*$AE$16+H690*$AE$17+I690*$AE$18+J690*$AE$19+K690*$AE$20+L690*$AE$21+M690*$AE$22+N690*$AE$23+O690*$AE$24+P690*$AE$25+Q690*$AE$26+R690*$AE$27+S690*$AE$28+T690*$AE$29+U690*$AE$30</f>
        <v/>
      </c>
      <c r="W690" s="8">
        <f>1/(1+EXP(-V690))</f>
        <v/>
      </c>
      <c r="X690" s="9">
        <f>-IF(C690=1,LN(W690),LN(1-W690))</f>
        <v/>
      </c>
      <c r="Y690" s="8">
        <f>IF(C690=1,$AE$32,$AE$33)</f>
        <v/>
      </c>
      <c r="Z690" s="9">
        <f>Y690*X690</f>
        <v/>
      </c>
      <c r="AA690" s="10">
        <f>IF(W690&gt;$AE$34,1,0)</f>
        <v/>
      </c>
      <c r="AB690">
        <f>IF(AA690=C690,1,0)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$AE$12+D691*$AE$13+E691*$AE$14+F691*$AE$15+G691*$AE$16+H691*$AE$17+I691*$AE$18+J691*$AE$19+K691*$AE$20+L691*$AE$21+M691*$AE$22+N691*$AE$23+O691*$AE$24+P691*$AE$25+Q691*$AE$26+R691*$AE$27+S691*$AE$28+T691*$AE$29+U691*$AE$30</f>
        <v/>
      </c>
      <c r="W691" s="8">
        <f>1/(1+EXP(-V691))</f>
        <v/>
      </c>
      <c r="X691" s="9">
        <f>-IF(C691=1,LN(W691),LN(1-W691))</f>
        <v/>
      </c>
      <c r="Y691" s="8">
        <f>IF(C691=1,$AE$32,$AE$33)</f>
        <v/>
      </c>
      <c r="Z691" s="9">
        <f>Y691*X691</f>
        <v/>
      </c>
      <c r="AA691" s="10">
        <f>IF(W691&gt;$AE$34,1,0)</f>
        <v/>
      </c>
      <c r="AB691">
        <f>IF(AA691=C691,1,0)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$AE$12+D692*$AE$13+E692*$AE$14+F692*$AE$15+G692*$AE$16+H692*$AE$17+I692*$AE$18+J692*$AE$19+K692*$AE$20+L692*$AE$21+M692*$AE$22+N692*$AE$23+O692*$AE$24+P692*$AE$25+Q692*$AE$26+R692*$AE$27+S692*$AE$28+T692*$AE$29+U692*$AE$30</f>
        <v/>
      </c>
      <c r="W692" s="8">
        <f>1/(1+EXP(-V692))</f>
        <v/>
      </c>
      <c r="X692" s="9">
        <f>-IF(C692=1,LN(W692),LN(1-W692))</f>
        <v/>
      </c>
      <c r="Y692" s="8">
        <f>IF(C692=1,$AE$32,$AE$33)</f>
        <v/>
      </c>
      <c r="Z692" s="9">
        <f>Y692*X692</f>
        <v/>
      </c>
      <c r="AA692" s="10">
        <f>IF(W692&gt;$AE$34,1,0)</f>
        <v/>
      </c>
      <c r="AB692">
        <f>IF(AA692=C692,1,0)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$AE$12+D693*$AE$13+E693*$AE$14+F693*$AE$15+G693*$AE$16+H693*$AE$17+I693*$AE$18+J693*$AE$19+K693*$AE$20+L693*$AE$21+M693*$AE$22+N693*$AE$23+O693*$AE$24+P693*$AE$25+Q693*$AE$26+R693*$AE$27+S693*$AE$28+T693*$AE$29+U693*$AE$30</f>
        <v/>
      </c>
      <c r="W693" s="8">
        <f>1/(1+EXP(-V693))</f>
        <v/>
      </c>
      <c r="X693" s="9">
        <f>-IF(C693=1,LN(W693),LN(1-W693))</f>
        <v/>
      </c>
      <c r="Y693" s="8">
        <f>IF(C693=1,$AE$32,$AE$33)</f>
        <v/>
      </c>
      <c r="Z693" s="9">
        <f>Y693*X693</f>
        <v/>
      </c>
      <c r="AA693" s="10">
        <f>IF(W693&gt;$AE$34,1,0)</f>
        <v/>
      </c>
      <c r="AB693">
        <f>IF(AA693=C693,1,0)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$AE$12+D694*$AE$13+E694*$AE$14+F694*$AE$15+G694*$AE$16+H694*$AE$17+I694*$AE$18+J694*$AE$19+K694*$AE$20+L694*$AE$21+M694*$AE$22+N694*$AE$23+O694*$AE$24+P694*$AE$25+Q694*$AE$26+R694*$AE$27+S694*$AE$28+T694*$AE$29+U694*$AE$30</f>
        <v/>
      </c>
      <c r="W694" s="8">
        <f>1/(1+EXP(-V694))</f>
        <v/>
      </c>
      <c r="X694" s="9">
        <f>-IF(C694=1,LN(W694),LN(1-W694))</f>
        <v/>
      </c>
      <c r="Y694" s="8">
        <f>IF(C694=1,$AE$32,$AE$33)</f>
        <v/>
      </c>
      <c r="Z694" s="9">
        <f>Y694*X694</f>
        <v/>
      </c>
      <c r="AA694" s="10">
        <f>IF(W694&gt;$AE$34,1,0)</f>
        <v/>
      </c>
      <c r="AB694">
        <f>IF(AA694=C694,1,0)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$AE$12+D695*$AE$13+E695*$AE$14+F695*$AE$15+G695*$AE$16+H695*$AE$17+I695*$AE$18+J695*$AE$19+K695*$AE$20+L695*$AE$21+M695*$AE$22+N695*$AE$23+O695*$AE$24+P695*$AE$25+Q695*$AE$26+R695*$AE$27+S695*$AE$28+T695*$AE$29+U695*$AE$30</f>
        <v/>
      </c>
      <c r="W695" s="8">
        <f>1/(1+EXP(-V695))</f>
        <v/>
      </c>
      <c r="X695" s="9">
        <f>-IF(C695=1,LN(W695),LN(1-W695))</f>
        <v/>
      </c>
      <c r="Y695" s="8">
        <f>IF(C695=1,$AE$32,$AE$33)</f>
        <v/>
      </c>
      <c r="Z695" s="9">
        <f>Y695*X695</f>
        <v/>
      </c>
      <c r="AA695" s="10">
        <f>IF(W695&gt;$AE$34,1,0)</f>
        <v/>
      </c>
      <c r="AB695">
        <f>IF(AA695=C695,1,0)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$AE$12+D696*$AE$13+E696*$AE$14+F696*$AE$15+G696*$AE$16+H696*$AE$17+I696*$AE$18+J696*$AE$19+K696*$AE$20+L696*$AE$21+M696*$AE$22+N696*$AE$23+O696*$AE$24+P696*$AE$25+Q696*$AE$26+R696*$AE$27+S696*$AE$28+T696*$AE$29+U696*$AE$30</f>
        <v/>
      </c>
      <c r="W696" s="8">
        <f>1/(1+EXP(-V696))</f>
        <v/>
      </c>
      <c r="X696" s="9">
        <f>-IF(C696=1,LN(W696),LN(1-W696))</f>
        <v/>
      </c>
      <c r="Y696" s="8">
        <f>IF(C696=1,$AE$32,$AE$33)</f>
        <v/>
      </c>
      <c r="Z696" s="9">
        <f>Y696*X696</f>
        <v/>
      </c>
      <c r="AA696" s="10">
        <f>IF(W696&gt;$AE$34,1,0)</f>
        <v/>
      </c>
      <c r="AB696">
        <f>IF(AA696=C696,1,0)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$AE$12+D697*$AE$13+E697*$AE$14+F697*$AE$15+G697*$AE$16+H697*$AE$17+I697*$AE$18+J697*$AE$19+K697*$AE$20+L697*$AE$21+M697*$AE$22+N697*$AE$23+O697*$AE$24+P697*$AE$25+Q697*$AE$26+R697*$AE$27+S697*$AE$28+T697*$AE$29+U697*$AE$30</f>
        <v/>
      </c>
      <c r="W697" s="8">
        <f>1/(1+EXP(-V697))</f>
        <v/>
      </c>
      <c r="X697" s="9">
        <f>-IF(C697=1,LN(W697),LN(1-W697))</f>
        <v/>
      </c>
      <c r="Y697" s="8">
        <f>IF(C697=1,$AE$32,$AE$33)</f>
        <v/>
      </c>
      <c r="Z697" s="9">
        <f>Y697*X697</f>
        <v/>
      </c>
      <c r="AA697" s="10">
        <f>IF(W697&gt;$AE$34,1,0)</f>
        <v/>
      </c>
      <c r="AB697">
        <f>IF(AA697=C697,1,0)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$AE$12+D698*$AE$13+E698*$AE$14+F698*$AE$15+G698*$AE$16+H698*$AE$17+I698*$AE$18+J698*$AE$19+K698*$AE$20+L698*$AE$21+M698*$AE$22+N698*$AE$23+O698*$AE$24+P698*$AE$25+Q698*$AE$26+R698*$AE$27+S698*$AE$28+T698*$AE$29+U698*$AE$30</f>
        <v/>
      </c>
      <c r="W698" s="8">
        <f>1/(1+EXP(-V698))</f>
        <v/>
      </c>
      <c r="X698" s="9">
        <f>-IF(C698=1,LN(W698),LN(1-W698))</f>
        <v/>
      </c>
      <c r="Y698" s="8">
        <f>IF(C698=1,$AE$32,$AE$33)</f>
        <v/>
      </c>
      <c r="Z698" s="9">
        <f>Y698*X698</f>
        <v/>
      </c>
      <c r="AA698" s="10">
        <f>IF(W698&gt;$AE$34,1,0)</f>
        <v/>
      </c>
      <c r="AB698">
        <f>IF(AA698=C698,1,0)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$AE$12+D699*$AE$13+E699*$AE$14+F699*$AE$15+G699*$AE$16+H699*$AE$17+I699*$AE$18+J699*$AE$19+K699*$AE$20+L699*$AE$21+M699*$AE$22+N699*$AE$23+O699*$AE$24+P699*$AE$25+Q699*$AE$26+R699*$AE$27+S699*$AE$28+T699*$AE$29+U699*$AE$30</f>
        <v/>
      </c>
      <c r="W699" s="8">
        <f>1/(1+EXP(-V699))</f>
        <v/>
      </c>
      <c r="X699" s="9">
        <f>-IF(C699=1,LN(W699),LN(1-W699))</f>
        <v/>
      </c>
      <c r="Y699" s="8">
        <f>IF(C699=1,$AE$32,$AE$33)</f>
        <v/>
      </c>
      <c r="Z699" s="9">
        <f>Y699*X699</f>
        <v/>
      </c>
      <c r="AA699" s="10">
        <f>IF(W699&gt;$AE$34,1,0)</f>
        <v/>
      </c>
      <c r="AB699">
        <f>IF(AA699=C699,1,0)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$AE$12+D700*$AE$13+E700*$AE$14+F700*$AE$15+G700*$AE$16+H700*$AE$17+I700*$AE$18+J700*$AE$19+K700*$AE$20+L700*$AE$21+M700*$AE$22+N700*$AE$23+O700*$AE$24+P700*$AE$25+Q700*$AE$26+R700*$AE$27+S700*$AE$28+T700*$AE$29+U700*$AE$30</f>
        <v/>
      </c>
      <c r="W700" s="8">
        <f>1/(1+EXP(-V700))</f>
        <v/>
      </c>
      <c r="X700" s="9">
        <f>-IF(C700=1,LN(W700),LN(1-W700))</f>
        <v/>
      </c>
      <c r="Y700" s="8">
        <f>IF(C700=1,$AE$32,$AE$33)</f>
        <v/>
      </c>
      <c r="Z700" s="9">
        <f>Y700*X700</f>
        <v/>
      </c>
      <c r="AA700" s="10">
        <f>IF(W700&gt;$AE$34,1,0)</f>
        <v/>
      </c>
      <c r="AB700">
        <f>IF(AA700=C700,1,0)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$AE$12+D701*$AE$13+E701*$AE$14+F701*$AE$15+G701*$AE$16+H701*$AE$17+I701*$AE$18+J701*$AE$19+K701*$AE$20+L701*$AE$21+M701*$AE$22+N701*$AE$23+O701*$AE$24+P701*$AE$25+Q701*$AE$26+R701*$AE$27+S701*$AE$28+T701*$AE$29+U701*$AE$30</f>
        <v/>
      </c>
      <c r="W701" s="8">
        <f>1/(1+EXP(-V701))</f>
        <v/>
      </c>
      <c r="X701" s="9">
        <f>-IF(C701=1,LN(W701),LN(1-W701))</f>
        <v/>
      </c>
      <c r="Y701" s="8">
        <f>IF(C701=1,$AE$32,$AE$33)</f>
        <v/>
      </c>
      <c r="Z701" s="9">
        <f>Y701*X701</f>
        <v/>
      </c>
      <c r="AA701" s="10">
        <f>IF(W701&gt;$AE$34,1,0)</f>
        <v/>
      </c>
      <c r="AB701">
        <f>IF(AA701=C701,1,0)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$AE$12+D702*$AE$13+E702*$AE$14+F702*$AE$15+G702*$AE$16+H702*$AE$17+I702*$AE$18+J702*$AE$19+K702*$AE$20+L702*$AE$21+M702*$AE$22+N702*$AE$23+O702*$AE$24+P702*$AE$25+Q702*$AE$26+R702*$AE$27+S702*$AE$28+T702*$AE$29+U702*$AE$30</f>
        <v/>
      </c>
      <c r="W702" s="8">
        <f>1/(1+EXP(-V702))</f>
        <v/>
      </c>
      <c r="X702" s="9">
        <f>-IF(C702=1,LN(W702),LN(1-W702))</f>
        <v/>
      </c>
      <c r="Y702" s="8">
        <f>IF(C702=1,$AE$32,$AE$33)</f>
        <v/>
      </c>
      <c r="Z702" s="9">
        <f>Y702*X702</f>
        <v/>
      </c>
      <c r="AA702" s="10">
        <f>IF(W702&gt;$AE$34,1,0)</f>
        <v/>
      </c>
      <c r="AB702">
        <f>IF(AA702=C702,1,0)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$AE$12+D703*$AE$13+E703*$AE$14+F703*$AE$15+G703*$AE$16+H703*$AE$17+I703*$AE$18+J703*$AE$19+K703*$AE$20+L703*$AE$21+M703*$AE$22+N703*$AE$23+O703*$AE$24+P703*$AE$25+Q703*$AE$26+R703*$AE$27+S703*$AE$28+T703*$AE$29+U703*$AE$30</f>
        <v/>
      </c>
      <c r="W703" s="8">
        <f>1/(1+EXP(-V703))</f>
        <v/>
      </c>
      <c r="X703" s="9">
        <f>-IF(C703=1,LN(W703),LN(1-W703))</f>
        <v/>
      </c>
      <c r="Y703" s="8">
        <f>IF(C703=1,$AE$32,$AE$33)</f>
        <v/>
      </c>
      <c r="Z703" s="9">
        <f>Y703*X703</f>
        <v/>
      </c>
      <c r="AA703" s="10">
        <f>IF(W703&gt;$AE$34,1,0)</f>
        <v/>
      </c>
      <c r="AB703">
        <f>IF(AA703=C703,1,0)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$AE$12+D704*$AE$13+E704*$AE$14+F704*$AE$15+G704*$AE$16+H704*$AE$17+I704*$AE$18+J704*$AE$19+K704*$AE$20+L704*$AE$21+M704*$AE$22+N704*$AE$23+O704*$AE$24+P704*$AE$25+Q704*$AE$26+R704*$AE$27+S704*$AE$28+T704*$AE$29+U704*$AE$30</f>
        <v/>
      </c>
      <c r="W704" s="8">
        <f>1/(1+EXP(-V704))</f>
        <v/>
      </c>
      <c r="X704" s="9">
        <f>-IF(C704=1,LN(W704),LN(1-W704))</f>
        <v/>
      </c>
      <c r="Y704" s="8">
        <f>IF(C704=1,$AE$32,$AE$33)</f>
        <v/>
      </c>
      <c r="Z704" s="9">
        <f>Y704*X704</f>
        <v/>
      </c>
      <c r="AA704" s="10">
        <f>IF(W704&gt;$AE$34,1,0)</f>
        <v/>
      </c>
      <c r="AB704">
        <f>IF(AA704=C704,1,0)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$AE$12+D705*$AE$13+E705*$AE$14+F705*$AE$15+G705*$AE$16+H705*$AE$17+I705*$AE$18+J705*$AE$19+K705*$AE$20+L705*$AE$21+M705*$AE$22+N705*$AE$23+O705*$AE$24+P705*$AE$25+Q705*$AE$26+R705*$AE$27+S705*$AE$28+T705*$AE$29+U705*$AE$30</f>
        <v/>
      </c>
      <c r="W705" s="8">
        <f>1/(1+EXP(-V705))</f>
        <v/>
      </c>
      <c r="X705" s="9">
        <f>-IF(C705=1,LN(W705),LN(1-W705))</f>
        <v/>
      </c>
      <c r="Y705" s="8">
        <f>IF(C705=1,$AE$32,$AE$33)</f>
        <v/>
      </c>
      <c r="Z705" s="9">
        <f>Y705*X705</f>
        <v/>
      </c>
      <c r="AA705" s="10">
        <f>IF(W705&gt;$AE$34,1,0)</f>
        <v/>
      </c>
      <c r="AB705">
        <f>IF(AA705=C705,1,0)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$AE$12+D706*$AE$13+E706*$AE$14+F706*$AE$15+G706*$AE$16+H706*$AE$17+I706*$AE$18+J706*$AE$19+K706*$AE$20+L706*$AE$21+M706*$AE$22+N706*$AE$23+O706*$AE$24+P706*$AE$25+Q706*$AE$26+R706*$AE$27+S706*$AE$28+T706*$AE$29+U706*$AE$30</f>
        <v/>
      </c>
      <c r="W706" s="8">
        <f>1/(1+EXP(-V706))</f>
        <v/>
      </c>
      <c r="X706" s="9">
        <f>-IF(C706=1,LN(W706),LN(1-W706))</f>
        <v/>
      </c>
      <c r="Y706" s="8">
        <f>IF(C706=1,$AE$32,$AE$33)</f>
        <v/>
      </c>
      <c r="Z706" s="9">
        <f>Y706*X706</f>
        <v/>
      </c>
      <c r="AA706" s="10">
        <f>IF(W706&gt;$AE$34,1,0)</f>
        <v/>
      </c>
      <c r="AB706">
        <f>IF(AA706=C706,1,0)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$AE$12+D707*$AE$13+E707*$AE$14+F707*$AE$15+G707*$AE$16+H707*$AE$17+I707*$AE$18+J707*$AE$19+K707*$AE$20+L707*$AE$21+M707*$AE$22+N707*$AE$23+O707*$AE$24+P707*$AE$25+Q707*$AE$26+R707*$AE$27+S707*$AE$28+T707*$AE$29+U707*$AE$30</f>
        <v/>
      </c>
      <c r="W707" s="8">
        <f>1/(1+EXP(-V707))</f>
        <v/>
      </c>
      <c r="X707" s="9">
        <f>-IF(C707=1,LN(W707),LN(1-W707))</f>
        <v/>
      </c>
      <c r="Y707" s="8">
        <f>IF(C707=1,$AE$32,$AE$33)</f>
        <v/>
      </c>
      <c r="Z707" s="9">
        <f>Y707*X707</f>
        <v/>
      </c>
      <c r="AA707" s="10">
        <f>IF(W707&gt;$AE$34,1,0)</f>
        <v/>
      </c>
      <c r="AB707">
        <f>IF(AA707=C707,1,0)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$AE$12+D708*$AE$13+E708*$AE$14+F708*$AE$15+G708*$AE$16+H708*$AE$17+I708*$AE$18+J708*$AE$19+K708*$AE$20+L708*$AE$21+M708*$AE$22+N708*$AE$23+O708*$AE$24+P708*$AE$25+Q708*$AE$26+R708*$AE$27+S708*$AE$28+T708*$AE$29+U708*$AE$30</f>
        <v/>
      </c>
      <c r="W708" s="8">
        <f>1/(1+EXP(-V708))</f>
        <v/>
      </c>
      <c r="X708" s="9">
        <f>-IF(C708=1,LN(W708),LN(1-W708))</f>
        <v/>
      </c>
      <c r="Y708" s="8">
        <f>IF(C708=1,$AE$32,$AE$33)</f>
        <v/>
      </c>
      <c r="Z708" s="9">
        <f>Y708*X708</f>
        <v/>
      </c>
      <c r="AA708" s="10">
        <f>IF(W708&gt;$AE$34,1,0)</f>
        <v/>
      </c>
      <c r="AB708">
        <f>IF(AA708=C708,1,0)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$AE$12+D709*$AE$13+E709*$AE$14+F709*$AE$15+G709*$AE$16+H709*$AE$17+I709*$AE$18+J709*$AE$19+K709*$AE$20+L709*$AE$21+M709*$AE$22+N709*$AE$23+O709*$AE$24+P709*$AE$25+Q709*$AE$26+R709*$AE$27+S709*$AE$28+T709*$AE$29+U709*$AE$30</f>
        <v/>
      </c>
      <c r="W709" s="8">
        <f>1/(1+EXP(-V709))</f>
        <v/>
      </c>
      <c r="X709" s="9">
        <f>-IF(C709=1,LN(W709),LN(1-W709))</f>
        <v/>
      </c>
      <c r="Y709" s="8">
        <f>IF(C709=1,$AE$32,$AE$33)</f>
        <v/>
      </c>
      <c r="Z709" s="9">
        <f>Y709*X709</f>
        <v/>
      </c>
      <c r="AA709" s="10">
        <f>IF(W709&gt;$AE$34,1,0)</f>
        <v/>
      </c>
      <c r="AB709">
        <f>IF(AA709=C709,1,0)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$AE$12+D710*$AE$13+E710*$AE$14+F710*$AE$15+G710*$AE$16+H710*$AE$17+I710*$AE$18+J710*$AE$19+K710*$AE$20+L710*$AE$21+M710*$AE$22+N710*$AE$23+O710*$AE$24+P710*$AE$25+Q710*$AE$26+R710*$AE$27+S710*$AE$28+T710*$AE$29+U710*$AE$30</f>
        <v/>
      </c>
      <c r="W710" s="8">
        <f>1/(1+EXP(-V710))</f>
        <v/>
      </c>
      <c r="X710" s="9">
        <f>-IF(C710=1,LN(W710),LN(1-W710))</f>
        <v/>
      </c>
      <c r="Y710" s="8">
        <f>IF(C710=1,$AE$32,$AE$33)</f>
        <v/>
      </c>
      <c r="Z710" s="9">
        <f>Y710*X710</f>
        <v/>
      </c>
      <c r="AA710" s="10">
        <f>IF(W710&gt;$AE$34,1,0)</f>
        <v/>
      </c>
      <c r="AB710">
        <f>IF(AA710=C710,1,0)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$AE$12+D711*$AE$13+E711*$AE$14+F711*$AE$15+G711*$AE$16+H711*$AE$17+I711*$AE$18+J711*$AE$19+K711*$AE$20+L711*$AE$21+M711*$AE$22+N711*$AE$23+O711*$AE$24+P711*$AE$25+Q711*$AE$26+R711*$AE$27+S711*$AE$28+T711*$AE$29+U711*$AE$30</f>
        <v/>
      </c>
      <c r="W711" s="8">
        <f>1/(1+EXP(-V711))</f>
        <v/>
      </c>
      <c r="X711" s="9">
        <f>-IF(C711=1,LN(W711),LN(1-W711))</f>
        <v/>
      </c>
      <c r="Y711" s="8">
        <f>IF(C711=1,$AE$32,$AE$33)</f>
        <v/>
      </c>
      <c r="Z711" s="9">
        <f>Y711*X711</f>
        <v/>
      </c>
      <c r="AA711" s="10">
        <f>IF(W711&gt;$AE$34,1,0)</f>
        <v/>
      </c>
      <c r="AB711">
        <f>IF(AA711=C711,1,0)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$AE$12+D712*$AE$13+E712*$AE$14+F712*$AE$15+G712*$AE$16+H712*$AE$17+I712*$AE$18+J712*$AE$19+K712*$AE$20+L712*$AE$21+M712*$AE$22+N712*$AE$23+O712*$AE$24+P712*$AE$25+Q712*$AE$26+R712*$AE$27+S712*$AE$28+T712*$AE$29+U712*$AE$30</f>
        <v/>
      </c>
      <c r="W712" s="8">
        <f>1/(1+EXP(-V712))</f>
        <v/>
      </c>
      <c r="X712" s="9">
        <f>-IF(C712=1,LN(W712),LN(1-W712))</f>
        <v/>
      </c>
      <c r="Y712" s="8">
        <f>IF(C712=1,$AE$32,$AE$33)</f>
        <v/>
      </c>
      <c r="Z712" s="9">
        <f>Y712*X712</f>
        <v/>
      </c>
      <c r="AA712" s="10">
        <f>IF(W712&gt;$AE$34,1,0)</f>
        <v/>
      </c>
      <c r="AB712">
        <f>IF(AA712=C712,1,0)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$AE$12+D713*$AE$13+E713*$AE$14+F713*$AE$15+G713*$AE$16+H713*$AE$17+I713*$AE$18+J713*$AE$19+K713*$AE$20+L713*$AE$21+M713*$AE$22+N713*$AE$23+O713*$AE$24+P713*$AE$25+Q713*$AE$26+R713*$AE$27+S713*$AE$28+T713*$AE$29+U713*$AE$30</f>
        <v/>
      </c>
      <c r="W713" s="8">
        <f>1/(1+EXP(-V713))</f>
        <v/>
      </c>
      <c r="X713" s="9">
        <f>-IF(C713=1,LN(W713),LN(1-W713))</f>
        <v/>
      </c>
      <c r="Y713" s="8">
        <f>IF(C713=1,$AE$32,$AE$33)</f>
        <v/>
      </c>
      <c r="Z713" s="9">
        <f>Y713*X713</f>
        <v/>
      </c>
      <c r="AA713" s="10">
        <f>IF(W713&gt;$AE$34,1,0)</f>
        <v/>
      </c>
      <c r="AB713">
        <f>IF(AA713=C713,1,0)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$AE$12+D714*$AE$13+E714*$AE$14+F714*$AE$15+G714*$AE$16+H714*$AE$17+I714*$AE$18+J714*$AE$19+K714*$AE$20+L714*$AE$21+M714*$AE$22+N714*$AE$23+O714*$AE$24+P714*$AE$25+Q714*$AE$26+R714*$AE$27+S714*$AE$28+T714*$AE$29+U714*$AE$30</f>
        <v/>
      </c>
      <c r="W714" s="8">
        <f>1/(1+EXP(-V714))</f>
        <v/>
      </c>
      <c r="X714" s="9">
        <f>-IF(C714=1,LN(W714),LN(1-W714))</f>
        <v/>
      </c>
      <c r="Y714" s="8">
        <f>IF(C714=1,$AE$32,$AE$33)</f>
        <v/>
      </c>
      <c r="Z714" s="9">
        <f>Y714*X714</f>
        <v/>
      </c>
      <c r="AA714" s="10">
        <f>IF(W714&gt;$AE$34,1,0)</f>
        <v/>
      </c>
      <c r="AB714">
        <f>IF(AA714=C714,1,0)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$AE$12+D715*$AE$13+E715*$AE$14+F715*$AE$15+G715*$AE$16+H715*$AE$17+I715*$AE$18+J715*$AE$19+K715*$AE$20+L715*$AE$21+M715*$AE$22+N715*$AE$23+O715*$AE$24+P715*$AE$25+Q715*$AE$26+R715*$AE$27+S715*$AE$28+T715*$AE$29+U715*$AE$30</f>
        <v/>
      </c>
      <c r="W715" s="8">
        <f>1/(1+EXP(-V715))</f>
        <v/>
      </c>
      <c r="X715" s="9">
        <f>-IF(C715=1,LN(W715),LN(1-W715))</f>
        <v/>
      </c>
      <c r="Y715" s="8">
        <f>IF(C715=1,$AE$32,$AE$33)</f>
        <v/>
      </c>
      <c r="Z715" s="9">
        <f>Y715*X715</f>
        <v/>
      </c>
      <c r="AA715" s="10">
        <f>IF(W715&gt;$AE$34,1,0)</f>
        <v/>
      </c>
      <c r="AB715">
        <f>IF(AA715=C715,1,0)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$AE$12+D716*$AE$13+E716*$AE$14+F716*$AE$15+G716*$AE$16+H716*$AE$17+I716*$AE$18+J716*$AE$19+K716*$AE$20+L716*$AE$21+M716*$AE$22+N716*$AE$23+O716*$AE$24+P716*$AE$25+Q716*$AE$26+R716*$AE$27+S716*$AE$28+T716*$AE$29+U716*$AE$30</f>
        <v/>
      </c>
      <c r="W716" s="8">
        <f>1/(1+EXP(-V716))</f>
        <v/>
      </c>
      <c r="X716" s="9">
        <f>-IF(C716=1,LN(W716),LN(1-W716))</f>
        <v/>
      </c>
      <c r="Y716" s="8">
        <f>IF(C716=1,$AE$32,$AE$33)</f>
        <v/>
      </c>
      <c r="Z716" s="9">
        <f>Y716*X716</f>
        <v/>
      </c>
      <c r="AA716" s="10">
        <f>IF(W716&gt;$AE$34,1,0)</f>
        <v/>
      </c>
      <c r="AB716">
        <f>IF(AA716=C716,1,0)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$AE$12+D717*$AE$13+E717*$AE$14+F717*$AE$15+G717*$AE$16+H717*$AE$17+I717*$AE$18+J717*$AE$19+K717*$AE$20+L717*$AE$21+M717*$AE$22+N717*$AE$23+O717*$AE$24+P717*$AE$25+Q717*$AE$26+R717*$AE$27+S717*$AE$28+T717*$AE$29+U717*$AE$30</f>
        <v/>
      </c>
      <c r="W717" s="8">
        <f>1/(1+EXP(-V717))</f>
        <v/>
      </c>
      <c r="X717" s="9">
        <f>-IF(C717=1,LN(W717),LN(1-W717))</f>
        <v/>
      </c>
      <c r="Y717" s="8">
        <f>IF(C717=1,$AE$32,$AE$33)</f>
        <v/>
      </c>
      <c r="Z717" s="9">
        <f>Y717*X717</f>
        <v/>
      </c>
      <c r="AA717" s="10">
        <f>IF(W717&gt;$AE$34,1,0)</f>
        <v/>
      </c>
      <c r="AB717">
        <f>IF(AA717=C717,1,0)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$AE$12+D718*$AE$13+E718*$AE$14+F718*$AE$15+G718*$AE$16+H718*$AE$17+I718*$AE$18+J718*$AE$19+K718*$AE$20+L718*$AE$21+M718*$AE$22+N718*$AE$23+O718*$AE$24+P718*$AE$25+Q718*$AE$26+R718*$AE$27+S718*$AE$28+T718*$AE$29+U718*$AE$30</f>
        <v/>
      </c>
      <c r="W718" s="8">
        <f>1/(1+EXP(-V718))</f>
        <v/>
      </c>
      <c r="X718" s="9">
        <f>-IF(C718=1,LN(W718),LN(1-W718))</f>
        <v/>
      </c>
      <c r="Y718" s="8">
        <f>IF(C718=1,$AE$32,$AE$33)</f>
        <v/>
      </c>
      <c r="Z718" s="9">
        <f>Y718*X718</f>
        <v/>
      </c>
      <c r="AA718" s="10">
        <f>IF(W718&gt;$AE$34,1,0)</f>
        <v/>
      </c>
      <c r="AB718">
        <f>IF(AA718=C718,1,0)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$AE$12+D719*$AE$13+E719*$AE$14+F719*$AE$15+G719*$AE$16+H719*$AE$17+I719*$AE$18+J719*$AE$19+K719*$AE$20+L719*$AE$21+M719*$AE$22+N719*$AE$23+O719*$AE$24+P719*$AE$25+Q719*$AE$26+R719*$AE$27+S719*$AE$28+T719*$AE$29+U719*$AE$30</f>
        <v/>
      </c>
      <c r="W719" s="8">
        <f>1/(1+EXP(-V719))</f>
        <v/>
      </c>
      <c r="X719" s="9">
        <f>-IF(C719=1,LN(W719),LN(1-W719))</f>
        <v/>
      </c>
      <c r="Y719" s="8">
        <f>IF(C719=1,$AE$32,$AE$33)</f>
        <v/>
      </c>
      <c r="Z719" s="9">
        <f>Y719*X719</f>
        <v/>
      </c>
      <c r="AA719" s="10">
        <f>IF(W719&gt;$AE$34,1,0)</f>
        <v/>
      </c>
      <c r="AB719">
        <f>IF(AA719=C719,1,0)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$AE$12+D720*$AE$13+E720*$AE$14+F720*$AE$15+G720*$AE$16+H720*$AE$17+I720*$AE$18+J720*$AE$19+K720*$AE$20+L720*$AE$21+M720*$AE$22+N720*$AE$23+O720*$AE$24+P720*$AE$25+Q720*$AE$26+R720*$AE$27+S720*$AE$28+T720*$AE$29+U720*$AE$30</f>
        <v/>
      </c>
      <c r="W720" s="8">
        <f>1/(1+EXP(-V720))</f>
        <v/>
      </c>
      <c r="X720" s="9">
        <f>-IF(C720=1,LN(W720),LN(1-W720))</f>
        <v/>
      </c>
      <c r="Y720" s="8">
        <f>IF(C720=1,$AE$32,$AE$33)</f>
        <v/>
      </c>
      <c r="Z720" s="9">
        <f>Y720*X720</f>
        <v/>
      </c>
      <c r="AA720" s="10">
        <f>IF(W720&gt;$AE$34,1,0)</f>
        <v/>
      </c>
      <c r="AB720">
        <f>IF(AA720=C720,1,0)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$AE$12+D721*$AE$13+E721*$AE$14+F721*$AE$15+G721*$AE$16+H721*$AE$17+I721*$AE$18+J721*$AE$19+K721*$AE$20+L721*$AE$21+M721*$AE$22+N721*$AE$23+O721*$AE$24+P721*$AE$25+Q721*$AE$26+R721*$AE$27+S721*$AE$28+T721*$AE$29+U721*$AE$30</f>
        <v/>
      </c>
      <c r="W721" s="8">
        <f>1/(1+EXP(-V721))</f>
        <v/>
      </c>
      <c r="X721" s="9">
        <f>-IF(C721=1,LN(W721),LN(1-W721))</f>
        <v/>
      </c>
      <c r="Y721" s="8">
        <f>IF(C721=1,$AE$32,$AE$33)</f>
        <v/>
      </c>
      <c r="Z721" s="9">
        <f>Y721*X721</f>
        <v/>
      </c>
      <c r="AA721" s="10">
        <f>IF(W721&gt;$AE$34,1,0)</f>
        <v/>
      </c>
      <c r="AB721">
        <f>IF(AA721=C721,1,0)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$AE$12+D722*$AE$13+E722*$AE$14+F722*$AE$15+G722*$AE$16+H722*$AE$17+I722*$AE$18+J722*$AE$19+K722*$AE$20+L722*$AE$21+M722*$AE$22+N722*$AE$23+O722*$AE$24+P722*$AE$25+Q722*$AE$26+R722*$AE$27+S722*$AE$28+T722*$AE$29+U722*$AE$30</f>
        <v/>
      </c>
      <c r="W722" s="8">
        <f>1/(1+EXP(-V722))</f>
        <v/>
      </c>
      <c r="X722" s="9">
        <f>-IF(C722=1,LN(W722),LN(1-W722))</f>
        <v/>
      </c>
      <c r="Y722" s="8">
        <f>IF(C722=1,$AE$32,$AE$33)</f>
        <v/>
      </c>
      <c r="Z722" s="9">
        <f>Y722*X722</f>
        <v/>
      </c>
      <c r="AA722" s="10">
        <f>IF(W722&gt;$AE$34,1,0)</f>
        <v/>
      </c>
      <c r="AB722">
        <f>IF(AA722=C722,1,0)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$AE$12+D723*$AE$13+E723*$AE$14+F723*$AE$15+G723*$AE$16+H723*$AE$17+I723*$AE$18+J723*$AE$19+K723*$AE$20+L723*$AE$21+M723*$AE$22+N723*$AE$23+O723*$AE$24+P723*$AE$25+Q723*$AE$26+R723*$AE$27+S723*$AE$28+T723*$AE$29+U723*$AE$30</f>
        <v/>
      </c>
      <c r="W723" s="8">
        <f>1/(1+EXP(-V723))</f>
        <v/>
      </c>
      <c r="X723" s="9">
        <f>-IF(C723=1,LN(W723),LN(1-W723))</f>
        <v/>
      </c>
      <c r="Y723" s="8">
        <f>IF(C723=1,$AE$32,$AE$33)</f>
        <v/>
      </c>
      <c r="Z723" s="9">
        <f>Y723*X723</f>
        <v/>
      </c>
      <c r="AA723" s="10">
        <f>IF(W723&gt;$AE$34,1,0)</f>
        <v/>
      </c>
      <c r="AB723">
        <f>IF(AA723=C723,1,0)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$AE$12+D724*$AE$13+E724*$AE$14+F724*$AE$15+G724*$AE$16+H724*$AE$17+I724*$AE$18+J724*$AE$19+K724*$AE$20+L724*$AE$21+M724*$AE$22+N724*$AE$23+O724*$AE$24+P724*$AE$25+Q724*$AE$26+R724*$AE$27+S724*$AE$28+T724*$AE$29+U724*$AE$30</f>
        <v/>
      </c>
      <c r="W724" s="8">
        <f>1/(1+EXP(-V724))</f>
        <v/>
      </c>
      <c r="X724" s="9">
        <f>-IF(C724=1,LN(W724),LN(1-W724))</f>
        <v/>
      </c>
      <c r="Y724" s="8">
        <f>IF(C724=1,$AE$32,$AE$33)</f>
        <v/>
      </c>
      <c r="Z724" s="9">
        <f>Y724*X724</f>
        <v/>
      </c>
      <c r="AA724" s="10">
        <f>IF(W724&gt;$AE$34,1,0)</f>
        <v/>
      </c>
      <c r="AB724">
        <f>IF(AA724=C724,1,0)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$AE$12+D725*$AE$13+E725*$AE$14+F725*$AE$15+G725*$AE$16+H725*$AE$17+I725*$AE$18+J725*$AE$19+K725*$AE$20+L725*$AE$21+M725*$AE$22+N725*$AE$23+O725*$AE$24+P725*$AE$25+Q725*$AE$26+R725*$AE$27+S725*$AE$28+T725*$AE$29+U725*$AE$30</f>
        <v/>
      </c>
      <c r="W725" s="8">
        <f>1/(1+EXP(-V725))</f>
        <v/>
      </c>
      <c r="X725" s="9">
        <f>-IF(C725=1,LN(W725),LN(1-W725))</f>
        <v/>
      </c>
      <c r="Y725" s="8">
        <f>IF(C725=1,$AE$32,$AE$33)</f>
        <v/>
      </c>
      <c r="Z725" s="9">
        <f>Y725*X725</f>
        <v/>
      </c>
      <c r="AA725" s="10">
        <f>IF(W725&gt;$AE$34,1,0)</f>
        <v/>
      </c>
      <c r="AB725">
        <f>IF(AA725=C725,1,0)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$AE$12+D726*$AE$13+E726*$AE$14+F726*$AE$15+G726*$AE$16+H726*$AE$17+I726*$AE$18+J726*$AE$19+K726*$AE$20+L726*$AE$21+M726*$AE$22+N726*$AE$23+O726*$AE$24+P726*$AE$25+Q726*$AE$26+R726*$AE$27+S726*$AE$28+T726*$AE$29+U726*$AE$30</f>
        <v/>
      </c>
      <c r="W726" s="8">
        <f>1/(1+EXP(-V726))</f>
        <v/>
      </c>
      <c r="X726" s="9">
        <f>-IF(C726=1,LN(W726),LN(1-W726))</f>
        <v/>
      </c>
      <c r="Y726" s="8">
        <f>IF(C726=1,$AE$32,$AE$33)</f>
        <v/>
      </c>
      <c r="Z726" s="9">
        <f>Y726*X726</f>
        <v/>
      </c>
      <c r="AA726" s="10">
        <f>IF(W726&gt;$AE$34,1,0)</f>
        <v/>
      </c>
      <c r="AB726">
        <f>IF(AA726=C726,1,0)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$AE$12+D727*$AE$13+E727*$AE$14+F727*$AE$15+G727*$AE$16+H727*$AE$17+I727*$AE$18+J727*$AE$19+K727*$AE$20+L727*$AE$21+M727*$AE$22+N727*$AE$23+O727*$AE$24+P727*$AE$25+Q727*$AE$26+R727*$AE$27+S727*$AE$28+T727*$AE$29+U727*$AE$30</f>
        <v/>
      </c>
      <c r="W727" s="8">
        <f>1/(1+EXP(-V727))</f>
        <v/>
      </c>
      <c r="X727" s="9">
        <f>-IF(C727=1,LN(W727),LN(1-W727))</f>
        <v/>
      </c>
      <c r="Y727" s="8">
        <f>IF(C727=1,$AE$32,$AE$33)</f>
        <v/>
      </c>
      <c r="Z727" s="9">
        <f>Y727*X727</f>
        <v/>
      </c>
      <c r="AA727" s="10">
        <f>IF(W727&gt;$AE$34,1,0)</f>
        <v/>
      </c>
      <c r="AB727">
        <f>IF(AA727=C727,1,0)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$AE$12+D728*$AE$13+E728*$AE$14+F728*$AE$15+G728*$AE$16+H728*$AE$17+I728*$AE$18+J728*$AE$19+K728*$AE$20+L728*$AE$21+M728*$AE$22+N728*$AE$23+O728*$AE$24+P728*$AE$25+Q728*$AE$26+R728*$AE$27+S728*$AE$28+T728*$AE$29+U728*$AE$30</f>
        <v/>
      </c>
      <c r="W728" s="8">
        <f>1/(1+EXP(-V728))</f>
        <v/>
      </c>
      <c r="X728" s="9">
        <f>-IF(C728=1,LN(W728),LN(1-W728))</f>
        <v/>
      </c>
      <c r="Y728" s="8">
        <f>IF(C728=1,$AE$32,$AE$33)</f>
        <v/>
      </c>
      <c r="Z728" s="9">
        <f>Y728*X728</f>
        <v/>
      </c>
      <c r="AA728" s="10">
        <f>IF(W728&gt;$AE$34,1,0)</f>
        <v/>
      </c>
      <c r="AB728">
        <f>IF(AA728=C728,1,0)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$AE$12+D729*$AE$13+E729*$AE$14+F729*$AE$15+G729*$AE$16+H729*$AE$17+I729*$AE$18+J729*$AE$19+K729*$AE$20+L729*$AE$21+M729*$AE$22+N729*$AE$23+O729*$AE$24+P729*$AE$25+Q729*$AE$26+R729*$AE$27+S729*$AE$28+T729*$AE$29+U729*$AE$30</f>
        <v/>
      </c>
      <c r="W729" s="8">
        <f>1/(1+EXP(-V729))</f>
        <v/>
      </c>
      <c r="X729" s="9">
        <f>-IF(C729=1,LN(W729),LN(1-W729))</f>
        <v/>
      </c>
      <c r="Y729" s="8">
        <f>IF(C729=1,$AE$32,$AE$33)</f>
        <v/>
      </c>
      <c r="Z729" s="9">
        <f>Y729*X729</f>
        <v/>
      </c>
      <c r="AA729" s="10">
        <f>IF(W729&gt;$AE$34,1,0)</f>
        <v/>
      </c>
      <c r="AB729">
        <f>IF(AA729=C729,1,0)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$AE$12+D730*$AE$13+E730*$AE$14+F730*$AE$15+G730*$AE$16+H730*$AE$17+I730*$AE$18+J730*$AE$19+K730*$AE$20+L730*$AE$21+M730*$AE$22+N730*$AE$23+O730*$AE$24+P730*$AE$25+Q730*$AE$26+R730*$AE$27+S730*$AE$28+T730*$AE$29+U730*$AE$30</f>
        <v/>
      </c>
      <c r="W730" s="8">
        <f>1/(1+EXP(-V730))</f>
        <v/>
      </c>
      <c r="X730" s="9">
        <f>-IF(C730=1,LN(W730),LN(1-W730))</f>
        <v/>
      </c>
      <c r="Y730" s="8">
        <f>IF(C730=1,$AE$32,$AE$33)</f>
        <v/>
      </c>
      <c r="Z730" s="9">
        <f>Y730*X730</f>
        <v/>
      </c>
      <c r="AA730" s="10">
        <f>IF(W730&gt;$AE$34,1,0)</f>
        <v/>
      </c>
      <c r="AB730">
        <f>IF(AA730=C730,1,0)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$AE$12+D731*$AE$13+E731*$AE$14+F731*$AE$15+G731*$AE$16+H731*$AE$17+I731*$AE$18+J731*$AE$19+K731*$AE$20+L731*$AE$21+M731*$AE$22+N731*$AE$23+O731*$AE$24+P731*$AE$25+Q731*$AE$26+R731*$AE$27+S731*$AE$28+T731*$AE$29+U731*$AE$30</f>
        <v/>
      </c>
      <c r="W731" s="8">
        <f>1/(1+EXP(-V731))</f>
        <v/>
      </c>
      <c r="X731" s="9">
        <f>-IF(C731=1,LN(W731),LN(1-W731))</f>
        <v/>
      </c>
      <c r="Y731" s="8">
        <f>IF(C731=1,$AE$32,$AE$33)</f>
        <v/>
      </c>
      <c r="Z731" s="9">
        <f>Y731*X731</f>
        <v/>
      </c>
      <c r="AA731" s="10">
        <f>IF(W731&gt;$AE$34,1,0)</f>
        <v/>
      </c>
      <c r="AB731">
        <f>IF(AA731=C731,1,0)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$AE$12+D732*$AE$13+E732*$AE$14+F732*$AE$15+G732*$AE$16+H732*$AE$17+I732*$AE$18+J732*$AE$19+K732*$AE$20+L732*$AE$21+M732*$AE$22+N732*$AE$23+O732*$AE$24+P732*$AE$25+Q732*$AE$26+R732*$AE$27+S732*$AE$28+T732*$AE$29+U732*$AE$30</f>
        <v/>
      </c>
      <c r="W732" s="8">
        <f>1/(1+EXP(-V732))</f>
        <v/>
      </c>
      <c r="X732" s="9">
        <f>-IF(C732=1,LN(W732),LN(1-W732))</f>
        <v/>
      </c>
      <c r="Y732" s="8">
        <f>IF(C732=1,$AE$32,$AE$33)</f>
        <v/>
      </c>
      <c r="Z732" s="9">
        <f>Y732*X732</f>
        <v/>
      </c>
      <c r="AA732" s="10">
        <f>IF(W732&gt;$AE$34,1,0)</f>
        <v/>
      </c>
      <c r="AB732">
        <f>IF(AA732=C732,1,0)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$AE$12+D733*$AE$13+E733*$AE$14+F733*$AE$15+G733*$AE$16+H733*$AE$17+I733*$AE$18+J733*$AE$19+K733*$AE$20+L733*$AE$21+M733*$AE$22+N733*$AE$23+O733*$AE$24+P733*$AE$25+Q733*$AE$26+R733*$AE$27+S733*$AE$28+T733*$AE$29+U733*$AE$30</f>
        <v/>
      </c>
      <c r="W733" s="8">
        <f>1/(1+EXP(-V733))</f>
        <v/>
      </c>
      <c r="X733" s="9">
        <f>-IF(C733=1,LN(W733),LN(1-W733))</f>
        <v/>
      </c>
      <c r="Y733" s="8">
        <f>IF(C733=1,$AE$32,$AE$33)</f>
        <v/>
      </c>
      <c r="Z733" s="9">
        <f>Y733*X733</f>
        <v/>
      </c>
      <c r="AA733" s="10">
        <f>IF(W733&gt;$AE$34,1,0)</f>
        <v/>
      </c>
      <c r="AB733">
        <f>IF(AA733=C733,1,0)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$AE$12+D734*$AE$13+E734*$AE$14+F734*$AE$15+G734*$AE$16+H734*$AE$17+I734*$AE$18+J734*$AE$19+K734*$AE$20+L734*$AE$21+M734*$AE$22+N734*$AE$23+O734*$AE$24+P734*$AE$25+Q734*$AE$26+R734*$AE$27+S734*$AE$28+T734*$AE$29+U734*$AE$30</f>
        <v/>
      </c>
      <c r="W734" s="8">
        <f>1/(1+EXP(-V734))</f>
        <v/>
      </c>
      <c r="X734" s="9">
        <f>-IF(C734=1,LN(W734),LN(1-W734))</f>
        <v/>
      </c>
      <c r="Y734" s="8">
        <f>IF(C734=1,$AE$32,$AE$33)</f>
        <v/>
      </c>
      <c r="Z734" s="9">
        <f>Y734*X734</f>
        <v/>
      </c>
      <c r="AA734" s="10">
        <f>IF(W734&gt;$AE$34,1,0)</f>
        <v/>
      </c>
      <c r="AB734">
        <f>IF(AA734=C734,1,0)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$AE$12+D735*$AE$13+E735*$AE$14+F735*$AE$15+G735*$AE$16+H735*$AE$17+I735*$AE$18+J735*$AE$19+K735*$AE$20+L735*$AE$21+M735*$AE$22+N735*$AE$23+O735*$AE$24+P735*$AE$25+Q735*$AE$26+R735*$AE$27+S735*$AE$28+T735*$AE$29+U735*$AE$30</f>
        <v/>
      </c>
      <c r="W735" s="8">
        <f>1/(1+EXP(-V735))</f>
        <v/>
      </c>
      <c r="X735" s="9">
        <f>-IF(C735=1,LN(W735),LN(1-W735))</f>
        <v/>
      </c>
      <c r="Y735" s="8">
        <f>IF(C735=1,$AE$32,$AE$33)</f>
        <v/>
      </c>
      <c r="Z735" s="9">
        <f>Y735*X735</f>
        <v/>
      </c>
      <c r="AA735" s="10">
        <f>IF(W735&gt;$AE$34,1,0)</f>
        <v/>
      </c>
      <c r="AB735">
        <f>IF(AA735=C735,1,0)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$AE$12+D736*$AE$13+E736*$AE$14+F736*$AE$15+G736*$AE$16+H736*$AE$17+I736*$AE$18+J736*$AE$19+K736*$AE$20+L736*$AE$21+M736*$AE$22+N736*$AE$23+O736*$AE$24+P736*$AE$25+Q736*$AE$26+R736*$AE$27+S736*$AE$28+T736*$AE$29+U736*$AE$30</f>
        <v/>
      </c>
      <c r="W736" s="8">
        <f>1/(1+EXP(-V736))</f>
        <v/>
      </c>
      <c r="X736" s="9">
        <f>-IF(C736=1,LN(W736),LN(1-W736))</f>
        <v/>
      </c>
      <c r="Y736" s="8">
        <f>IF(C736=1,$AE$32,$AE$33)</f>
        <v/>
      </c>
      <c r="Z736" s="9">
        <f>Y736*X736</f>
        <v/>
      </c>
      <c r="AA736" s="10">
        <f>IF(W736&gt;$AE$34,1,0)</f>
        <v/>
      </c>
      <c r="AB736">
        <f>IF(AA736=C736,1,0)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$AE$12+D737*$AE$13+E737*$AE$14+F737*$AE$15+G737*$AE$16+H737*$AE$17+I737*$AE$18+J737*$AE$19+K737*$AE$20+L737*$AE$21+M737*$AE$22+N737*$AE$23+O737*$AE$24+P737*$AE$25+Q737*$AE$26+R737*$AE$27+S737*$AE$28+T737*$AE$29+U737*$AE$30</f>
        <v/>
      </c>
      <c r="W737" s="8">
        <f>1/(1+EXP(-V737))</f>
        <v/>
      </c>
      <c r="X737" s="9">
        <f>-IF(C737=1,LN(W737),LN(1-W737))</f>
        <v/>
      </c>
      <c r="Y737" s="8">
        <f>IF(C737=1,$AE$32,$AE$33)</f>
        <v/>
      </c>
      <c r="Z737" s="9">
        <f>Y737*X737</f>
        <v/>
      </c>
      <c r="AA737" s="10">
        <f>IF(W737&gt;$AE$34,1,0)</f>
        <v/>
      </c>
      <c r="AB737">
        <f>IF(AA737=C737,1,0)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$AE$12+D738*$AE$13+E738*$AE$14+F738*$AE$15+G738*$AE$16+H738*$AE$17+I738*$AE$18+J738*$AE$19+K738*$AE$20+L738*$AE$21+M738*$AE$22+N738*$AE$23+O738*$AE$24+P738*$AE$25+Q738*$AE$26+R738*$AE$27+S738*$AE$28+T738*$AE$29+U738*$AE$30</f>
        <v/>
      </c>
      <c r="W738" s="8">
        <f>1/(1+EXP(-V738))</f>
        <v/>
      </c>
      <c r="X738" s="9">
        <f>-IF(C738=1,LN(W738),LN(1-W738))</f>
        <v/>
      </c>
      <c r="Y738" s="8">
        <f>IF(C738=1,$AE$32,$AE$33)</f>
        <v/>
      </c>
      <c r="Z738" s="9">
        <f>Y738*X738</f>
        <v/>
      </c>
      <c r="AA738" s="10">
        <f>IF(W738&gt;$AE$34,1,0)</f>
        <v/>
      </c>
      <c r="AB738">
        <f>IF(AA738=C738,1,0)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$AE$12+D739*$AE$13+E739*$AE$14+F739*$AE$15+G739*$AE$16+H739*$AE$17+I739*$AE$18+J739*$AE$19+K739*$AE$20+L739*$AE$21+M739*$AE$22+N739*$AE$23+O739*$AE$24+P739*$AE$25+Q739*$AE$26+R739*$AE$27+S739*$AE$28+T739*$AE$29+U739*$AE$30</f>
        <v/>
      </c>
      <c r="W739" s="8">
        <f>1/(1+EXP(-V739))</f>
        <v/>
      </c>
      <c r="X739" s="9">
        <f>-IF(C739=1,LN(W739),LN(1-W739))</f>
        <v/>
      </c>
      <c r="Y739" s="8">
        <f>IF(C739=1,$AE$32,$AE$33)</f>
        <v/>
      </c>
      <c r="Z739" s="9">
        <f>Y739*X739</f>
        <v/>
      </c>
      <c r="AA739" s="10">
        <f>IF(W739&gt;$AE$34,1,0)</f>
        <v/>
      </c>
      <c r="AB739">
        <f>IF(AA739=C739,1,0)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$AE$12+D740*$AE$13+E740*$AE$14+F740*$AE$15+G740*$AE$16+H740*$AE$17+I740*$AE$18+J740*$AE$19+K740*$AE$20+L740*$AE$21+M740*$AE$22+N740*$AE$23+O740*$AE$24+P740*$AE$25+Q740*$AE$26+R740*$AE$27+S740*$AE$28+T740*$AE$29+U740*$AE$30</f>
        <v/>
      </c>
      <c r="W740" s="8">
        <f>1/(1+EXP(-V740))</f>
        <v/>
      </c>
      <c r="X740" s="9">
        <f>-IF(C740=1,LN(W740),LN(1-W740))</f>
        <v/>
      </c>
      <c r="Y740" s="8">
        <f>IF(C740=1,$AE$32,$AE$33)</f>
        <v/>
      </c>
      <c r="Z740" s="9">
        <f>Y740*X740</f>
        <v/>
      </c>
      <c r="AA740" s="10">
        <f>IF(W740&gt;$AE$34,1,0)</f>
        <v/>
      </c>
      <c r="AB740">
        <f>IF(AA740=C740,1,0)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$AE$12+D741*$AE$13+E741*$AE$14+F741*$AE$15+G741*$AE$16+H741*$AE$17+I741*$AE$18+J741*$AE$19+K741*$AE$20+L741*$AE$21+M741*$AE$22+N741*$AE$23+O741*$AE$24+P741*$AE$25+Q741*$AE$26+R741*$AE$27+S741*$AE$28+T741*$AE$29+U741*$AE$30</f>
        <v/>
      </c>
      <c r="W741" s="8">
        <f>1/(1+EXP(-V741))</f>
        <v/>
      </c>
      <c r="X741" s="9">
        <f>-IF(C741=1,LN(W741),LN(1-W741))</f>
        <v/>
      </c>
      <c r="Y741" s="8">
        <f>IF(C741=1,$AE$32,$AE$33)</f>
        <v/>
      </c>
      <c r="Z741" s="9">
        <f>Y741*X741</f>
        <v/>
      </c>
      <c r="AA741" s="10">
        <f>IF(W741&gt;$AE$34,1,0)</f>
        <v/>
      </c>
      <c r="AB741">
        <f>IF(AA741=C741,1,0)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$AE$12+D742*$AE$13+E742*$AE$14+F742*$AE$15+G742*$AE$16+H742*$AE$17+I742*$AE$18+J742*$AE$19+K742*$AE$20+L742*$AE$21+M742*$AE$22+N742*$AE$23+O742*$AE$24+P742*$AE$25+Q742*$AE$26+R742*$AE$27+S742*$AE$28+T742*$AE$29+U742*$AE$30</f>
        <v/>
      </c>
      <c r="W742" s="8">
        <f>1/(1+EXP(-V742))</f>
        <v/>
      </c>
      <c r="X742" s="9">
        <f>-IF(C742=1,LN(W742),LN(1-W742))</f>
        <v/>
      </c>
      <c r="Y742" s="8">
        <f>IF(C742=1,$AE$32,$AE$33)</f>
        <v/>
      </c>
      <c r="Z742" s="9">
        <f>Y742*X742</f>
        <v/>
      </c>
      <c r="AA742" s="10">
        <f>IF(W742&gt;$AE$34,1,0)</f>
        <v/>
      </c>
      <c r="AB742">
        <f>IF(AA742=C742,1,0)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$AE$12+D743*$AE$13+E743*$AE$14+F743*$AE$15+G743*$AE$16+H743*$AE$17+I743*$AE$18+J743*$AE$19+K743*$AE$20+L743*$AE$21+M743*$AE$22+N743*$AE$23+O743*$AE$24+P743*$AE$25+Q743*$AE$26+R743*$AE$27+S743*$AE$28+T743*$AE$29+U743*$AE$30</f>
        <v/>
      </c>
      <c r="W743" s="8">
        <f>1/(1+EXP(-V743))</f>
        <v/>
      </c>
      <c r="X743" s="9">
        <f>-IF(C743=1,LN(W743),LN(1-W743))</f>
        <v/>
      </c>
      <c r="Y743" s="8">
        <f>IF(C743=1,$AE$32,$AE$33)</f>
        <v/>
      </c>
      <c r="Z743" s="9">
        <f>Y743*X743</f>
        <v/>
      </c>
      <c r="AA743" s="10">
        <f>IF(W743&gt;$AE$34,1,0)</f>
        <v/>
      </c>
      <c r="AB743">
        <f>IF(AA743=C743,1,0)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$AE$12+D744*$AE$13+E744*$AE$14+F744*$AE$15+G744*$AE$16+H744*$AE$17+I744*$AE$18+J744*$AE$19+K744*$AE$20+L744*$AE$21+M744*$AE$22+N744*$AE$23+O744*$AE$24+P744*$AE$25+Q744*$AE$26+R744*$AE$27+S744*$AE$28+T744*$AE$29+U744*$AE$30</f>
        <v/>
      </c>
      <c r="W744" s="8">
        <f>1/(1+EXP(-V744))</f>
        <v/>
      </c>
      <c r="X744" s="9">
        <f>-IF(C744=1,LN(W744),LN(1-W744))</f>
        <v/>
      </c>
      <c r="Y744" s="8">
        <f>IF(C744=1,$AE$32,$AE$33)</f>
        <v/>
      </c>
      <c r="Z744" s="9">
        <f>Y744*X744</f>
        <v/>
      </c>
      <c r="AA744" s="10">
        <f>IF(W744&gt;$AE$34,1,0)</f>
        <v/>
      </c>
      <c r="AB744">
        <f>IF(AA744=C744,1,0)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$AE$12+D745*$AE$13+E745*$AE$14+F745*$AE$15+G745*$AE$16+H745*$AE$17+I745*$AE$18+J745*$AE$19+K745*$AE$20+L745*$AE$21+M745*$AE$22+N745*$AE$23+O745*$AE$24+P745*$AE$25+Q745*$AE$26+R745*$AE$27+S745*$AE$28+T745*$AE$29+U745*$AE$30</f>
        <v/>
      </c>
      <c r="W745" s="8">
        <f>1/(1+EXP(-V745))</f>
        <v/>
      </c>
      <c r="X745" s="9">
        <f>-IF(C745=1,LN(W745),LN(1-W745))</f>
        <v/>
      </c>
      <c r="Y745" s="8">
        <f>IF(C745=1,$AE$32,$AE$33)</f>
        <v/>
      </c>
      <c r="Z745" s="9">
        <f>Y745*X745</f>
        <v/>
      </c>
      <c r="AA745" s="10">
        <f>IF(W745&gt;$AE$34,1,0)</f>
        <v/>
      </c>
      <c r="AB745">
        <f>IF(AA745=C745,1,0)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$AE$12+D746*$AE$13+E746*$AE$14+F746*$AE$15+G746*$AE$16+H746*$AE$17+I746*$AE$18+J746*$AE$19+K746*$AE$20+L746*$AE$21+M746*$AE$22+N746*$AE$23+O746*$AE$24+P746*$AE$25+Q746*$AE$26+R746*$AE$27+S746*$AE$28+T746*$AE$29+U746*$AE$30</f>
        <v/>
      </c>
      <c r="W746" s="8">
        <f>1/(1+EXP(-V746))</f>
        <v/>
      </c>
      <c r="X746" s="9">
        <f>-IF(C746=1,LN(W746),LN(1-W746))</f>
        <v/>
      </c>
      <c r="Y746" s="8">
        <f>IF(C746=1,$AE$32,$AE$33)</f>
        <v/>
      </c>
      <c r="Z746" s="9">
        <f>Y746*X746</f>
        <v/>
      </c>
      <c r="AA746" s="10">
        <f>IF(W746&gt;$AE$34,1,0)</f>
        <v/>
      </c>
      <c r="AB746">
        <f>IF(AA746=C746,1,0)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$AE$12+D747*$AE$13+E747*$AE$14+F747*$AE$15+G747*$AE$16+H747*$AE$17+I747*$AE$18+J747*$AE$19+K747*$AE$20+L747*$AE$21+M747*$AE$22+N747*$AE$23+O747*$AE$24+P747*$AE$25+Q747*$AE$26+R747*$AE$27+S747*$AE$28+T747*$AE$29+U747*$AE$30</f>
        <v/>
      </c>
      <c r="W747" s="8">
        <f>1/(1+EXP(-V747))</f>
        <v/>
      </c>
      <c r="X747" s="9">
        <f>-IF(C747=1,LN(W747),LN(1-W747))</f>
        <v/>
      </c>
      <c r="Y747" s="8">
        <f>IF(C747=1,$AE$32,$AE$33)</f>
        <v/>
      </c>
      <c r="Z747" s="9">
        <f>Y747*X747</f>
        <v/>
      </c>
      <c r="AA747" s="10">
        <f>IF(W747&gt;$AE$34,1,0)</f>
        <v/>
      </c>
      <c r="AB747">
        <f>IF(AA747=C747,1,0)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$AE$12+D748*$AE$13+E748*$AE$14+F748*$AE$15+G748*$AE$16+H748*$AE$17+I748*$AE$18+J748*$AE$19+K748*$AE$20+L748*$AE$21+M748*$AE$22+N748*$AE$23+O748*$AE$24+P748*$AE$25+Q748*$AE$26+R748*$AE$27+S748*$AE$28+T748*$AE$29+U748*$AE$30</f>
        <v/>
      </c>
      <c r="W748" s="8">
        <f>1/(1+EXP(-V748))</f>
        <v/>
      </c>
      <c r="X748" s="9">
        <f>-IF(C748=1,LN(W748),LN(1-W748))</f>
        <v/>
      </c>
      <c r="Y748" s="8">
        <f>IF(C748=1,$AE$32,$AE$33)</f>
        <v/>
      </c>
      <c r="Z748" s="9">
        <f>Y748*X748</f>
        <v/>
      </c>
      <c r="AA748" s="10">
        <f>IF(W748&gt;$AE$34,1,0)</f>
        <v/>
      </c>
      <c r="AB748">
        <f>IF(AA748=C748,1,0)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$AE$12+D749*$AE$13+E749*$AE$14+F749*$AE$15+G749*$AE$16+H749*$AE$17+I749*$AE$18+J749*$AE$19+K749*$AE$20+L749*$AE$21+M749*$AE$22+N749*$AE$23+O749*$AE$24+P749*$AE$25+Q749*$AE$26+R749*$AE$27+S749*$AE$28+T749*$AE$29+U749*$AE$30</f>
        <v/>
      </c>
      <c r="W749" s="8">
        <f>1/(1+EXP(-V749))</f>
        <v/>
      </c>
      <c r="X749" s="9">
        <f>-IF(C749=1,LN(W749),LN(1-W749))</f>
        <v/>
      </c>
      <c r="Y749" s="8">
        <f>IF(C749=1,$AE$32,$AE$33)</f>
        <v/>
      </c>
      <c r="Z749" s="9">
        <f>Y749*X749</f>
        <v/>
      </c>
      <c r="AA749" s="10">
        <f>IF(W749&gt;$AE$34,1,0)</f>
        <v/>
      </c>
      <c r="AB749">
        <f>IF(AA749=C749,1,0)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$AE$12+D750*$AE$13+E750*$AE$14+F750*$AE$15+G750*$AE$16+H750*$AE$17+I750*$AE$18+J750*$AE$19+K750*$AE$20+L750*$AE$21+M750*$AE$22+N750*$AE$23+O750*$AE$24+P750*$AE$25+Q750*$AE$26+R750*$AE$27+S750*$AE$28+T750*$AE$29+U750*$AE$30</f>
        <v/>
      </c>
      <c r="W750" s="8">
        <f>1/(1+EXP(-V750))</f>
        <v/>
      </c>
      <c r="X750" s="9">
        <f>-IF(C750=1,LN(W750),LN(1-W750))</f>
        <v/>
      </c>
      <c r="Y750" s="8">
        <f>IF(C750=1,$AE$32,$AE$33)</f>
        <v/>
      </c>
      <c r="Z750" s="9">
        <f>Y750*X750</f>
        <v/>
      </c>
      <c r="AA750" s="10">
        <f>IF(W750&gt;$AE$34,1,0)</f>
        <v/>
      </c>
      <c r="AB750">
        <f>IF(AA750=C750,1,0)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$AE$12+D751*$AE$13+E751*$AE$14+F751*$AE$15+G751*$AE$16+H751*$AE$17+I751*$AE$18+J751*$AE$19+K751*$AE$20+L751*$AE$21+M751*$AE$22+N751*$AE$23+O751*$AE$24+P751*$AE$25+Q751*$AE$26+R751*$AE$27+S751*$AE$28+T751*$AE$29+U751*$AE$30</f>
        <v/>
      </c>
      <c r="W751" s="8">
        <f>1/(1+EXP(-V751))</f>
        <v/>
      </c>
      <c r="X751" s="9">
        <f>-IF(C751=1,LN(W751),LN(1-W751))</f>
        <v/>
      </c>
      <c r="Y751" s="8">
        <f>IF(C751=1,$AE$32,$AE$33)</f>
        <v/>
      </c>
      <c r="Z751" s="9">
        <f>Y751*X751</f>
        <v/>
      </c>
      <c r="AA751" s="10">
        <f>IF(W751&gt;$AE$34,1,0)</f>
        <v/>
      </c>
      <c r="AB751">
        <f>IF(AA751=C751,1,0)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$AE$12+D752*$AE$13+E752*$AE$14+F752*$AE$15+G752*$AE$16+H752*$AE$17+I752*$AE$18+J752*$AE$19+K752*$AE$20+L752*$AE$21+M752*$AE$22+N752*$AE$23+O752*$AE$24+P752*$AE$25+Q752*$AE$26+R752*$AE$27+S752*$AE$28+T752*$AE$29+U752*$AE$30</f>
        <v/>
      </c>
      <c r="W752" s="8">
        <f>1/(1+EXP(-V752))</f>
        <v/>
      </c>
      <c r="X752" s="9">
        <f>-IF(C752=1,LN(W752),LN(1-W752))</f>
        <v/>
      </c>
      <c r="Y752" s="8">
        <f>IF(C752=1,$AE$32,$AE$33)</f>
        <v/>
      </c>
      <c r="Z752" s="9">
        <f>Y752*X752</f>
        <v/>
      </c>
      <c r="AA752" s="10">
        <f>IF(W752&gt;$AE$34,1,0)</f>
        <v/>
      </c>
      <c r="AB752">
        <f>IF(AA752=C752,1,0)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$AE$12+D753*$AE$13+E753*$AE$14+F753*$AE$15+G753*$AE$16+H753*$AE$17+I753*$AE$18+J753*$AE$19+K753*$AE$20+L753*$AE$21+M753*$AE$22+N753*$AE$23+O753*$AE$24+P753*$AE$25+Q753*$AE$26+R753*$AE$27+S753*$AE$28+T753*$AE$29+U753*$AE$30</f>
        <v/>
      </c>
      <c r="W753" s="8">
        <f>1/(1+EXP(-V753))</f>
        <v/>
      </c>
      <c r="X753" s="9">
        <f>-IF(C753=1,LN(W753),LN(1-W753))</f>
        <v/>
      </c>
      <c r="Y753" s="8">
        <f>IF(C753=1,$AE$32,$AE$33)</f>
        <v/>
      </c>
      <c r="Z753" s="9">
        <f>Y753*X753</f>
        <v/>
      </c>
      <c r="AA753" s="10">
        <f>IF(W753&gt;$AE$34,1,0)</f>
        <v/>
      </c>
      <c r="AB753">
        <f>IF(AA753=C753,1,0)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$AE$12+D754*$AE$13+E754*$AE$14+F754*$AE$15+G754*$AE$16+H754*$AE$17+I754*$AE$18+J754*$AE$19+K754*$AE$20+L754*$AE$21+M754*$AE$22+N754*$AE$23+O754*$AE$24+P754*$AE$25+Q754*$AE$26+R754*$AE$27+S754*$AE$28+T754*$AE$29+U754*$AE$30</f>
        <v/>
      </c>
      <c r="W754" s="8">
        <f>1/(1+EXP(-V754))</f>
        <v/>
      </c>
      <c r="X754" s="9">
        <f>-IF(C754=1,LN(W754),LN(1-W754))</f>
        <v/>
      </c>
      <c r="Y754" s="8">
        <f>IF(C754=1,$AE$32,$AE$33)</f>
        <v/>
      </c>
      <c r="Z754" s="9">
        <f>Y754*X754</f>
        <v/>
      </c>
      <c r="AA754" s="10">
        <f>IF(W754&gt;$AE$34,1,0)</f>
        <v/>
      </c>
      <c r="AB754">
        <f>IF(AA754=C754,1,0)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$AE$12+D755*$AE$13+E755*$AE$14+F755*$AE$15+G755*$AE$16+H755*$AE$17+I755*$AE$18+J755*$AE$19+K755*$AE$20+L755*$AE$21+M755*$AE$22+N755*$AE$23+O755*$AE$24+P755*$AE$25+Q755*$AE$26+R755*$AE$27+S755*$AE$28+T755*$AE$29+U755*$AE$30</f>
        <v/>
      </c>
      <c r="W755" s="8">
        <f>1/(1+EXP(-V755))</f>
        <v/>
      </c>
      <c r="X755" s="9">
        <f>-IF(C755=1,LN(W755),LN(1-W755))</f>
        <v/>
      </c>
      <c r="Y755" s="8">
        <f>IF(C755=1,$AE$32,$AE$33)</f>
        <v/>
      </c>
      <c r="Z755" s="9">
        <f>Y755*X755</f>
        <v/>
      </c>
      <c r="AA755" s="10">
        <f>IF(W755&gt;$AE$34,1,0)</f>
        <v/>
      </c>
      <c r="AB755">
        <f>IF(AA755=C755,1,0)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$AE$12+D756*$AE$13+E756*$AE$14+F756*$AE$15+G756*$AE$16+H756*$AE$17+I756*$AE$18+J756*$AE$19+K756*$AE$20+L756*$AE$21+M756*$AE$22+N756*$AE$23+O756*$AE$24+P756*$AE$25+Q756*$AE$26+R756*$AE$27+S756*$AE$28+T756*$AE$29+U756*$AE$30</f>
        <v/>
      </c>
      <c r="W756" s="8">
        <f>1/(1+EXP(-V756))</f>
        <v/>
      </c>
      <c r="X756" s="9">
        <f>-IF(C756=1,LN(W756),LN(1-W756))</f>
        <v/>
      </c>
      <c r="Y756" s="8">
        <f>IF(C756=1,$AE$32,$AE$33)</f>
        <v/>
      </c>
      <c r="Z756" s="9">
        <f>Y756*X756</f>
        <v/>
      </c>
      <c r="AA756" s="10">
        <f>IF(W756&gt;$AE$34,1,0)</f>
        <v/>
      </c>
      <c r="AB756">
        <f>IF(AA756=C756,1,0)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$AE$12+D757*$AE$13+E757*$AE$14+F757*$AE$15+G757*$AE$16+H757*$AE$17+I757*$AE$18+J757*$AE$19+K757*$AE$20+L757*$AE$21+M757*$AE$22+N757*$AE$23+O757*$AE$24+P757*$AE$25+Q757*$AE$26+R757*$AE$27+S757*$AE$28+T757*$AE$29+U757*$AE$30</f>
        <v/>
      </c>
      <c r="W757" s="8">
        <f>1/(1+EXP(-V757))</f>
        <v/>
      </c>
      <c r="X757" s="9">
        <f>-IF(C757=1,LN(W757),LN(1-W757))</f>
        <v/>
      </c>
      <c r="Y757" s="8">
        <f>IF(C757=1,$AE$32,$AE$33)</f>
        <v/>
      </c>
      <c r="Z757" s="9">
        <f>Y757*X757</f>
        <v/>
      </c>
      <c r="AA757" s="10">
        <f>IF(W757&gt;$AE$34,1,0)</f>
        <v/>
      </c>
      <c r="AB757">
        <f>IF(AA757=C757,1,0)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$AE$12+D758*$AE$13+E758*$AE$14+F758*$AE$15+G758*$AE$16+H758*$AE$17+I758*$AE$18+J758*$AE$19+K758*$AE$20+L758*$AE$21+M758*$AE$22+N758*$AE$23+O758*$AE$24+P758*$AE$25+Q758*$AE$26+R758*$AE$27+S758*$AE$28+T758*$AE$29+U758*$AE$30</f>
        <v/>
      </c>
      <c r="W758" s="8">
        <f>1/(1+EXP(-V758))</f>
        <v/>
      </c>
      <c r="X758" s="9">
        <f>-IF(C758=1,LN(W758),LN(1-W758))</f>
        <v/>
      </c>
      <c r="Y758" s="8">
        <f>IF(C758=1,$AE$32,$AE$33)</f>
        <v/>
      </c>
      <c r="Z758" s="9">
        <f>Y758*X758</f>
        <v/>
      </c>
      <c r="AA758" s="10">
        <f>IF(W758&gt;$AE$34,1,0)</f>
        <v/>
      </c>
      <c r="AB758">
        <f>IF(AA758=C758,1,0)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$AE$12+D759*$AE$13+E759*$AE$14+F759*$AE$15+G759*$AE$16+H759*$AE$17+I759*$AE$18+J759*$AE$19+K759*$AE$20+L759*$AE$21+M759*$AE$22+N759*$AE$23+O759*$AE$24+P759*$AE$25+Q759*$AE$26+R759*$AE$27+S759*$AE$28+T759*$AE$29+U759*$AE$30</f>
        <v/>
      </c>
      <c r="W759" s="8">
        <f>1/(1+EXP(-V759))</f>
        <v/>
      </c>
      <c r="X759" s="9">
        <f>-IF(C759=1,LN(W759),LN(1-W759))</f>
        <v/>
      </c>
      <c r="Y759" s="8">
        <f>IF(C759=1,$AE$32,$AE$33)</f>
        <v/>
      </c>
      <c r="Z759" s="9">
        <f>Y759*X759</f>
        <v/>
      </c>
      <c r="AA759" s="10">
        <f>IF(W759&gt;$AE$34,1,0)</f>
        <v/>
      </c>
      <c r="AB759">
        <f>IF(AA759=C759,1,0)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$AE$12+D760*$AE$13+E760*$AE$14+F760*$AE$15+G760*$AE$16+H760*$AE$17+I760*$AE$18+J760*$AE$19+K760*$AE$20+L760*$AE$21+M760*$AE$22+N760*$AE$23+O760*$AE$24+P760*$AE$25+Q760*$AE$26+R760*$AE$27+S760*$AE$28+T760*$AE$29+U760*$AE$30</f>
        <v/>
      </c>
      <c r="W760" s="8">
        <f>1/(1+EXP(-V760))</f>
        <v/>
      </c>
      <c r="X760" s="9">
        <f>-IF(C760=1,LN(W760),LN(1-W760))</f>
        <v/>
      </c>
      <c r="Y760" s="8">
        <f>IF(C760=1,$AE$32,$AE$33)</f>
        <v/>
      </c>
      <c r="Z760" s="9">
        <f>Y760*X760</f>
        <v/>
      </c>
      <c r="AA760" s="10">
        <f>IF(W760&gt;$AE$34,1,0)</f>
        <v/>
      </c>
      <c r="AB760">
        <f>IF(AA760=C760,1,0)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$AE$12+D761*$AE$13+E761*$AE$14+F761*$AE$15+G761*$AE$16+H761*$AE$17+I761*$AE$18+J761*$AE$19+K761*$AE$20+L761*$AE$21+M761*$AE$22+N761*$AE$23+O761*$AE$24+P761*$AE$25+Q761*$AE$26+R761*$AE$27+S761*$AE$28+T761*$AE$29+U761*$AE$30</f>
        <v/>
      </c>
      <c r="W761" s="8">
        <f>1/(1+EXP(-V761))</f>
        <v/>
      </c>
      <c r="X761" s="9">
        <f>-IF(C761=1,LN(W761),LN(1-W761))</f>
        <v/>
      </c>
      <c r="Y761" s="8">
        <f>IF(C761=1,$AE$32,$AE$33)</f>
        <v/>
      </c>
      <c r="Z761" s="9">
        <f>Y761*X761</f>
        <v/>
      </c>
      <c r="AA761" s="10">
        <f>IF(W761&gt;$AE$34,1,0)</f>
        <v/>
      </c>
      <c r="AB761">
        <f>IF(AA761=C761,1,0)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$AE$12+D762*$AE$13+E762*$AE$14+F762*$AE$15+G762*$AE$16+H762*$AE$17+I762*$AE$18+J762*$AE$19+K762*$AE$20+L762*$AE$21+M762*$AE$22+N762*$AE$23+O762*$AE$24+P762*$AE$25+Q762*$AE$26+R762*$AE$27+S762*$AE$28+T762*$AE$29+U762*$AE$30</f>
        <v/>
      </c>
      <c r="W762" s="8">
        <f>1/(1+EXP(-V762))</f>
        <v/>
      </c>
      <c r="X762" s="9">
        <f>-IF(C762=1,LN(W762),LN(1-W762))</f>
        <v/>
      </c>
      <c r="Y762" s="8">
        <f>IF(C762=1,$AE$32,$AE$33)</f>
        <v/>
      </c>
      <c r="Z762" s="9">
        <f>Y762*X762</f>
        <v/>
      </c>
      <c r="AA762" s="10">
        <f>IF(W762&gt;$AE$34,1,0)</f>
        <v/>
      </c>
      <c r="AB762">
        <f>IF(AA762=C762,1,0)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$AE$12+D763*$AE$13+E763*$AE$14+F763*$AE$15+G763*$AE$16+H763*$AE$17+I763*$AE$18+J763*$AE$19+K763*$AE$20+L763*$AE$21+M763*$AE$22+N763*$AE$23+O763*$AE$24+P763*$AE$25+Q763*$AE$26+R763*$AE$27+S763*$AE$28+T763*$AE$29+U763*$AE$30</f>
        <v/>
      </c>
      <c r="W763" s="8">
        <f>1/(1+EXP(-V763))</f>
        <v/>
      </c>
      <c r="X763" s="9">
        <f>-IF(C763=1,LN(W763),LN(1-W763))</f>
        <v/>
      </c>
      <c r="Y763" s="8">
        <f>IF(C763=1,$AE$32,$AE$33)</f>
        <v/>
      </c>
      <c r="Z763" s="9">
        <f>Y763*X763</f>
        <v/>
      </c>
      <c r="AA763" s="10">
        <f>IF(W763&gt;$AE$34,1,0)</f>
        <v/>
      </c>
      <c r="AB763">
        <f>IF(AA763=C763,1,0)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$AE$12+D764*$AE$13+E764*$AE$14+F764*$AE$15+G764*$AE$16+H764*$AE$17+I764*$AE$18+J764*$AE$19+K764*$AE$20+L764*$AE$21+M764*$AE$22+N764*$AE$23+O764*$AE$24+P764*$AE$25+Q764*$AE$26+R764*$AE$27+S764*$AE$28+T764*$AE$29+U764*$AE$30</f>
        <v/>
      </c>
      <c r="W764" s="8">
        <f>1/(1+EXP(-V764))</f>
        <v/>
      </c>
      <c r="X764" s="9">
        <f>-IF(C764=1,LN(W764),LN(1-W764))</f>
        <v/>
      </c>
      <c r="Y764" s="8">
        <f>IF(C764=1,$AE$32,$AE$33)</f>
        <v/>
      </c>
      <c r="Z764" s="9">
        <f>Y764*X764</f>
        <v/>
      </c>
      <c r="AA764" s="10">
        <f>IF(W764&gt;$AE$34,1,0)</f>
        <v/>
      </c>
      <c r="AB764">
        <f>IF(AA764=C764,1,0)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$AE$12+D765*$AE$13+E765*$AE$14+F765*$AE$15+G765*$AE$16+H765*$AE$17+I765*$AE$18+J765*$AE$19+K765*$AE$20+L765*$AE$21+M765*$AE$22+N765*$AE$23+O765*$AE$24+P765*$AE$25+Q765*$AE$26+R765*$AE$27+S765*$AE$28+T765*$AE$29+U765*$AE$30</f>
        <v/>
      </c>
      <c r="W765" s="8">
        <f>1/(1+EXP(-V765))</f>
        <v/>
      </c>
      <c r="X765" s="9">
        <f>-IF(C765=1,LN(W765),LN(1-W765))</f>
        <v/>
      </c>
      <c r="Y765" s="8">
        <f>IF(C765=1,$AE$32,$AE$33)</f>
        <v/>
      </c>
      <c r="Z765" s="9">
        <f>Y765*X765</f>
        <v/>
      </c>
      <c r="AA765" s="10">
        <f>IF(W765&gt;$AE$34,1,0)</f>
        <v/>
      </c>
      <c r="AB765">
        <f>IF(AA765=C765,1,0)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$AE$12+D766*$AE$13+E766*$AE$14+F766*$AE$15+G766*$AE$16+H766*$AE$17+I766*$AE$18+J766*$AE$19+K766*$AE$20+L766*$AE$21+M766*$AE$22+N766*$AE$23+O766*$AE$24+P766*$AE$25+Q766*$AE$26+R766*$AE$27+S766*$AE$28+T766*$AE$29+U766*$AE$30</f>
        <v/>
      </c>
      <c r="W766" s="8">
        <f>1/(1+EXP(-V766))</f>
        <v/>
      </c>
      <c r="X766" s="9">
        <f>-IF(C766=1,LN(W766),LN(1-W766))</f>
        <v/>
      </c>
      <c r="Y766" s="8">
        <f>IF(C766=1,$AE$32,$AE$33)</f>
        <v/>
      </c>
      <c r="Z766" s="9">
        <f>Y766*X766</f>
        <v/>
      </c>
      <c r="AA766" s="10">
        <f>IF(W766&gt;$AE$34,1,0)</f>
        <v/>
      </c>
      <c r="AB766">
        <f>IF(AA766=C766,1,0)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$AE$12+D767*$AE$13+E767*$AE$14+F767*$AE$15+G767*$AE$16+H767*$AE$17+I767*$AE$18+J767*$AE$19+K767*$AE$20+L767*$AE$21+M767*$AE$22+N767*$AE$23+O767*$AE$24+P767*$AE$25+Q767*$AE$26+R767*$AE$27+S767*$AE$28+T767*$AE$29+U767*$AE$30</f>
        <v/>
      </c>
      <c r="W767" s="8">
        <f>1/(1+EXP(-V767))</f>
        <v/>
      </c>
      <c r="X767" s="9">
        <f>-IF(C767=1,LN(W767),LN(1-W767))</f>
        <v/>
      </c>
      <c r="Y767" s="8">
        <f>IF(C767=1,$AE$32,$AE$33)</f>
        <v/>
      </c>
      <c r="Z767" s="9">
        <f>Y767*X767</f>
        <v/>
      </c>
      <c r="AA767" s="10">
        <f>IF(W767&gt;$AE$34,1,0)</f>
        <v/>
      </c>
      <c r="AB767">
        <f>IF(AA767=C767,1,0)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$AE$12+D768*$AE$13+E768*$AE$14+F768*$AE$15+G768*$AE$16+H768*$AE$17+I768*$AE$18+J768*$AE$19+K768*$AE$20+L768*$AE$21+M768*$AE$22+N768*$AE$23+O768*$AE$24+P768*$AE$25+Q768*$AE$26+R768*$AE$27+S768*$AE$28+T768*$AE$29+U768*$AE$30</f>
        <v/>
      </c>
      <c r="W768" s="8">
        <f>1/(1+EXP(-V768))</f>
        <v/>
      </c>
      <c r="X768" s="9">
        <f>-IF(C768=1,LN(W768),LN(1-W768))</f>
        <v/>
      </c>
      <c r="Y768" s="8">
        <f>IF(C768=1,$AE$32,$AE$33)</f>
        <v/>
      </c>
      <c r="Z768" s="9">
        <f>Y768*X768</f>
        <v/>
      </c>
      <c r="AA768" s="10">
        <f>IF(W768&gt;$AE$34,1,0)</f>
        <v/>
      </c>
      <c r="AB768">
        <f>IF(AA768=C768,1,0)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$AE$12+D769*$AE$13+E769*$AE$14+F769*$AE$15+G769*$AE$16+H769*$AE$17+I769*$AE$18+J769*$AE$19+K769*$AE$20+L769*$AE$21+M769*$AE$22+N769*$AE$23+O769*$AE$24+P769*$AE$25+Q769*$AE$26+R769*$AE$27+S769*$AE$28+T769*$AE$29+U769*$AE$30</f>
        <v/>
      </c>
      <c r="W769" s="8">
        <f>1/(1+EXP(-V769))</f>
        <v/>
      </c>
      <c r="X769" s="9">
        <f>-IF(C769=1,LN(W769),LN(1-W769))</f>
        <v/>
      </c>
      <c r="Y769" s="8">
        <f>IF(C769=1,$AE$32,$AE$33)</f>
        <v/>
      </c>
      <c r="Z769" s="9">
        <f>Y769*X769</f>
        <v/>
      </c>
      <c r="AA769" s="10">
        <f>IF(W769&gt;$AE$34,1,0)</f>
        <v/>
      </c>
      <c r="AB769">
        <f>IF(AA769=C769,1,0)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$AE$12+D770*$AE$13+E770*$AE$14+F770*$AE$15+G770*$AE$16+H770*$AE$17+I770*$AE$18+J770*$AE$19+K770*$AE$20+L770*$AE$21+M770*$AE$22+N770*$AE$23+O770*$AE$24+P770*$AE$25+Q770*$AE$26+R770*$AE$27+S770*$AE$28+T770*$AE$29+U770*$AE$30</f>
        <v/>
      </c>
      <c r="W770" s="8">
        <f>1/(1+EXP(-V770))</f>
        <v/>
      </c>
      <c r="X770" s="9">
        <f>-IF(C770=1,LN(W770),LN(1-W770))</f>
        <v/>
      </c>
      <c r="Y770" s="8">
        <f>IF(C770=1,$AE$32,$AE$33)</f>
        <v/>
      </c>
      <c r="Z770" s="9">
        <f>Y770*X770</f>
        <v/>
      </c>
      <c r="AA770" s="10">
        <f>IF(W770&gt;$AE$34,1,0)</f>
        <v/>
      </c>
      <c r="AB770">
        <f>IF(AA770=C770,1,0)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$AE$12+D771*$AE$13+E771*$AE$14+F771*$AE$15+G771*$AE$16+H771*$AE$17+I771*$AE$18+J771*$AE$19+K771*$AE$20+L771*$AE$21+M771*$AE$22+N771*$AE$23+O771*$AE$24+P771*$AE$25+Q771*$AE$26+R771*$AE$27+S771*$AE$28+T771*$AE$29+U771*$AE$30</f>
        <v/>
      </c>
      <c r="W771" s="8">
        <f>1/(1+EXP(-V771))</f>
        <v/>
      </c>
      <c r="X771" s="9">
        <f>-IF(C771=1,LN(W771),LN(1-W771))</f>
        <v/>
      </c>
      <c r="Y771" s="8">
        <f>IF(C771=1,$AE$32,$AE$33)</f>
        <v/>
      </c>
      <c r="Z771" s="9">
        <f>Y771*X771</f>
        <v/>
      </c>
      <c r="AA771" s="10">
        <f>IF(W771&gt;$AE$34,1,0)</f>
        <v/>
      </c>
      <c r="AB771">
        <f>IF(AA771=C771,1,0)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$AE$12+D772*$AE$13+E772*$AE$14+F772*$AE$15+G772*$AE$16+H772*$AE$17+I772*$AE$18+J772*$AE$19+K772*$AE$20+L772*$AE$21+M772*$AE$22+N772*$AE$23+O772*$AE$24+P772*$AE$25+Q772*$AE$26+R772*$AE$27+S772*$AE$28+T772*$AE$29+U772*$AE$30</f>
        <v/>
      </c>
      <c r="W772" s="8">
        <f>1/(1+EXP(-V772))</f>
        <v/>
      </c>
      <c r="X772" s="9">
        <f>-IF(C772=1,LN(W772),LN(1-W772))</f>
        <v/>
      </c>
      <c r="Y772" s="8">
        <f>IF(C772=1,$AE$32,$AE$33)</f>
        <v/>
      </c>
      <c r="Z772" s="9">
        <f>Y772*X772</f>
        <v/>
      </c>
      <c r="AA772" s="10">
        <f>IF(W772&gt;$AE$34,1,0)</f>
        <v/>
      </c>
      <c r="AB772">
        <f>IF(AA772=C772,1,0)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$AE$12+D773*$AE$13+E773*$AE$14+F773*$AE$15+G773*$AE$16+H773*$AE$17+I773*$AE$18+J773*$AE$19+K773*$AE$20+L773*$AE$21+M773*$AE$22+N773*$AE$23+O773*$AE$24+P773*$AE$25+Q773*$AE$26+R773*$AE$27+S773*$AE$28+T773*$AE$29+U773*$AE$30</f>
        <v/>
      </c>
      <c r="W773" s="8">
        <f>1/(1+EXP(-V773))</f>
        <v/>
      </c>
      <c r="X773" s="9">
        <f>-IF(C773=1,LN(W773),LN(1-W773))</f>
        <v/>
      </c>
      <c r="Y773" s="8">
        <f>IF(C773=1,$AE$32,$AE$33)</f>
        <v/>
      </c>
      <c r="Z773" s="9">
        <f>Y773*X773</f>
        <v/>
      </c>
      <c r="AA773" s="10">
        <f>IF(W773&gt;$AE$34,1,0)</f>
        <v/>
      </c>
      <c r="AB773">
        <f>IF(AA773=C773,1,0)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$AE$12+D774*$AE$13+E774*$AE$14+F774*$AE$15+G774*$AE$16+H774*$AE$17+I774*$AE$18+J774*$AE$19+K774*$AE$20+L774*$AE$21+M774*$AE$22+N774*$AE$23+O774*$AE$24+P774*$AE$25+Q774*$AE$26+R774*$AE$27+S774*$AE$28+T774*$AE$29+U774*$AE$30</f>
        <v/>
      </c>
      <c r="W774" s="8">
        <f>1/(1+EXP(-V774))</f>
        <v/>
      </c>
      <c r="X774" s="9">
        <f>-IF(C774=1,LN(W774),LN(1-W774))</f>
        <v/>
      </c>
      <c r="Y774" s="8">
        <f>IF(C774=1,$AE$32,$AE$33)</f>
        <v/>
      </c>
      <c r="Z774" s="9">
        <f>Y774*X774</f>
        <v/>
      </c>
      <c r="AA774" s="10">
        <f>IF(W774&gt;$AE$34,1,0)</f>
        <v/>
      </c>
      <c r="AB774">
        <f>IF(AA774=C774,1,0)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$AE$12+D775*$AE$13+E775*$AE$14+F775*$AE$15+G775*$AE$16+H775*$AE$17+I775*$AE$18+J775*$AE$19+K775*$AE$20+L775*$AE$21+M775*$AE$22+N775*$AE$23+O775*$AE$24+P775*$AE$25+Q775*$AE$26+R775*$AE$27+S775*$AE$28+T775*$AE$29+U775*$AE$30</f>
        <v/>
      </c>
      <c r="W775" s="8">
        <f>1/(1+EXP(-V775))</f>
        <v/>
      </c>
      <c r="X775" s="9">
        <f>-IF(C775=1,LN(W775),LN(1-W775))</f>
        <v/>
      </c>
      <c r="Y775" s="8">
        <f>IF(C775=1,$AE$32,$AE$33)</f>
        <v/>
      </c>
      <c r="Z775" s="9">
        <f>Y775*X775</f>
        <v/>
      </c>
      <c r="AA775" s="10">
        <f>IF(W775&gt;$AE$34,1,0)</f>
        <v/>
      </c>
      <c r="AB775">
        <f>IF(AA775=C775,1,0)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$AE$12+D776*$AE$13+E776*$AE$14+F776*$AE$15+G776*$AE$16+H776*$AE$17+I776*$AE$18+J776*$AE$19+K776*$AE$20+L776*$AE$21+M776*$AE$22+N776*$AE$23+O776*$AE$24+P776*$AE$25+Q776*$AE$26+R776*$AE$27+S776*$AE$28+T776*$AE$29+U776*$AE$30</f>
        <v/>
      </c>
      <c r="W776" s="8">
        <f>1/(1+EXP(-V776))</f>
        <v/>
      </c>
      <c r="X776" s="9">
        <f>-IF(C776=1,LN(W776),LN(1-W776))</f>
        <v/>
      </c>
      <c r="Y776" s="8">
        <f>IF(C776=1,$AE$32,$AE$33)</f>
        <v/>
      </c>
      <c r="Z776" s="9">
        <f>Y776*X776</f>
        <v/>
      </c>
      <c r="AA776" s="10">
        <f>IF(W776&gt;$AE$34,1,0)</f>
        <v/>
      </c>
      <c r="AB776">
        <f>IF(AA776=C776,1,0)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$AE$12+D777*$AE$13+E777*$AE$14+F777*$AE$15+G777*$AE$16+H777*$AE$17+I777*$AE$18+J777*$AE$19+K777*$AE$20+L777*$AE$21+M777*$AE$22+N777*$AE$23+O777*$AE$24+P777*$AE$25+Q777*$AE$26+R777*$AE$27+S777*$AE$28+T777*$AE$29+U777*$AE$30</f>
        <v/>
      </c>
      <c r="W777" s="8">
        <f>1/(1+EXP(-V777))</f>
        <v/>
      </c>
      <c r="X777" s="9">
        <f>-IF(C777=1,LN(W777),LN(1-W777))</f>
        <v/>
      </c>
      <c r="Y777" s="8">
        <f>IF(C777=1,$AE$32,$AE$33)</f>
        <v/>
      </c>
      <c r="Z777" s="9">
        <f>Y777*X777</f>
        <v/>
      </c>
      <c r="AA777" s="10">
        <f>IF(W777&gt;$AE$34,1,0)</f>
        <v/>
      </c>
      <c r="AB777">
        <f>IF(AA777=C777,1,0)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$AE$12+D778*$AE$13+E778*$AE$14+F778*$AE$15+G778*$AE$16+H778*$AE$17+I778*$AE$18+J778*$AE$19+K778*$AE$20+L778*$AE$21+M778*$AE$22+N778*$AE$23+O778*$AE$24+P778*$AE$25+Q778*$AE$26+R778*$AE$27+S778*$AE$28+T778*$AE$29+U778*$AE$30</f>
        <v/>
      </c>
      <c r="W778" s="8">
        <f>1/(1+EXP(-V778))</f>
        <v/>
      </c>
      <c r="X778" s="9">
        <f>-IF(C778=1,LN(W778),LN(1-W778))</f>
        <v/>
      </c>
      <c r="Y778" s="8">
        <f>IF(C778=1,$AE$32,$AE$33)</f>
        <v/>
      </c>
      <c r="Z778" s="9">
        <f>Y778*X778</f>
        <v/>
      </c>
      <c r="AA778" s="10">
        <f>IF(W778&gt;$AE$34,1,0)</f>
        <v/>
      </c>
      <c r="AB778">
        <f>IF(AA778=C778,1,0)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$AE$12+D779*$AE$13+E779*$AE$14+F779*$AE$15+G779*$AE$16+H779*$AE$17+I779*$AE$18+J779*$AE$19+K779*$AE$20+L779*$AE$21+M779*$AE$22+N779*$AE$23+O779*$AE$24+P779*$AE$25+Q779*$AE$26+R779*$AE$27+S779*$AE$28+T779*$AE$29+U779*$AE$30</f>
        <v/>
      </c>
      <c r="W779" s="8">
        <f>1/(1+EXP(-V779))</f>
        <v/>
      </c>
      <c r="X779" s="9">
        <f>-IF(C779=1,LN(W779),LN(1-W779))</f>
        <v/>
      </c>
      <c r="Y779" s="8">
        <f>IF(C779=1,$AE$32,$AE$33)</f>
        <v/>
      </c>
      <c r="Z779" s="9">
        <f>Y779*X779</f>
        <v/>
      </c>
      <c r="AA779" s="10">
        <f>IF(W779&gt;$AE$34,1,0)</f>
        <v/>
      </c>
      <c r="AB779">
        <f>IF(AA779=C779,1,0)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$AE$12+D780*$AE$13+E780*$AE$14+F780*$AE$15+G780*$AE$16+H780*$AE$17+I780*$AE$18+J780*$AE$19+K780*$AE$20+L780*$AE$21+M780*$AE$22+N780*$AE$23+O780*$AE$24+P780*$AE$25+Q780*$AE$26+R780*$AE$27+S780*$AE$28+T780*$AE$29+U780*$AE$30</f>
        <v/>
      </c>
      <c r="W780" s="8">
        <f>1/(1+EXP(-V780))</f>
        <v/>
      </c>
      <c r="X780" s="9">
        <f>-IF(C780=1,LN(W780),LN(1-W780))</f>
        <v/>
      </c>
      <c r="Y780" s="8">
        <f>IF(C780=1,$AE$32,$AE$33)</f>
        <v/>
      </c>
      <c r="Z780" s="9">
        <f>Y780*X780</f>
        <v/>
      </c>
      <c r="AA780" s="10">
        <f>IF(W780&gt;$AE$34,1,0)</f>
        <v/>
      </c>
      <c r="AB780">
        <f>IF(AA780=C780,1,0)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$AE$12+D781*$AE$13+E781*$AE$14+F781*$AE$15+G781*$AE$16+H781*$AE$17+I781*$AE$18+J781*$AE$19+K781*$AE$20+L781*$AE$21+M781*$AE$22+N781*$AE$23+O781*$AE$24+P781*$AE$25+Q781*$AE$26+R781*$AE$27+S781*$AE$28+T781*$AE$29+U781*$AE$30</f>
        <v/>
      </c>
      <c r="W781" s="8">
        <f>1/(1+EXP(-V781))</f>
        <v/>
      </c>
      <c r="X781" s="9">
        <f>-IF(C781=1,LN(W781),LN(1-W781))</f>
        <v/>
      </c>
      <c r="Y781" s="8">
        <f>IF(C781=1,$AE$32,$AE$33)</f>
        <v/>
      </c>
      <c r="Z781" s="9">
        <f>Y781*X781</f>
        <v/>
      </c>
      <c r="AA781" s="10">
        <f>IF(W781&gt;$AE$34,1,0)</f>
        <v/>
      </c>
      <c r="AB781">
        <f>IF(AA781=C781,1,0)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$AE$12+D782*$AE$13+E782*$AE$14+F782*$AE$15+G782*$AE$16+H782*$AE$17+I782*$AE$18+J782*$AE$19+K782*$AE$20+L782*$AE$21+M782*$AE$22+N782*$AE$23+O782*$AE$24+P782*$AE$25+Q782*$AE$26+R782*$AE$27+S782*$AE$28+T782*$AE$29+U782*$AE$30</f>
        <v/>
      </c>
      <c r="W782" s="8">
        <f>1/(1+EXP(-V782))</f>
        <v/>
      </c>
      <c r="X782" s="9">
        <f>-IF(C782=1,LN(W782),LN(1-W782))</f>
        <v/>
      </c>
      <c r="Y782" s="8">
        <f>IF(C782=1,$AE$32,$AE$33)</f>
        <v/>
      </c>
      <c r="Z782" s="9">
        <f>Y782*X782</f>
        <v/>
      </c>
      <c r="AA782" s="10">
        <f>IF(W782&gt;$AE$34,1,0)</f>
        <v/>
      </c>
      <c r="AB782">
        <f>IF(AA782=C782,1,0)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$AE$12+D783*$AE$13+E783*$AE$14+F783*$AE$15+G783*$AE$16+H783*$AE$17+I783*$AE$18+J783*$AE$19+K783*$AE$20+L783*$AE$21+M783*$AE$22+N783*$AE$23+O783*$AE$24+P783*$AE$25+Q783*$AE$26+R783*$AE$27+S783*$AE$28+T783*$AE$29+U783*$AE$30</f>
        <v/>
      </c>
      <c r="W783" s="8">
        <f>1/(1+EXP(-V783))</f>
        <v/>
      </c>
      <c r="X783" s="9">
        <f>-IF(C783=1,LN(W783),LN(1-W783))</f>
        <v/>
      </c>
      <c r="Y783" s="8">
        <f>IF(C783=1,$AE$32,$AE$33)</f>
        <v/>
      </c>
      <c r="Z783" s="9">
        <f>Y783*X783</f>
        <v/>
      </c>
      <c r="AA783" s="10">
        <f>IF(W783&gt;$AE$34,1,0)</f>
        <v/>
      </c>
      <c r="AB783">
        <f>IF(AA783=C783,1,0)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$AE$12+D784*$AE$13+E784*$AE$14+F784*$AE$15+G784*$AE$16+H784*$AE$17+I784*$AE$18+J784*$AE$19+K784*$AE$20+L784*$AE$21+M784*$AE$22+N784*$AE$23+O784*$AE$24+P784*$AE$25+Q784*$AE$26+R784*$AE$27+S784*$AE$28+T784*$AE$29+U784*$AE$30</f>
        <v/>
      </c>
      <c r="W784" s="8">
        <f>1/(1+EXP(-V784))</f>
        <v/>
      </c>
      <c r="X784" s="9">
        <f>-IF(C784=1,LN(W784),LN(1-W784))</f>
        <v/>
      </c>
      <c r="Y784" s="8">
        <f>IF(C784=1,$AE$32,$AE$33)</f>
        <v/>
      </c>
      <c r="Z784" s="9">
        <f>Y784*X784</f>
        <v/>
      </c>
      <c r="AA784" s="10">
        <f>IF(W784&gt;$AE$34,1,0)</f>
        <v/>
      </c>
      <c r="AB784">
        <f>IF(AA784=C784,1,0)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$AE$12+D785*$AE$13+E785*$AE$14+F785*$AE$15+G785*$AE$16+H785*$AE$17+I785*$AE$18+J785*$AE$19+K785*$AE$20+L785*$AE$21+M785*$AE$22+N785*$AE$23+O785*$AE$24+P785*$AE$25+Q785*$AE$26+R785*$AE$27+S785*$AE$28+T785*$AE$29+U785*$AE$30</f>
        <v/>
      </c>
      <c r="W785" s="8">
        <f>1/(1+EXP(-V785))</f>
        <v/>
      </c>
      <c r="X785" s="9">
        <f>-IF(C785=1,LN(W785),LN(1-W785))</f>
        <v/>
      </c>
      <c r="Y785" s="8">
        <f>IF(C785=1,$AE$32,$AE$33)</f>
        <v/>
      </c>
      <c r="Z785" s="9">
        <f>Y785*X785</f>
        <v/>
      </c>
      <c r="AA785" s="10">
        <f>IF(W785&gt;$AE$34,1,0)</f>
        <v/>
      </c>
      <c r="AB785">
        <f>IF(AA785=C785,1,0)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$AE$12+D786*$AE$13+E786*$AE$14+F786*$AE$15+G786*$AE$16+H786*$AE$17+I786*$AE$18+J786*$AE$19+K786*$AE$20+L786*$AE$21+M786*$AE$22+N786*$AE$23+O786*$AE$24+P786*$AE$25+Q786*$AE$26+R786*$AE$27+S786*$AE$28+T786*$AE$29+U786*$AE$30</f>
        <v/>
      </c>
      <c r="W786" s="8">
        <f>1/(1+EXP(-V786))</f>
        <v/>
      </c>
      <c r="X786" s="9">
        <f>-IF(C786=1,LN(W786),LN(1-W786))</f>
        <v/>
      </c>
      <c r="Y786" s="8">
        <f>IF(C786=1,$AE$32,$AE$33)</f>
        <v/>
      </c>
      <c r="Z786" s="9">
        <f>Y786*X786</f>
        <v/>
      </c>
      <c r="AA786" s="10">
        <f>IF(W786&gt;$AE$34,1,0)</f>
        <v/>
      </c>
      <c r="AB786">
        <f>IF(AA786=C786,1,0)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$AE$12+D787*$AE$13+E787*$AE$14+F787*$AE$15+G787*$AE$16+H787*$AE$17+I787*$AE$18+J787*$AE$19+K787*$AE$20+L787*$AE$21+M787*$AE$22+N787*$AE$23+O787*$AE$24+P787*$AE$25+Q787*$AE$26+R787*$AE$27+S787*$AE$28+T787*$AE$29+U787*$AE$30</f>
        <v/>
      </c>
      <c r="W787" s="8">
        <f>1/(1+EXP(-V787))</f>
        <v/>
      </c>
      <c r="X787" s="9">
        <f>-IF(C787=1,LN(W787),LN(1-W787))</f>
        <v/>
      </c>
      <c r="Y787" s="8">
        <f>IF(C787=1,$AE$32,$AE$33)</f>
        <v/>
      </c>
      <c r="Z787" s="9">
        <f>Y787*X787</f>
        <v/>
      </c>
      <c r="AA787" s="10">
        <f>IF(W787&gt;$AE$34,1,0)</f>
        <v/>
      </c>
      <c r="AB787">
        <f>IF(AA787=C787,1,0)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$AE$12+D788*$AE$13+E788*$AE$14+F788*$AE$15+G788*$AE$16+H788*$AE$17+I788*$AE$18+J788*$AE$19+K788*$AE$20+L788*$AE$21+M788*$AE$22+N788*$AE$23+O788*$AE$24+P788*$AE$25+Q788*$AE$26+R788*$AE$27+S788*$AE$28+T788*$AE$29+U788*$AE$30</f>
        <v/>
      </c>
      <c r="W788" s="8">
        <f>1/(1+EXP(-V788))</f>
        <v/>
      </c>
      <c r="X788" s="9">
        <f>-IF(C788=1,LN(W788),LN(1-W788))</f>
        <v/>
      </c>
      <c r="Y788" s="8">
        <f>IF(C788=1,$AE$32,$AE$33)</f>
        <v/>
      </c>
      <c r="Z788" s="9">
        <f>Y788*X788</f>
        <v/>
      </c>
      <c r="AA788" s="10">
        <f>IF(W788&gt;$AE$34,1,0)</f>
        <v/>
      </c>
      <c r="AB788">
        <f>IF(AA788=C788,1,0)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$AE$12+D789*$AE$13+E789*$AE$14+F789*$AE$15+G789*$AE$16+H789*$AE$17+I789*$AE$18+J789*$AE$19+K789*$AE$20+L789*$AE$21+M789*$AE$22+N789*$AE$23+O789*$AE$24+P789*$AE$25+Q789*$AE$26+R789*$AE$27+S789*$AE$28+T789*$AE$29+U789*$AE$30</f>
        <v/>
      </c>
      <c r="W789" s="8">
        <f>1/(1+EXP(-V789))</f>
        <v/>
      </c>
      <c r="X789" s="9">
        <f>-IF(C789=1,LN(W789),LN(1-W789))</f>
        <v/>
      </c>
      <c r="Y789" s="8">
        <f>IF(C789=1,$AE$32,$AE$33)</f>
        <v/>
      </c>
      <c r="Z789" s="9">
        <f>Y789*X789</f>
        <v/>
      </c>
      <c r="AA789" s="10">
        <f>IF(W789&gt;$AE$34,1,0)</f>
        <v/>
      </c>
      <c r="AB789">
        <f>IF(AA789=C789,1,0)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$AE$12+D790*$AE$13+E790*$AE$14+F790*$AE$15+G790*$AE$16+H790*$AE$17+I790*$AE$18+J790*$AE$19+K790*$AE$20+L790*$AE$21+M790*$AE$22+N790*$AE$23+O790*$AE$24+P790*$AE$25+Q790*$AE$26+R790*$AE$27+S790*$AE$28+T790*$AE$29+U790*$AE$30</f>
        <v/>
      </c>
      <c r="W790" s="8">
        <f>1/(1+EXP(-V790))</f>
        <v/>
      </c>
      <c r="X790" s="9">
        <f>-IF(C790=1,LN(W790),LN(1-W790))</f>
        <v/>
      </c>
      <c r="Y790" s="8">
        <f>IF(C790=1,$AE$32,$AE$33)</f>
        <v/>
      </c>
      <c r="Z790" s="9">
        <f>Y790*X790</f>
        <v/>
      </c>
      <c r="AA790" s="10">
        <f>IF(W790&gt;$AE$34,1,0)</f>
        <v/>
      </c>
      <c r="AB790">
        <f>IF(AA790=C790,1,0)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$AE$12+D791*$AE$13+E791*$AE$14+F791*$AE$15+G791*$AE$16+H791*$AE$17+I791*$AE$18+J791*$AE$19+K791*$AE$20+L791*$AE$21+M791*$AE$22+N791*$AE$23+O791*$AE$24+P791*$AE$25+Q791*$AE$26+R791*$AE$27+S791*$AE$28+T791*$AE$29+U791*$AE$30</f>
        <v/>
      </c>
      <c r="W791" s="8">
        <f>1/(1+EXP(-V791))</f>
        <v/>
      </c>
      <c r="X791" s="9">
        <f>-IF(C791=1,LN(W791),LN(1-W791))</f>
        <v/>
      </c>
      <c r="Y791" s="8">
        <f>IF(C791=1,$AE$32,$AE$33)</f>
        <v/>
      </c>
      <c r="Z791" s="9">
        <f>Y791*X791</f>
        <v/>
      </c>
      <c r="AA791" s="10">
        <f>IF(W791&gt;$AE$34,1,0)</f>
        <v/>
      </c>
      <c r="AB791">
        <f>IF(AA791=C791,1,0)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$AE$12+D792*$AE$13+E792*$AE$14+F792*$AE$15+G792*$AE$16+H792*$AE$17+I792*$AE$18+J792*$AE$19+K792*$AE$20+L792*$AE$21+M792*$AE$22+N792*$AE$23+O792*$AE$24+P792*$AE$25+Q792*$AE$26+R792*$AE$27+S792*$AE$28+T792*$AE$29+U792*$AE$30</f>
        <v/>
      </c>
      <c r="W792" s="8">
        <f>1/(1+EXP(-V792))</f>
        <v/>
      </c>
      <c r="X792" s="9">
        <f>-IF(C792=1,LN(W792),LN(1-W792))</f>
        <v/>
      </c>
      <c r="Y792" s="8">
        <f>IF(C792=1,$AE$32,$AE$33)</f>
        <v/>
      </c>
      <c r="Z792" s="9">
        <f>Y792*X792</f>
        <v/>
      </c>
      <c r="AA792" s="10">
        <f>IF(W792&gt;$AE$34,1,0)</f>
        <v/>
      </c>
      <c r="AB792">
        <f>IF(AA792=C792,1,0)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$AE$12+D793*$AE$13+E793*$AE$14+F793*$AE$15+G793*$AE$16+H793*$AE$17+I793*$AE$18+J793*$AE$19+K793*$AE$20+L793*$AE$21+M793*$AE$22+N793*$AE$23+O793*$AE$24+P793*$AE$25+Q793*$AE$26+R793*$AE$27+S793*$AE$28+T793*$AE$29+U793*$AE$30</f>
        <v/>
      </c>
      <c r="W793" s="8">
        <f>1/(1+EXP(-V793))</f>
        <v/>
      </c>
      <c r="X793" s="9">
        <f>-IF(C793=1,LN(W793),LN(1-W793))</f>
        <v/>
      </c>
      <c r="Y793" s="8">
        <f>IF(C793=1,$AE$32,$AE$33)</f>
        <v/>
      </c>
      <c r="Z793" s="9">
        <f>Y793*X793</f>
        <v/>
      </c>
      <c r="AA793" s="10">
        <f>IF(W793&gt;$AE$34,1,0)</f>
        <v/>
      </c>
      <c r="AB793">
        <f>IF(AA793=C793,1,0)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$AE$12+D794*$AE$13+E794*$AE$14+F794*$AE$15+G794*$AE$16+H794*$AE$17+I794*$AE$18+J794*$AE$19+K794*$AE$20+L794*$AE$21+M794*$AE$22+N794*$AE$23+O794*$AE$24+P794*$AE$25+Q794*$AE$26+R794*$AE$27+S794*$AE$28+T794*$AE$29+U794*$AE$30</f>
        <v/>
      </c>
      <c r="W794" s="8">
        <f>1/(1+EXP(-V794))</f>
        <v/>
      </c>
      <c r="X794" s="9">
        <f>-IF(C794=1,LN(W794),LN(1-W794))</f>
        <v/>
      </c>
      <c r="Y794" s="8">
        <f>IF(C794=1,$AE$32,$AE$33)</f>
        <v/>
      </c>
      <c r="Z794" s="9">
        <f>Y794*X794</f>
        <v/>
      </c>
      <c r="AA794" s="10">
        <f>IF(W794&gt;$AE$34,1,0)</f>
        <v/>
      </c>
      <c r="AB794">
        <f>IF(AA794=C794,1,0)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$AE$12+D795*$AE$13+E795*$AE$14+F795*$AE$15+G795*$AE$16+H795*$AE$17+I795*$AE$18+J795*$AE$19+K795*$AE$20+L795*$AE$21+M795*$AE$22+N795*$AE$23+O795*$AE$24+P795*$AE$25+Q795*$AE$26+R795*$AE$27+S795*$AE$28+T795*$AE$29+U795*$AE$30</f>
        <v/>
      </c>
      <c r="W795" s="8">
        <f>1/(1+EXP(-V795))</f>
        <v/>
      </c>
      <c r="X795" s="9">
        <f>-IF(C795=1,LN(W795),LN(1-W795))</f>
        <v/>
      </c>
      <c r="Y795" s="8">
        <f>IF(C795=1,$AE$32,$AE$33)</f>
        <v/>
      </c>
      <c r="Z795" s="9">
        <f>Y795*X795</f>
        <v/>
      </c>
      <c r="AA795" s="10">
        <f>IF(W795&gt;$AE$34,1,0)</f>
        <v/>
      </c>
      <c r="AB795">
        <f>IF(AA795=C795,1,0)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$AE$12+D796*$AE$13+E796*$AE$14+F796*$AE$15+G796*$AE$16+H796*$AE$17+I796*$AE$18+J796*$AE$19+K796*$AE$20+L796*$AE$21+M796*$AE$22+N796*$AE$23+O796*$AE$24+P796*$AE$25+Q796*$AE$26+R796*$AE$27+S796*$AE$28+T796*$AE$29+U796*$AE$30</f>
        <v/>
      </c>
      <c r="W796" s="8">
        <f>1/(1+EXP(-V796))</f>
        <v/>
      </c>
      <c r="X796" s="9">
        <f>-IF(C796=1,LN(W796),LN(1-W796))</f>
        <v/>
      </c>
      <c r="Y796" s="8">
        <f>IF(C796=1,$AE$32,$AE$33)</f>
        <v/>
      </c>
      <c r="Z796" s="9">
        <f>Y796*X796</f>
        <v/>
      </c>
      <c r="AA796" s="10">
        <f>IF(W796&gt;$AE$34,1,0)</f>
        <v/>
      </c>
      <c r="AB796">
        <f>IF(AA796=C796,1,0)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$AE$12+D797*$AE$13+E797*$AE$14+F797*$AE$15+G797*$AE$16+H797*$AE$17+I797*$AE$18+J797*$AE$19+K797*$AE$20+L797*$AE$21+M797*$AE$22+N797*$AE$23+O797*$AE$24+P797*$AE$25+Q797*$AE$26+R797*$AE$27+S797*$AE$28+T797*$AE$29+U797*$AE$30</f>
        <v/>
      </c>
      <c r="W797" s="8">
        <f>1/(1+EXP(-V797))</f>
        <v/>
      </c>
      <c r="X797" s="9">
        <f>-IF(C797=1,LN(W797),LN(1-W797))</f>
        <v/>
      </c>
      <c r="Y797" s="8">
        <f>IF(C797=1,$AE$32,$AE$33)</f>
        <v/>
      </c>
      <c r="Z797" s="9">
        <f>Y797*X797</f>
        <v/>
      </c>
      <c r="AA797" s="10">
        <f>IF(W797&gt;$AE$34,1,0)</f>
        <v/>
      </c>
      <c r="AB797">
        <f>IF(AA797=C797,1,0)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$AE$12+D798*$AE$13+E798*$AE$14+F798*$AE$15+G798*$AE$16+H798*$AE$17+I798*$AE$18+J798*$AE$19+K798*$AE$20+L798*$AE$21+M798*$AE$22+N798*$AE$23+O798*$AE$24+P798*$AE$25+Q798*$AE$26+R798*$AE$27+S798*$AE$28+T798*$AE$29+U798*$AE$30</f>
        <v/>
      </c>
      <c r="W798" s="8">
        <f>1/(1+EXP(-V798))</f>
        <v/>
      </c>
      <c r="X798" s="9">
        <f>-IF(C798=1,LN(W798),LN(1-W798))</f>
        <v/>
      </c>
      <c r="Y798" s="8">
        <f>IF(C798=1,$AE$32,$AE$33)</f>
        <v/>
      </c>
      <c r="Z798" s="9">
        <f>Y798*X798</f>
        <v/>
      </c>
      <c r="AA798" s="10">
        <f>IF(W798&gt;$AE$34,1,0)</f>
        <v/>
      </c>
      <c r="AB798">
        <f>IF(AA798=C798,1,0)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$AE$12+D799*$AE$13+E799*$AE$14+F799*$AE$15+G799*$AE$16+H799*$AE$17+I799*$AE$18+J799*$AE$19+K799*$AE$20+L799*$AE$21+M799*$AE$22+N799*$AE$23+O799*$AE$24+P799*$AE$25+Q799*$AE$26+R799*$AE$27+S799*$AE$28+T799*$AE$29+U799*$AE$30</f>
        <v/>
      </c>
      <c r="W799" s="8">
        <f>1/(1+EXP(-V799))</f>
        <v/>
      </c>
      <c r="X799" s="9">
        <f>-IF(C799=1,LN(W799),LN(1-W799))</f>
        <v/>
      </c>
      <c r="Y799" s="8">
        <f>IF(C799=1,$AE$32,$AE$33)</f>
        <v/>
      </c>
      <c r="Z799" s="9">
        <f>Y799*X799</f>
        <v/>
      </c>
      <c r="AA799" s="10">
        <f>IF(W799&gt;$AE$34,1,0)</f>
        <v/>
      </c>
      <c r="AB799">
        <f>IF(AA799=C799,1,0)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$AE$12+D800*$AE$13+E800*$AE$14+F800*$AE$15+G800*$AE$16+H800*$AE$17+I800*$AE$18+J800*$AE$19+K800*$AE$20+L800*$AE$21+M800*$AE$22+N800*$AE$23+O800*$AE$24+P800*$AE$25+Q800*$AE$26+R800*$AE$27+S800*$AE$28+T800*$AE$29+U800*$AE$30</f>
        <v/>
      </c>
      <c r="W800" s="8">
        <f>1/(1+EXP(-V800))</f>
        <v/>
      </c>
      <c r="X800" s="9">
        <f>-IF(C800=1,LN(W800),LN(1-W800))</f>
        <v/>
      </c>
      <c r="Y800" s="8">
        <f>IF(C800=1,$AE$32,$AE$33)</f>
        <v/>
      </c>
      <c r="Z800" s="9">
        <f>Y800*X800</f>
        <v/>
      </c>
      <c r="AA800" s="10">
        <f>IF(W800&gt;$AE$34,1,0)</f>
        <v/>
      </c>
      <c r="AB800">
        <f>IF(AA800=C800,1,0)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$AE$12+D801*$AE$13+E801*$AE$14+F801*$AE$15+G801*$AE$16+H801*$AE$17+I801*$AE$18+J801*$AE$19+K801*$AE$20+L801*$AE$21+M801*$AE$22+N801*$AE$23+O801*$AE$24+P801*$AE$25+Q801*$AE$26+R801*$AE$27+S801*$AE$28+T801*$AE$29+U801*$AE$30</f>
        <v/>
      </c>
      <c r="W801" s="8">
        <f>1/(1+EXP(-V801))</f>
        <v/>
      </c>
      <c r="X801" s="9">
        <f>-IF(C801=1,LN(W801),LN(1-W801))</f>
        <v/>
      </c>
      <c r="Y801" s="8">
        <f>IF(C801=1,$AE$32,$AE$33)</f>
        <v/>
      </c>
      <c r="Z801" s="9">
        <f>Y801*X801</f>
        <v/>
      </c>
      <c r="AA801" s="10">
        <f>IF(W801&gt;$AE$34,1,0)</f>
        <v/>
      </c>
      <c r="AB801">
        <f>IF(AA801=C801,1,0)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$AE$12+D802*$AE$13+E802*$AE$14+F802*$AE$15+G802*$AE$16+H802*$AE$17+I802*$AE$18+J802*$AE$19+K802*$AE$20+L802*$AE$21+M802*$AE$22+N802*$AE$23+O802*$AE$24+P802*$AE$25+Q802*$AE$26+R802*$AE$27+S802*$AE$28+T802*$AE$29+U802*$AE$30</f>
        <v/>
      </c>
      <c r="W802" s="8">
        <f>1/(1+EXP(-V802))</f>
        <v/>
      </c>
      <c r="X802" s="9">
        <f>-IF(C802=1,LN(W802),LN(1-W802))</f>
        <v/>
      </c>
      <c r="Y802" s="8">
        <f>IF(C802=1,$AE$32,$AE$33)</f>
        <v/>
      </c>
      <c r="Z802" s="9">
        <f>Y802*X802</f>
        <v/>
      </c>
      <c r="AA802" s="10">
        <f>IF(W802&gt;$AE$34,1,0)</f>
        <v/>
      </c>
      <c r="AB802">
        <f>IF(AA802=C802,1,0)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$AE$12+D803*$AE$13+E803*$AE$14+F803*$AE$15+G803*$AE$16+H803*$AE$17+I803*$AE$18+J803*$AE$19+K803*$AE$20+L803*$AE$21+M803*$AE$22+N803*$AE$23+O803*$AE$24+P803*$AE$25+Q803*$AE$26+R803*$AE$27+S803*$AE$28+T803*$AE$29+U803*$AE$30</f>
        <v/>
      </c>
      <c r="W803" s="8">
        <f>1/(1+EXP(-V803))</f>
        <v/>
      </c>
      <c r="X803" s="9">
        <f>-IF(C803=1,LN(W803),LN(1-W803))</f>
        <v/>
      </c>
      <c r="Y803" s="8">
        <f>IF(C803=1,$AE$32,$AE$33)</f>
        <v/>
      </c>
      <c r="Z803" s="9">
        <f>Y803*X803</f>
        <v/>
      </c>
      <c r="AA803" s="10">
        <f>IF(W803&gt;$AE$34,1,0)</f>
        <v/>
      </c>
      <c r="AB803">
        <f>IF(AA803=C803,1,0)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$AE$12+D804*$AE$13+E804*$AE$14+F804*$AE$15+G804*$AE$16+H804*$AE$17+I804*$AE$18+J804*$AE$19+K804*$AE$20+L804*$AE$21+M804*$AE$22+N804*$AE$23+O804*$AE$24+P804*$AE$25+Q804*$AE$26+R804*$AE$27+S804*$AE$28+T804*$AE$29+U804*$AE$30</f>
        <v/>
      </c>
      <c r="W804" s="8">
        <f>1/(1+EXP(-V804))</f>
        <v/>
      </c>
      <c r="X804" s="9">
        <f>-IF(C804=1,LN(W804),LN(1-W804))</f>
        <v/>
      </c>
      <c r="Y804" s="8">
        <f>IF(C804=1,$AE$32,$AE$33)</f>
        <v/>
      </c>
      <c r="Z804" s="9">
        <f>Y804*X804</f>
        <v/>
      </c>
      <c r="AA804" s="10">
        <f>IF(W804&gt;$AE$34,1,0)</f>
        <v/>
      </c>
      <c r="AB804">
        <f>IF(AA804=C804,1,0)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$AE$12+D805*$AE$13+E805*$AE$14+F805*$AE$15+G805*$AE$16+H805*$AE$17+I805*$AE$18+J805*$AE$19+K805*$AE$20+L805*$AE$21+M805*$AE$22+N805*$AE$23+O805*$AE$24+P805*$AE$25+Q805*$AE$26+R805*$AE$27+S805*$AE$28+T805*$AE$29+U805*$AE$30</f>
        <v/>
      </c>
      <c r="W805" s="8">
        <f>1/(1+EXP(-V805))</f>
        <v/>
      </c>
      <c r="X805" s="9">
        <f>-IF(C805=1,LN(W805),LN(1-W805))</f>
        <v/>
      </c>
      <c r="Y805" s="8">
        <f>IF(C805=1,$AE$32,$AE$33)</f>
        <v/>
      </c>
      <c r="Z805" s="9">
        <f>Y805*X805</f>
        <v/>
      </c>
      <c r="AA805" s="10">
        <f>IF(W805&gt;$AE$34,1,0)</f>
        <v/>
      </c>
      <c r="AB805">
        <f>IF(AA805=C805,1,0)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$AE$12+D806*$AE$13+E806*$AE$14+F806*$AE$15+G806*$AE$16+H806*$AE$17+I806*$AE$18+J806*$AE$19+K806*$AE$20+L806*$AE$21+M806*$AE$22+N806*$AE$23+O806*$AE$24+P806*$AE$25+Q806*$AE$26+R806*$AE$27+S806*$AE$28+T806*$AE$29+U806*$AE$30</f>
        <v/>
      </c>
      <c r="W806" s="8">
        <f>1/(1+EXP(-V806))</f>
        <v/>
      </c>
      <c r="X806" s="9">
        <f>-IF(C806=1,LN(W806),LN(1-W806))</f>
        <v/>
      </c>
      <c r="Y806" s="8">
        <f>IF(C806=1,$AE$32,$AE$33)</f>
        <v/>
      </c>
      <c r="Z806" s="9">
        <f>Y806*X806</f>
        <v/>
      </c>
      <c r="AA806" s="10">
        <f>IF(W806&gt;$AE$34,1,0)</f>
        <v/>
      </c>
      <c r="AB806">
        <f>IF(AA806=C806,1,0)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$AE$12+D807*$AE$13+E807*$AE$14+F807*$AE$15+G807*$AE$16+H807*$AE$17+I807*$AE$18+J807*$AE$19+K807*$AE$20+L807*$AE$21+M807*$AE$22+N807*$AE$23+O807*$AE$24+P807*$AE$25+Q807*$AE$26+R807*$AE$27+S807*$AE$28+T807*$AE$29+U807*$AE$30</f>
        <v/>
      </c>
      <c r="W807" s="8">
        <f>1/(1+EXP(-V807))</f>
        <v/>
      </c>
      <c r="X807" s="9">
        <f>-IF(C807=1,LN(W807),LN(1-W807))</f>
        <v/>
      </c>
      <c r="Y807" s="8">
        <f>IF(C807=1,$AE$32,$AE$33)</f>
        <v/>
      </c>
      <c r="Z807" s="9">
        <f>Y807*X807</f>
        <v/>
      </c>
      <c r="AA807" s="10">
        <f>IF(W807&gt;$AE$34,1,0)</f>
        <v/>
      </c>
      <c r="AB807">
        <f>IF(AA807=C807,1,0)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$AE$12+D808*$AE$13+E808*$AE$14+F808*$AE$15+G808*$AE$16+H808*$AE$17+I808*$AE$18+J808*$AE$19+K808*$AE$20+L808*$AE$21+M808*$AE$22+N808*$AE$23+O808*$AE$24+P808*$AE$25+Q808*$AE$26+R808*$AE$27+S808*$AE$28+T808*$AE$29+U808*$AE$30</f>
        <v/>
      </c>
      <c r="W808" s="8">
        <f>1/(1+EXP(-V808))</f>
        <v/>
      </c>
      <c r="X808" s="9">
        <f>-IF(C808=1,LN(W808),LN(1-W808))</f>
        <v/>
      </c>
      <c r="Y808" s="8">
        <f>IF(C808=1,$AE$32,$AE$33)</f>
        <v/>
      </c>
      <c r="Z808" s="9">
        <f>Y808*X808</f>
        <v/>
      </c>
      <c r="AA808" s="10">
        <f>IF(W808&gt;$AE$34,1,0)</f>
        <v/>
      </c>
      <c r="AB808">
        <f>IF(AA808=C808,1,0)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$AE$12+D809*$AE$13+E809*$AE$14+F809*$AE$15+G809*$AE$16+H809*$AE$17+I809*$AE$18+J809*$AE$19+K809*$AE$20+L809*$AE$21+M809*$AE$22+N809*$AE$23+O809*$AE$24+P809*$AE$25+Q809*$AE$26+R809*$AE$27+S809*$AE$28+T809*$AE$29+U809*$AE$30</f>
        <v/>
      </c>
      <c r="W809" s="8">
        <f>1/(1+EXP(-V809))</f>
        <v/>
      </c>
      <c r="X809" s="9">
        <f>-IF(C809=1,LN(W809),LN(1-W809))</f>
        <v/>
      </c>
      <c r="Y809" s="8">
        <f>IF(C809=1,$AE$32,$AE$33)</f>
        <v/>
      </c>
      <c r="Z809" s="9">
        <f>Y809*X809</f>
        <v/>
      </c>
      <c r="AA809" s="10">
        <f>IF(W809&gt;$AE$34,1,0)</f>
        <v/>
      </c>
      <c r="AB809">
        <f>IF(AA809=C809,1,0)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$AE$12+D810*$AE$13+E810*$AE$14+F810*$AE$15+G810*$AE$16+H810*$AE$17+I810*$AE$18+J810*$AE$19+K810*$AE$20+L810*$AE$21+M810*$AE$22+N810*$AE$23+O810*$AE$24+P810*$AE$25+Q810*$AE$26+R810*$AE$27+S810*$AE$28+T810*$AE$29+U810*$AE$30</f>
        <v/>
      </c>
      <c r="W810" s="8">
        <f>1/(1+EXP(-V810))</f>
        <v/>
      </c>
      <c r="X810" s="9">
        <f>-IF(C810=1,LN(W810),LN(1-W810))</f>
        <v/>
      </c>
      <c r="Y810" s="8">
        <f>IF(C810=1,$AE$32,$AE$33)</f>
        <v/>
      </c>
      <c r="Z810" s="9">
        <f>Y810*X810</f>
        <v/>
      </c>
      <c r="AA810" s="10">
        <f>IF(W810&gt;$AE$34,1,0)</f>
        <v/>
      </c>
      <c r="AB810">
        <f>IF(AA810=C810,1,0)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$AE$12+D811*$AE$13+E811*$AE$14+F811*$AE$15+G811*$AE$16+H811*$AE$17+I811*$AE$18+J811*$AE$19+K811*$AE$20+L811*$AE$21+M811*$AE$22+N811*$AE$23+O811*$AE$24+P811*$AE$25+Q811*$AE$26+R811*$AE$27+S811*$AE$28+T811*$AE$29+U811*$AE$30</f>
        <v/>
      </c>
      <c r="W811" s="8">
        <f>1/(1+EXP(-V811))</f>
        <v/>
      </c>
      <c r="X811" s="9">
        <f>-IF(C811=1,LN(W811),LN(1-W811))</f>
        <v/>
      </c>
      <c r="Y811" s="8">
        <f>IF(C811=1,$AE$32,$AE$33)</f>
        <v/>
      </c>
      <c r="Z811" s="9">
        <f>Y811*X811</f>
        <v/>
      </c>
      <c r="AA811" s="10">
        <f>IF(W811&gt;$AE$34,1,0)</f>
        <v/>
      </c>
      <c r="AB811">
        <f>IF(AA811=C811,1,0)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$AE$12+D812*$AE$13+E812*$AE$14+F812*$AE$15+G812*$AE$16+H812*$AE$17+I812*$AE$18+J812*$AE$19+K812*$AE$20+L812*$AE$21+M812*$AE$22+N812*$AE$23+O812*$AE$24+P812*$AE$25+Q812*$AE$26+R812*$AE$27+S812*$AE$28+T812*$AE$29+U812*$AE$30</f>
        <v/>
      </c>
      <c r="W812" s="8">
        <f>1/(1+EXP(-V812))</f>
        <v/>
      </c>
      <c r="X812" s="9">
        <f>-IF(C812=1,LN(W812),LN(1-W812))</f>
        <v/>
      </c>
      <c r="Y812" s="8">
        <f>IF(C812=1,$AE$32,$AE$33)</f>
        <v/>
      </c>
      <c r="Z812" s="9">
        <f>Y812*X812</f>
        <v/>
      </c>
      <c r="AA812" s="10">
        <f>IF(W812&gt;$AE$34,1,0)</f>
        <v/>
      </c>
      <c r="AB812">
        <f>IF(AA812=C812,1,0)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$AE$12+D813*$AE$13+E813*$AE$14+F813*$AE$15+G813*$AE$16+H813*$AE$17+I813*$AE$18+J813*$AE$19+K813*$AE$20+L813*$AE$21+M813*$AE$22+N813*$AE$23+O813*$AE$24+P813*$AE$25+Q813*$AE$26+R813*$AE$27+S813*$AE$28+T813*$AE$29+U813*$AE$30</f>
        <v/>
      </c>
      <c r="W813" s="8">
        <f>1/(1+EXP(-V813))</f>
        <v/>
      </c>
      <c r="X813" s="9">
        <f>-IF(C813=1,LN(W813),LN(1-W813))</f>
        <v/>
      </c>
      <c r="Y813" s="8">
        <f>IF(C813=1,$AE$32,$AE$33)</f>
        <v/>
      </c>
      <c r="Z813" s="9">
        <f>Y813*X813</f>
        <v/>
      </c>
      <c r="AA813" s="10">
        <f>IF(W813&gt;$AE$34,1,0)</f>
        <v/>
      </c>
      <c r="AB813">
        <f>IF(AA813=C813,1,0)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$AE$12+D814*$AE$13+E814*$AE$14+F814*$AE$15+G814*$AE$16+H814*$AE$17+I814*$AE$18+J814*$AE$19+K814*$AE$20+L814*$AE$21+M814*$AE$22+N814*$AE$23+O814*$AE$24+P814*$AE$25+Q814*$AE$26+R814*$AE$27+S814*$AE$28+T814*$AE$29+U814*$AE$30</f>
        <v/>
      </c>
      <c r="W814" s="8">
        <f>1/(1+EXP(-V814))</f>
        <v/>
      </c>
      <c r="X814" s="9">
        <f>-IF(C814=1,LN(W814),LN(1-W814))</f>
        <v/>
      </c>
      <c r="Y814" s="8">
        <f>IF(C814=1,$AE$32,$AE$33)</f>
        <v/>
      </c>
      <c r="Z814" s="9">
        <f>Y814*X814</f>
        <v/>
      </c>
      <c r="AA814" s="10">
        <f>IF(W814&gt;$AE$34,1,0)</f>
        <v/>
      </c>
      <c r="AB814">
        <f>IF(AA814=C814,1,0)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$AE$12+D815*$AE$13+E815*$AE$14+F815*$AE$15+G815*$AE$16+H815*$AE$17+I815*$AE$18+J815*$AE$19+K815*$AE$20+L815*$AE$21+M815*$AE$22+N815*$AE$23+O815*$AE$24+P815*$AE$25+Q815*$AE$26+R815*$AE$27+S815*$AE$28+T815*$AE$29+U815*$AE$30</f>
        <v/>
      </c>
      <c r="W815" s="8">
        <f>1/(1+EXP(-V815))</f>
        <v/>
      </c>
      <c r="X815" s="9">
        <f>-IF(C815=1,LN(W815),LN(1-W815))</f>
        <v/>
      </c>
      <c r="Y815" s="8">
        <f>IF(C815=1,$AE$32,$AE$33)</f>
        <v/>
      </c>
      <c r="Z815" s="9">
        <f>Y815*X815</f>
        <v/>
      </c>
      <c r="AA815" s="10">
        <f>IF(W815&gt;$AE$34,1,0)</f>
        <v/>
      </c>
      <c r="AB815">
        <f>IF(AA815=C815,1,0)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$AE$12+D816*$AE$13+E816*$AE$14+F816*$AE$15+G816*$AE$16+H816*$AE$17+I816*$AE$18+J816*$AE$19+K816*$AE$20+L816*$AE$21+M816*$AE$22+N816*$AE$23+O816*$AE$24+P816*$AE$25+Q816*$AE$26+R816*$AE$27+S816*$AE$28+T816*$AE$29+U816*$AE$30</f>
        <v/>
      </c>
      <c r="W816" s="8">
        <f>1/(1+EXP(-V816))</f>
        <v/>
      </c>
      <c r="X816" s="9">
        <f>-IF(C816=1,LN(W816),LN(1-W816))</f>
        <v/>
      </c>
      <c r="Y816" s="8">
        <f>IF(C816=1,$AE$32,$AE$33)</f>
        <v/>
      </c>
      <c r="Z816" s="9">
        <f>Y816*X816</f>
        <v/>
      </c>
      <c r="AA816" s="10">
        <f>IF(W816&gt;$AE$34,1,0)</f>
        <v/>
      </c>
      <c r="AB816">
        <f>IF(AA816=C816,1,0)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$AE$12+D817*$AE$13+E817*$AE$14+F817*$AE$15+G817*$AE$16+H817*$AE$17+I817*$AE$18+J817*$AE$19+K817*$AE$20+L817*$AE$21+M817*$AE$22+N817*$AE$23+O817*$AE$24+P817*$AE$25+Q817*$AE$26+R817*$AE$27+S817*$AE$28+T817*$AE$29+U817*$AE$30</f>
        <v/>
      </c>
      <c r="W817" s="8">
        <f>1/(1+EXP(-V817))</f>
        <v/>
      </c>
      <c r="X817" s="9">
        <f>-IF(C817=1,LN(W817),LN(1-W817))</f>
        <v/>
      </c>
      <c r="Y817" s="8">
        <f>IF(C817=1,$AE$32,$AE$33)</f>
        <v/>
      </c>
      <c r="Z817" s="9">
        <f>Y817*X817</f>
        <v/>
      </c>
      <c r="AA817" s="10">
        <f>IF(W817&gt;$AE$34,1,0)</f>
        <v/>
      </c>
      <c r="AB817">
        <f>IF(AA817=C817,1,0)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$AE$12+D818*$AE$13+E818*$AE$14+F818*$AE$15+G818*$AE$16+H818*$AE$17+I818*$AE$18+J818*$AE$19+K818*$AE$20+L818*$AE$21+M818*$AE$22+N818*$AE$23+O818*$AE$24+P818*$AE$25+Q818*$AE$26+R818*$AE$27+S818*$AE$28+T818*$AE$29+U818*$AE$30</f>
        <v/>
      </c>
      <c r="W818" s="8">
        <f>1/(1+EXP(-V818))</f>
        <v/>
      </c>
      <c r="X818" s="9">
        <f>-IF(C818=1,LN(W818),LN(1-W818))</f>
        <v/>
      </c>
      <c r="Y818" s="8">
        <f>IF(C818=1,$AE$32,$AE$33)</f>
        <v/>
      </c>
      <c r="Z818" s="9">
        <f>Y818*X818</f>
        <v/>
      </c>
      <c r="AA818" s="10">
        <f>IF(W818&gt;$AE$34,1,0)</f>
        <v/>
      </c>
      <c r="AB818">
        <f>IF(AA818=C818,1,0)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$AE$12+D819*$AE$13+E819*$AE$14+F819*$AE$15+G819*$AE$16+H819*$AE$17+I819*$AE$18+J819*$AE$19+K819*$AE$20+L819*$AE$21+M819*$AE$22+N819*$AE$23+O819*$AE$24+P819*$AE$25+Q819*$AE$26+R819*$AE$27+S819*$AE$28+T819*$AE$29+U819*$AE$30</f>
        <v/>
      </c>
      <c r="W819" s="8">
        <f>1/(1+EXP(-V819))</f>
        <v/>
      </c>
      <c r="X819" s="9">
        <f>-IF(C819=1,LN(W819),LN(1-W819))</f>
        <v/>
      </c>
      <c r="Y819" s="8">
        <f>IF(C819=1,$AE$32,$AE$33)</f>
        <v/>
      </c>
      <c r="Z819" s="9">
        <f>Y819*X819</f>
        <v/>
      </c>
      <c r="AA819" s="10">
        <f>IF(W819&gt;$AE$34,1,0)</f>
        <v/>
      </c>
      <c r="AB819">
        <f>IF(AA819=C819,1,0)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$AE$12+D820*$AE$13+E820*$AE$14+F820*$AE$15+G820*$AE$16+H820*$AE$17+I820*$AE$18+J820*$AE$19+K820*$AE$20+L820*$AE$21+M820*$AE$22+N820*$AE$23+O820*$AE$24+P820*$AE$25+Q820*$AE$26+R820*$AE$27+S820*$AE$28+T820*$AE$29+U820*$AE$30</f>
        <v/>
      </c>
      <c r="W820" s="8">
        <f>1/(1+EXP(-V820))</f>
        <v/>
      </c>
      <c r="X820" s="9">
        <f>-IF(C820=1,LN(W820),LN(1-W820))</f>
        <v/>
      </c>
      <c r="Y820" s="8">
        <f>IF(C820=1,$AE$32,$AE$33)</f>
        <v/>
      </c>
      <c r="Z820" s="9">
        <f>Y820*X820</f>
        <v/>
      </c>
      <c r="AA820" s="10">
        <f>IF(W820&gt;$AE$34,1,0)</f>
        <v/>
      </c>
      <c r="AB820">
        <f>IF(AA820=C820,1,0)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$AE$12+D821*$AE$13+E821*$AE$14+F821*$AE$15+G821*$AE$16+H821*$AE$17+I821*$AE$18+J821*$AE$19+K821*$AE$20+L821*$AE$21+M821*$AE$22+N821*$AE$23+O821*$AE$24+P821*$AE$25+Q821*$AE$26+R821*$AE$27+S821*$AE$28+T821*$AE$29+U821*$AE$30</f>
        <v/>
      </c>
      <c r="W821" s="8">
        <f>1/(1+EXP(-V821))</f>
        <v/>
      </c>
      <c r="X821" s="9">
        <f>-IF(C821=1,LN(W821),LN(1-W821))</f>
        <v/>
      </c>
      <c r="Y821" s="8">
        <f>IF(C821=1,$AE$32,$AE$33)</f>
        <v/>
      </c>
      <c r="Z821" s="9">
        <f>Y821*X821</f>
        <v/>
      </c>
      <c r="AA821" s="10">
        <f>IF(W821&gt;$AE$34,1,0)</f>
        <v/>
      </c>
      <c r="AB821">
        <f>IF(AA821=C821,1,0)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$AE$12+D822*$AE$13+E822*$AE$14+F822*$AE$15+G822*$AE$16+H822*$AE$17+I822*$AE$18+J822*$AE$19+K822*$AE$20+L822*$AE$21+M822*$AE$22+N822*$AE$23+O822*$AE$24+P822*$AE$25+Q822*$AE$26+R822*$AE$27+S822*$AE$28+T822*$AE$29+U822*$AE$30</f>
        <v/>
      </c>
      <c r="W822" s="8">
        <f>1/(1+EXP(-V822))</f>
        <v/>
      </c>
      <c r="X822" s="9">
        <f>-IF(C822=1,LN(W822),LN(1-W822))</f>
        <v/>
      </c>
      <c r="Y822" s="8">
        <f>IF(C822=1,$AE$32,$AE$33)</f>
        <v/>
      </c>
      <c r="Z822" s="9">
        <f>Y822*X822</f>
        <v/>
      </c>
      <c r="AA822" s="10">
        <f>IF(W822&gt;$AE$34,1,0)</f>
        <v/>
      </c>
      <c r="AB822">
        <f>IF(AA822=C822,1,0)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$AE$12+D823*$AE$13+E823*$AE$14+F823*$AE$15+G823*$AE$16+H823*$AE$17+I823*$AE$18+J823*$AE$19+K823*$AE$20+L823*$AE$21+M823*$AE$22+N823*$AE$23+O823*$AE$24+P823*$AE$25+Q823*$AE$26+R823*$AE$27+S823*$AE$28+T823*$AE$29+U823*$AE$30</f>
        <v/>
      </c>
      <c r="W823" s="8">
        <f>1/(1+EXP(-V823))</f>
        <v/>
      </c>
      <c r="X823" s="9">
        <f>-IF(C823=1,LN(W823),LN(1-W823))</f>
        <v/>
      </c>
      <c r="Y823" s="8">
        <f>IF(C823=1,$AE$32,$AE$33)</f>
        <v/>
      </c>
      <c r="Z823" s="9">
        <f>Y823*X823</f>
        <v/>
      </c>
      <c r="AA823" s="10">
        <f>IF(W823&gt;$AE$34,1,0)</f>
        <v/>
      </c>
      <c r="AB823">
        <f>IF(AA823=C823,1,0)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$AE$12+D824*$AE$13+E824*$AE$14+F824*$AE$15+G824*$AE$16+H824*$AE$17+I824*$AE$18+J824*$AE$19+K824*$AE$20+L824*$AE$21+M824*$AE$22+N824*$AE$23+O824*$AE$24+P824*$AE$25+Q824*$AE$26+R824*$AE$27+S824*$AE$28+T824*$AE$29+U824*$AE$30</f>
        <v/>
      </c>
      <c r="W824" s="8">
        <f>1/(1+EXP(-V824))</f>
        <v/>
      </c>
      <c r="X824" s="9">
        <f>-IF(C824=1,LN(W824),LN(1-W824))</f>
        <v/>
      </c>
      <c r="Y824" s="8">
        <f>IF(C824=1,$AE$32,$AE$33)</f>
        <v/>
      </c>
      <c r="Z824" s="9">
        <f>Y824*X824</f>
        <v/>
      </c>
      <c r="AA824" s="10">
        <f>IF(W824&gt;$AE$34,1,0)</f>
        <v/>
      </c>
      <c r="AB824">
        <f>IF(AA824=C824,1,0)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$AE$12+D825*$AE$13+E825*$AE$14+F825*$AE$15+G825*$AE$16+H825*$AE$17+I825*$AE$18+J825*$AE$19+K825*$AE$20+L825*$AE$21+M825*$AE$22+N825*$AE$23+O825*$AE$24+P825*$AE$25+Q825*$AE$26+R825*$AE$27+S825*$AE$28+T825*$AE$29+U825*$AE$30</f>
        <v/>
      </c>
      <c r="W825" s="8">
        <f>1/(1+EXP(-V825))</f>
        <v/>
      </c>
      <c r="X825" s="9">
        <f>-IF(C825=1,LN(W825),LN(1-W825))</f>
        <v/>
      </c>
      <c r="Y825" s="8">
        <f>IF(C825=1,$AE$32,$AE$33)</f>
        <v/>
      </c>
      <c r="Z825" s="9">
        <f>Y825*X825</f>
        <v/>
      </c>
      <c r="AA825" s="10">
        <f>IF(W825&gt;$AE$34,1,0)</f>
        <v/>
      </c>
      <c r="AB825">
        <f>IF(AA825=C825,1,0)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$AE$12+D826*$AE$13+E826*$AE$14+F826*$AE$15+G826*$AE$16+H826*$AE$17+I826*$AE$18+J826*$AE$19+K826*$AE$20+L826*$AE$21+M826*$AE$22+N826*$AE$23+O826*$AE$24+P826*$AE$25+Q826*$AE$26+R826*$AE$27+S826*$AE$28+T826*$AE$29+U826*$AE$30</f>
        <v/>
      </c>
      <c r="W826" s="8">
        <f>1/(1+EXP(-V826))</f>
        <v/>
      </c>
      <c r="X826" s="9">
        <f>-IF(C826=1,LN(W826),LN(1-W826))</f>
        <v/>
      </c>
      <c r="Y826" s="8">
        <f>IF(C826=1,$AE$32,$AE$33)</f>
        <v/>
      </c>
      <c r="Z826" s="9">
        <f>Y826*X826</f>
        <v/>
      </c>
      <c r="AA826" s="10">
        <f>IF(W826&gt;$AE$34,1,0)</f>
        <v/>
      </c>
      <c r="AB826">
        <f>IF(AA826=C826,1,0)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$AE$12+D827*$AE$13+E827*$AE$14+F827*$AE$15+G827*$AE$16+H827*$AE$17+I827*$AE$18+J827*$AE$19+K827*$AE$20+L827*$AE$21+M827*$AE$22+N827*$AE$23+O827*$AE$24+P827*$AE$25+Q827*$AE$26+R827*$AE$27+S827*$AE$28+T827*$AE$29+U827*$AE$30</f>
        <v/>
      </c>
      <c r="W827" s="8">
        <f>1/(1+EXP(-V827))</f>
        <v/>
      </c>
      <c r="X827" s="9">
        <f>-IF(C827=1,LN(W827),LN(1-W827))</f>
        <v/>
      </c>
      <c r="Y827" s="8">
        <f>IF(C827=1,$AE$32,$AE$33)</f>
        <v/>
      </c>
      <c r="Z827" s="9">
        <f>Y827*X827</f>
        <v/>
      </c>
      <c r="AA827" s="10">
        <f>IF(W827&gt;$AE$34,1,0)</f>
        <v/>
      </c>
      <c r="AB827">
        <f>IF(AA827=C827,1,0)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$AE$12+D828*$AE$13+E828*$AE$14+F828*$AE$15+G828*$AE$16+H828*$AE$17+I828*$AE$18+J828*$AE$19+K828*$AE$20+L828*$AE$21+M828*$AE$22+N828*$AE$23+O828*$AE$24+P828*$AE$25+Q828*$AE$26+R828*$AE$27+S828*$AE$28+T828*$AE$29+U828*$AE$30</f>
        <v/>
      </c>
      <c r="W828" s="8">
        <f>1/(1+EXP(-V828))</f>
        <v/>
      </c>
      <c r="X828" s="9">
        <f>-IF(C828=1,LN(W828),LN(1-W828))</f>
        <v/>
      </c>
      <c r="Y828" s="8">
        <f>IF(C828=1,$AE$32,$AE$33)</f>
        <v/>
      </c>
      <c r="Z828" s="9">
        <f>Y828*X828</f>
        <v/>
      </c>
      <c r="AA828" s="10">
        <f>IF(W828&gt;$AE$34,1,0)</f>
        <v/>
      </c>
      <c r="AB828">
        <f>IF(AA828=C828,1,0)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$AE$12+D829*$AE$13+E829*$AE$14+F829*$AE$15+G829*$AE$16+H829*$AE$17+I829*$AE$18+J829*$AE$19+K829*$AE$20+L829*$AE$21+M829*$AE$22+N829*$AE$23+O829*$AE$24+P829*$AE$25+Q829*$AE$26+R829*$AE$27+S829*$AE$28+T829*$AE$29+U829*$AE$30</f>
        <v/>
      </c>
      <c r="W829" s="8">
        <f>1/(1+EXP(-V829))</f>
        <v/>
      </c>
      <c r="X829" s="9">
        <f>-IF(C829=1,LN(W829),LN(1-W829))</f>
        <v/>
      </c>
      <c r="Y829" s="8">
        <f>IF(C829=1,$AE$32,$AE$33)</f>
        <v/>
      </c>
      <c r="Z829" s="9">
        <f>Y829*X829</f>
        <v/>
      </c>
      <c r="AA829" s="10">
        <f>IF(W829&gt;$AE$34,1,0)</f>
        <v/>
      </c>
      <c r="AB829">
        <f>IF(AA829=C829,1,0)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$AE$12+D830*$AE$13+E830*$AE$14+F830*$AE$15+G830*$AE$16+H830*$AE$17+I830*$AE$18+J830*$AE$19+K830*$AE$20+L830*$AE$21+M830*$AE$22+N830*$AE$23+O830*$AE$24+P830*$AE$25+Q830*$AE$26+R830*$AE$27+S830*$AE$28+T830*$AE$29+U830*$AE$30</f>
        <v/>
      </c>
      <c r="W830" s="8">
        <f>1/(1+EXP(-V830))</f>
        <v/>
      </c>
      <c r="X830" s="9">
        <f>-IF(C830=1,LN(W830),LN(1-W830))</f>
        <v/>
      </c>
      <c r="Y830" s="8">
        <f>IF(C830=1,$AE$32,$AE$33)</f>
        <v/>
      </c>
      <c r="Z830" s="9">
        <f>Y830*X830</f>
        <v/>
      </c>
      <c r="AA830" s="10">
        <f>IF(W830&gt;$AE$34,1,0)</f>
        <v/>
      </c>
      <c r="AB830">
        <f>IF(AA830=C830,1,0)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$AE$12+D831*$AE$13+E831*$AE$14+F831*$AE$15+G831*$AE$16+H831*$AE$17+I831*$AE$18+J831*$AE$19+K831*$AE$20+L831*$AE$21+M831*$AE$22+N831*$AE$23+O831*$AE$24+P831*$AE$25+Q831*$AE$26+R831*$AE$27+S831*$AE$28+T831*$AE$29+U831*$AE$30</f>
        <v/>
      </c>
      <c r="W831" s="8">
        <f>1/(1+EXP(-V831))</f>
        <v/>
      </c>
      <c r="X831" s="9">
        <f>-IF(C831=1,LN(W831),LN(1-W831))</f>
        <v/>
      </c>
      <c r="Y831" s="8">
        <f>IF(C831=1,$AE$32,$AE$33)</f>
        <v/>
      </c>
      <c r="Z831" s="9">
        <f>Y831*X831</f>
        <v/>
      </c>
      <c r="AA831" s="10">
        <f>IF(W831&gt;$AE$34,1,0)</f>
        <v/>
      </c>
      <c r="AB831">
        <f>IF(AA831=C831,1,0)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$AE$12+D832*$AE$13+E832*$AE$14+F832*$AE$15+G832*$AE$16+H832*$AE$17+I832*$AE$18+J832*$AE$19+K832*$AE$20+L832*$AE$21+M832*$AE$22+N832*$AE$23+O832*$AE$24+P832*$AE$25+Q832*$AE$26+R832*$AE$27+S832*$AE$28+T832*$AE$29+U832*$AE$30</f>
        <v/>
      </c>
      <c r="W832" s="8">
        <f>1/(1+EXP(-V832))</f>
        <v/>
      </c>
      <c r="X832" s="9">
        <f>-IF(C832=1,LN(W832),LN(1-W832))</f>
        <v/>
      </c>
      <c r="Y832" s="8">
        <f>IF(C832=1,$AE$32,$AE$33)</f>
        <v/>
      </c>
      <c r="Z832" s="9">
        <f>Y832*X832</f>
        <v/>
      </c>
      <c r="AA832" s="10">
        <f>IF(W832&gt;$AE$34,1,0)</f>
        <v/>
      </c>
      <c r="AB832">
        <f>IF(AA832=C832,1,0)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$AE$12+D833*$AE$13+E833*$AE$14+F833*$AE$15+G833*$AE$16+H833*$AE$17+I833*$AE$18+J833*$AE$19+K833*$AE$20+L833*$AE$21+M833*$AE$22+N833*$AE$23+O833*$AE$24+P833*$AE$25+Q833*$AE$26+R833*$AE$27+S833*$AE$28+T833*$AE$29+U833*$AE$30</f>
        <v/>
      </c>
      <c r="W833" s="8">
        <f>1/(1+EXP(-V833))</f>
        <v/>
      </c>
      <c r="X833" s="9">
        <f>-IF(C833=1,LN(W833),LN(1-W833))</f>
        <v/>
      </c>
      <c r="Y833" s="8">
        <f>IF(C833=1,$AE$32,$AE$33)</f>
        <v/>
      </c>
      <c r="Z833" s="9">
        <f>Y833*X833</f>
        <v/>
      </c>
      <c r="AA833" s="10">
        <f>IF(W833&gt;$AE$34,1,0)</f>
        <v/>
      </c>
      <c r="AB833">
        <f>IF(AA833=C833,1,0)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$AE$12+D834*$AE$13+E834*$AE$14+F834*$AE$15+G834*$AE$16+H834*$AE$17+I834*$AE$18+J834*$AE$19+K834*$AE$20+L834*$AE$21+M834*$AE$22+N834*$AE$23+O834*$AE$24+P834*$AE$25+Q834*$AE$26+R834*$AE$27+S834*$AE$28+T834*$AE$29+U834*$AE$30</f>
        <v/>
      </c>
      <c r="W834" s="8">
        <f>1/(1+EXP(-V834))</f>
        <v/>
      </c>
      <c r="X834" s="9">
        <f>-IF(C834=1,LN(W834),LN(1-W834))</f>
        <v/>
      </c>
      <c r="Y834" s="8">
        <f>IF(C834=1,$AE$32,$AE$33)</f>
        <v/>
      </c>
      <c r="Z834" s="9">
        <f>Y834*X834</f>
        <v/>
      </c>
      <c r="AA834" s="10">
        <f>IF(W834&gt;$AE$34,1,0)</f>
        <v/>
      </c>
      <c r="AB834">
        <f>IF(AA834=C834,1,0)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$AE$12+D835*$AE$13+E835*$AE$14+F835*$AE$15+G835*$AE$16+H835*$AE$17+I835*$AE$18+J835*$AE$19+K835*$AE$20+L835*$AE$21+M835*$AE$22+N835*$AE$23+O835*$AE$24+P835*$AE$25+Q835*$AE$26+R835*$AE$27+S835*$AE$28+T835*$AE$29+U835*$AE$30</f>
        <v/>
      </c>
      <c r="W835" s="8">
        <f>1/(1+EXP(-V835))</f>
        <v/>
      </c>
      <c r="X835" s="9">
        <f>-IF(C835=1,LN(W835),LN(1-W835))</f>
        <v/>
      </c>
      <c r="Y835" s="8">
        <f>IF(C835=1,$AE$32,$AE$33)</f>
        <v/>
      </c>
      <c r="Z835" s="9">
        <f>Y835*X835</f>
        <v/>
      </c>
      <c r="AA835" s="10">
        <f>IF(W835&gt;$AE$34,1,0)</f>
        <v/>
      </c>
      <c r="AB835">
        <f>IF(AA835=C835,1,0)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$AE$12+D836*$AE$13+E836*$AE$14+F836*$AE$15+G836*$AE$16+H836*$AE$17+I836*$AE$18+J836*$AE$19+K836*$AE$20+L836*$AE$21+M836*$AE$22+N836*$AE$23+O836*$AE$24+P836*$AE$25+Q836*$AE$26+R836*$AE$27+S836*$AE$28+T836*$AE$29+U836*$AE$30</f>
        <v/>
      </c>
      <c r="W836" s="8">
        <f>1/(1+EXP(-V836))</f>
        <v/>
      </c>
      <c r="X836" s="9">
        <f>-IF(C836=1,LN(W836),LN(1-W836))</f>
        <v/>
      </c>
      <c r="Y836" s="8">
        <f>IF(C836=1,$AE$32,$AE$33)</f>
        <v/>
      </c>
      <c r="Z836" s="9">
        <f>Y836*X836</f>
        <v/>
      </c>
      <c r="AA836" s="10">
        <f>IF(W836&gt;$AE$34,1,0)</f>
        <v/>
      </c>
      <c r="AB836">
        <f>IF(AA836=C836,1,0)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$AE$12+D837*$AE$13+E837*$AE$14+F837*$AE$15+G837*$AE$16+H837*$AE$17+I837*$AE$18+J837*$AE$19+K837*$AE$20+L837*$AE$21+M837*$AE$22+N837*$AE$23+O837*$AE$24+P837*$AE$25+Q837*$AE$26+R837*$AE$27+S837*$AE$28+T837*$AE$29+U837*$AE$30</f>
        <v/>
      </c>
      <c r="W837" s="8">
        <f>1/(1+EXP(-V837))</f>
        <v/>
      </c>
      <c r="X837" s="9">
        <f>-IF(C837=1,LN(W837),LN(1-W837))</f>
        <v/>
      </c>
      <c r="Y837" s="8">
        <f>IF(C837=1,$AE$32,$AE$33)</f>
        <v/>
      </c>
      <c r="Z837" s="9">
        <f>Y837*X837</f>
        <v/>
      </c>
      <c r="AA837" s="10">
        <f>IF(W837&gt;$AE$34,1,0)</f>
        <v/>
      </c>
      <c r="AB837">
        <f>IF(AA837=C837,1,0)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$AE$12+D838*$AE$13+E838*$AE$14+F838*$AE$15+G838*$AE$16+H838*$AE$17+I838*$AE$18+J838*$AE$19+K838*$AE$20+L838*$AE$21+M838*$AE$22+N838*$AE$23+O838*$AE$24+P838*$AE$25+Q838*$AE$26+R838*$AE$27+S838*$AE$28+T838*$AE$29+U838*$AE$30</f>
        <v/>
      </c>
      <c r="W838" s="8">
        <f>1/(1+EXP(-V838))</f>
        <v/>
      </c>
      <c r="X838" s="9">
        <f>-IF(C838=1,LN(W838),LN(1-W838))</f>
        <v/>
      </c>
      <c r="Y838" s="8">
        <f>IF(C838=1,$AE$32,$AE$33)</f>
        <v/>
      </c>
      <c r="Z838" s="9">
        <f>Y838*X838</f>
        <v/>
      </c>
      <c r="AA838" s="10">
        <f>IF(W838&gt;$AE$34,1,0)</f>
        <v/>
      </c>
      <c r="AB838">
        <f>IF(AA838=C838,1,0)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$AE$12+D839*$AE$13+E839*$AE$14+F839*$AE$15+G839*$AE$16+H839*$AE$17+I839*$AE$18+J839*$AE$19+K839*$AE$20+L839*$AE$21+M839*$AE$22+N839*$AE$23+O839*$AE$24+P839*$AE$25+Q839*$AE$26+R839*$AE$27+S839*$AE$28+T839*$AE$29+U839*$AE$30</f>
        <v/>
      </c>
      <c r="W839" s="8">
        <f>1/(1+EXP(-V839))</f>
        <v/>
      </c>
      <c r="X839" s="9">
        <f>-IF(C839=1,LN(W839),LN(1-W839))</f>
        <v/>
      </c>
      <c r="Y839" s="8">
        <f>IF(C839=1,$AE$32,$AE$33)</f>
        <v/>
      </c>
      <c r="Z839" s="9">
        <f>Y839*X839</f>
        <v/>
      </c>
      <c r="AA839" s="10">
        <f>IF(W839&gt;$AE$34,1,0)</f>
        <v/>
      </c>
      <c r="AB839">
        <f>IF(AA839=C839,1,0)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$AE$12+D840*$AE$13+E840*$AE$14+F840*$AE$15+G840*$AE$16+H840*$AE$17+I840*$AE$18+J840*$AE$19+K840*$AE$20+L840*$AE$21+M840*$AE$22+N840*$AE$23+O840*$AE$24+P840*$AE$25+Q840*$AE$26+R840*$AE$27+S840*$AE$28+T840*$AE$29+U840*$AE$30</f>
        <v/>
      </c>
      <c r="W840" s="8">
        <f>1/(1+EXP(-V840))</f>
        <v/>
      </c>
      <c r="X840" s="9">
        <f>-IF(C840=1,LN(W840),LN(1-W840))</f>
        <v/>
      </c>
      <c r="Y840" s="8">
        <f>IF(C840=1,$AE$32,$AE$33)</f>
        <v/>
      </c>
      <c r="Z840" s="9">
        <f>Y840*X840</f>
        <v/>
      </c>
      <c r="AA840" s="10">
        <f>IF(W840&gt;$AE$34,1,0)</f>
        <v/>
      </c>
      <c r="AB840">
        <f>IF(AA840=C840,1,0)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$AE$12+D841*$AE$13+E841*$AE$14+F841*$AE$15+G841*$AE$16+H841*$AE$17+I841*$AE$18+J841*$AE$19+K841*$AE$20+L841*$AE$21+M841*$AE$22+N841*$AE$23+O841*$AE$24+P841*$AE$25+Q841*$AE$26+R841*$AE$27+S841*$AE$28+T841*$AE$29+U841*$AE$30</f>
        <v/>
      </c>
      <c r="W841" s="8">
        <f>1/(1+EXP(-V841))</f>
        <v/>
      </c>
      <c r="X841" s="9">
        <f>-IF(C841=1,LN(W841),LN(1-W841))</f>
        <v/>
      </c>
      <c r="Y841" s="8">
        <f>IF(C841=1,$AE$32,$AE$33)</f>
        <v/>
      </c>
      <c r="Z841" s="9">
        <f>Y841*X841</f>
        <v/>
      </c>
      <c r="AA841" s="10">
        <f>IF(W841&gt;$AE$34,1,0)</f>
        <v/>
      </c>
      <c r="AB841">
        <f>IF(AA841=C841,1,0)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$AE$12+D842*$AE$13+E842*$AE$14+F842*$AE$15+G842*$AE$16+H842*$AE$17+I842*$AE$18+J842*$AE$19+K842*$AE$20+L842*$AE$21+M842*$AE$22+N842*$AE$23+O842*$AE$24+P842*$AE$25+Q842*$AE$26+R842*$AE$27+S842*$AE$28+T842*$AE$29+U842*$AE$30</f>
        <v/>
      </c>
      <c r="W842" s="8">
        <f>1/(1+EXP(-V842))</f>
        <v/>
      </c>
      <c r="X842" s="9">
        <f>-IF(C842=1,LN(W842),LN(1-W842))</f>
        <v/>
      </c>
      <c r="Y842" s="8">
        <f>IF(C842=1,$AE$32,$AE$33)</f>
        <v/>
      </c>
      <c r="Z842" s="9">
        <f>Y842*X842</f>
        <v/>
      </c>
      <c r="AA842" s="10">
        <f>IF(W842&gt;$AE$34,1,0)</f>
        <v/>
      </c>
      <c r="AB842">
        <f>IF(AA842=C842,1,0)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$AE$12+D843*$AE$13+E843*$AE$14+F843*$AE$15+G843*$AE$16+H843*$AE$17+I843*$AE$18+J843*$AE$19+K843*$AE$20+L843*$AE$21+M843*$AE$22+N843*$AE$23+O843*$AE$24+P843*$AE$25+Q843*$AE$26+R843*$AE$27+S843*$AE$28+T843*$AE$29+U843*$AE$30</f>
        <v/>
      </c>
      <c r="W843" s="8">
        <f>1/(1+EXP(-V843))</f>
        <v/>
      </c>
      <c r="X843" s="9">
        <f>-IF(C843=1,LN(W843),LN(1-W843))</f>
        <v/>
      </c>
      <c r="Y843" s="8">
        <f>IF(C843=1,$AE$32,$AE$33)</f>
        <v/>
      </c>
      <c r="Z843" s="9">
        <f>Y843*X843</f>
        <v/>
      </c>
      <c r="AA843" s="10">
        <f>IF(W843&gt;$AE$34,1,0)</f>
        <v/>
      </c>
      <c r="AB843">
        <f>IF(AA843=C843,1,0)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$AE$12+D844*$AE$13+E844*$AE$14+F844*$AE$15+G844*$AE$16+H844*$AE$17+I844*$AE$18+J844*$AE$19+K844*$AE$20+L844*$AE$21+M844*$AE$22+N844*$AE$23+O844*$AE$24+P844*$AE$25+Q844*$AE$26+R844*$AE$27+S844*$AE$28+T844*$AE$29+U844*$AE$30</f>
        <v/>
      </c>
      <c r="W844" s="8">
        <f>1/(1+EXP(-V844))</f>
        <v/>
      </c>
      <c r="X844" s="9">
        <f>-IF(C844=1,LN(W844),LN(1-W844))</f>
        <v/>
      </c>
      <c r="Y844" s="8">
        <f>IF(C844=1,$AE$32,$AE$33)</f>
        <v/>
      </c>
      <c r="Z844" s="9">
        <f>Y844*X844</f>
        <v/>
      </c>
      <c r="AA844" s="10">
        <f>IF(W844&gt;$AE$34,1,0)</f>
        <v/>
      </c>
      <c r="AB844">
        <f>IF(AA844=C844,1,0)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$AE$12+D845*$AE$13+E845*$AE$14+F845*$AE$15+G845*$AE$16+H845*$AE$17+I845*$AE$18+J845*$AE$19+K845*$AE$20+L845*$AE$21+M845*$AE$22+N845*$AE$23+O845*$AE$24+P845*$AE$25+Q845*$AE$26+R845*$AE$27+S845*$AE$28+T845*$AE$29+U845*$AE$30</f>
        <v/>
      </c>
      <c r="W845" s="8">
        <f>1/(1+EXP(-V845))</f>
        <v/>
      </c>
      <c r="X845" s="9">
        <f>-IF(C845=1,LN(W845),LN(1-W845))</f>
        <v/>
      </c>
      <c r="Y845" s="8">
        <f>IF(C845=1,$AE$32,$AE$33)</f>
        <v/>
      </c>
      <c r="Z845" s="9">
        <f>Y845*X845</f>
        <v/>
      </c>
      <c r="AA845" s="10">
        <f>IF(W845&gt;$AE$34,1,0)</f>
        <v/>
      </c>
      <c r="AB845">
        <f>IF(AA845=C845,1,0)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$AE$12+D846*$AE$13+E846*$AE$14+F846*$AE$15+G846*$AE$16+H846*$AE$17+I846*$AE$18+J846*$AE$19+K846*$AE$20+L846*$AE$21+M846*$AE$22+N846*$AE$23+O846*$AE$24+P846*$AE$25+Q846*$AE$26+R846*$AE$27+S846*$AE$28+T846*$AE$29+U846*$AE$30</f>
        <v/>
      </c>
      <c r="W846" s="8">
        <f>1/(1+EXP(-V846))</f>
        <v/>
      </c>
      <c r="X846" s="9">
        <f>-IF(C846=1,LN(W846),LN(1-W846))</f>
        <v/>
      </c>
      <c r="Y846" s="8">
        <f>IF(C846=1,$AE$32,$AE$33)</f>
        <v/>
      </c>
      <c r="Z846" s="9">
        <f>Y846*X846</f>
        <v/>
      </c>
      <c r="AA846" s="10">
        <f>IF(W846&gt;$AE$34,1,0)</f>
        <v/>
      </c>
      <c r="AB846">
        <f>IF(AA846=C846,1,0)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$AE$12+D847*$AE$13+E847*$AE$14+F847*$AE$15+G847*$AE$16+H847*$AE$17+I847*$AE$18+J847*$AE$19+K847*$AE$20+L847*$AE$21+M847*$AE$22+N847*$AE$23+O847*$AE$24+P847*$AE$25+Q847*$AE$26+R847*$AE$27+S847*$AE$28+T847*$AE$29+U847*$AE$30</f>
        <v/>
      </c>
      <c r="W847" s="8">
        <f>1/(1+EXP(-V847))</f>
        <v/>
      </c>
      <c r="X847" s="9">
        <f>-IF(C847=1,LN(W847),LN(1-W847))</f>
        <v/>
      </c>
      <c r="Y847" s="8">
        <f>IF(C847=1,$AE$32,$AE$33)</f>
        <v/>
      </c>
      <c r="Z847" s="9">
        <f>Y847*X847</f>
        <v/>
      </c>
      <c r="AA847" s="10">
        <f>IF(W847&gt;$AE$34,1,0)</f>
        <v/>
      </c>
      <c r="AB847">
        <f>IF(AA847=C847,1,0)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$AE$12+D848*$AE$13+E848*$AE$14+F848*$AE$15+G848*$AE$16+H848*$AE$17+I848*$AE$18+J848*$AE$19+K848*$AE$20+L848*$AE$21+M848*$AE$22+N848*$AE$23+O848*$AE$24+P848*$AE$25+Q848*$AE$26+R848*$AE$27+S848*$AE$28+T848*$AE$29+U848*$AE$30</f>
        <v/>
      </c>
      <c r="W848" s="8">
        <f>1/(1+EXP(-V848))</f>
        <v/>
      </c>
      <c r="X848" s="9">
        <f>-IF(C848=1,LN(W848),LN(1-W848))</f>
        <v/>
      </c>
      <c r="Y848" s="8">
        <f>IF(C848=1,$AE$32,$AE$33)</f>
        <v/>
      </c>
      <c r="Z848" s="9">
        <f>Y848*X848</f>
        <v/>
      </c>
      <c r="AA848" s="10">
        <f>IF(W848&gt;$AE$34,1,0)</f>
        <v/>
      </c>
      <c r="AB848">
        <f>IF(AA848=C848,1,0)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$AE$12+D849*$AE$13+E849*$AE$14+F849*$AE$15+G849*$AE$16+H849*$AE$17+I849*$AE$18+J849*$AE$19+K849*$AE$20+L849*$AE$21+M849*$AE$22+N849*$AE$23+O849*$AE$24+P849*$AE$25+Q849*$AE$26+R849*$AE$27+S849*$AE$28+T849*$AE$29+U849*$AE$30</f>
        <v/>
      </c>
      <c r="W849" s="8">
        <f>1/(1+EXP(-V849))</f>
        <v/>
      </c>
      <c r="X849" s="9">
        <f>-IF(C849=1,LN(W849),LN(1-W849))</f>
        <v/>
      </c>
      <c r="Y849" s="8">
        <f>IF(C849=1,$AE$32,$AE$33)</f>
        <v/>
      </c>
      <c r="Z849" s="9">
        <f>Y849*X849</f>
        <v/>
      </c>
      <c r="AA849" s="10">
        <f>IF(W849&gt;$AE$34,1,0)</f>
        <v/>
      </c>
      <c r="AB849">
        <f>IF(AA849=C849,1,0)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$AE$12+D850*$AE$13+E850*$AE$14+F850*$AE$15+G850*$AE$16+H850*$AE$17+I850*$AE$18+J850*$AE$19+K850*$AE$20+L850*$AE$21+M850*$AE$22+N850*$AE$23+O850*$AE$24+P850*$AE$25+Q850*$AE$26+R850*$AE$27+S850*$AE$28+T850*$AE$29+U850*$AE$30</f>
        <v/>
      </c>
      <c r="W850" s="8">
        <f>1/(1+EXP(-V850))</f>
        <v/>
      </c>
      <c r="X850" s="9">
        <f>-IF(C850=1,LN(W850),LN(1-W850))</f>
        <v/>
      </c>
      <c r="Y850" s="8">
        <f>IF(C850=1,$AE$32,$AE$33)</f>
        <v/>
      </c>
      <c r="Z850" s="9">
        <f>Y850*X850</f>
        <v/>
      </c>
      <c r="AA850" s="10">
        <f>IF(W850&gt;$AE$34,1,0)</f>
        <v/>
      </c>
      <c r="AB850">
        <f>IF(AA850=C850,1,0)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$AE$12+D851*$AE$13+E851*$AE$14+F851*$AE$15+G851*$AE$16+H851*$AE$17+I851*$AE$18+J851*$AE$19+K851*$AE$20+L851*$AE$21+M851*$AE$22+N851*$AE$23+O851*$AE$24+P851*$AE$25+Q851*$AE$26+R851*$AE$27+S851*$AE$28+T851*$AE$29+U851*$AE$30</f>
        <v/>
      </c>
      <c r="W851" s="8">
        <f>1/(1+EXP(-V851))</f>
        <v/>
      </c>
      <c r="X851" s="9">
        <f>-IF(C851=1,LN(W851),LN(1-W851))</f>
        <v/>
      </c>
      <c r="Y851" s="8">
        <f>IF(C851=1,$AE$32,$AE$33)</f>
        <v/>
      </c>
      <c r="Z851" s="9">
        <f>Y851*X851</f>
        <v/>
      </c>
      <c r="AA851" s="10">
        <f>IF(W851&gt;$AE$34,1,0)</f>
        <v/>
      </c>
      <c r="AB851">
        <f>IF(AA851=C851,1,0)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$AE$12+D852*$AE$13+E852*$AE$14+F852*$AE$15+G852*$AE$16+H852*$AE$17+I852*$AE$18+J852*$AE$19+K852*$AE$20+L852*$AE$21+M852*$AE$22+N852*$AE$23+O852*$AE$24+P852*$AE$25+Q852*$AE$26+R852*$AE$27+S852*$AE$28+T852*$AE$29+U852*$AE$30</f>
        <v/>
      </c>
      <c r="W852" s="8">
        <f>1/(1+EXP(-V852))</f>
        <v/>
      </c>
      <c r="X852" s="9">
        <f>-IF(C852=1,LN(W852),LN(1-W852))</f>
        <v/>
      </c>
      <c r="Y852" s="8">
        <f>IF(C852=1,$AE$32,$AE$33)</f>
        <v/>
      </c>
      <c r="Z852" s="9">
        <f>Y852*X852</f>
        <v/>
      </c>
      <c r="AA852" s="10">
        <f>IF(W852&gt;$AE$34,1,0)</f>
        <v/>
      </c>
      <c r="AB852">
        <f>IF(AA852=C852,1,0)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$AE$12+D853*$AE$13+E853*$AE$14+F853*$AE$15+G853*$AE$16+H853*$AE$17+I853*$AE$18+J853*$AE$19+K853*$AE$20+L853*$AE$21+M853*$AE$22+N853*$AE$23+O853*$AE$24+P853*$AE$25+Q853*$AE$26+R853*$AE$27+S853*$AE$28+T853*$AE$29+U853*$AE$30</f>
        <v/>
      </c>
      <c r="W853" s="8">
        <f>1/(1+EXP(-V853))</f>
        <v/>
      </c>
      <c r="X853" s="9">
        <f>-IF(C853=1,LN(W853),LN(1-W853))</f>
        <v/>
      </c>
      <c r="Y853" s="8">
        <f>IF(C853=1,$AE$32,$AE$33)</f>
        <v/>
      </c>
      <c r="Z853" s="9">
        <f>Y853*X853</f>
        <v/>
      </c>
      <c r="AA853" s="10">
        <f>IF(W853&gt;$AE$34,1,0)</f>
        <v/>
      </c>
      <c r="AB853">
        <f>IF(AA853=C853,1,0)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$AE$12+D854*$AE$13+E854*$AE$14+F854*$AE$15+G854*$AE$16+H854*$AE$17+I854*$AE$18+J854*$AE$19+K854*$AE$20+L854*$AE$21+M854*$AE$22+N854*$AE$23+O854*$AE$24+P854*$AE$25+Q854*$AE$26+R854*$AE$27+S854*$AE$28+T854*$AE$29+U854*$AE$30</f>
        <v/>
      </c>
      <c r="W854" s="8">
        <f>1/(1+EXP(-V854))</f>
        <v/>
      </c>
      <c r="X854" s="9">
        <f>-IF(C854=1,LN(W854),LN(1-W854))</f>
        <v/>
      </c>
      <c r="Y854" s="8">
        <f>IF(C854=1,$AE$32,$AE$33)</f>
        <v/>
      </c>
      <c r="Z854" s="9">
        <f>Y854*X854</f>
        <v/>
      </c>
      <c r="AA854" s="10">
        <f>IF(W854&gt;$AE$34,1,0)</f>
        <v/>
      </c>
      <c r="AB854">
        <f>IF(AA854=C854,1,0)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$AE$12+D855*$AE$13+E855*$AE$14+F855*$AE$15+G855*$AE$16+H855*$AE$17+I855*$AE$18+J855*$AE$19+K855*$AE$20+L855*$AE$21+M855*$AE$22+N855*$AE$23+O855*$AE$24+P855*$AE$25+Q855*$AE$26+R855*$AE$27+S855*$AE$28+T855*$AE$29+U855*$AE$30</f>
        <v/>
      </c>
      <c r="W855" s="8">
        <f>1/(1+EXP(-V855))</f>
        <v/>
      </c>
      <c r="X855" s="9">
        <f>-IF(C855=1,LN(W855),LN(1-W855))</f>
        <v/>
      </c>
      <c r="Y855" s="8">
        <f>IF(C855=1,$AE$32,$AE$33)</f>
        <v/>
      </c>
      <c r="Z855" s="9">
        <f>Y855*X855</f>
        <v/>
      </c>
      <c r="AA855" s="10">
        <f>IF(W855&gt;$AE$34,1,0)</f>
        <v/>
      </c>
      <c r="AB855">
        <f>IF(AA855=C855,1,0)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$AE$12+D856*$AE$13+E856*$AE$14+F856*$AE$15+G856*$AE$16+H856*$AE$17+I856*$AE$18+J856*$AE$19+K856*$AE$20+L856*$AE$21+M856*$AE$22+N856*$AE$23+O856*$AE$24+P856*$AE$25+Q856*$AE$26+R856*$AE$27+S856*$AE$28+T856*$AE$29+U856*$AE$30</f>
        <v/>
      </c>
      <c r="W856" s="8">
        <f>1/(1+EXP(-V856))</f>
        <v/>
      </c>
      <c r="X856" s="9">
        <f>-IF(C856=1,LN(W856),LN(1-W856))</f>
        <v/>
      </c>
      <c r="Y856" s="8">
        <f>IF(C856=1,$AE$32,$AE$33)</f>
        <v/>
      </c>
      <c r="Z856" s="9">
        <f>Y856*X856</f>
        <v/>
      </c>
      <c r="AA856" s="10">
        <f>IF(W856&gt;$AE$34,1,0)</f>
        <v/>
      </c>
      <c r="AB856">
        <f>IF(AA856=C856,1,0)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$AE$12+D857*$AE$13+E857*$AE$14+F857*$AE$15+G857*$AE$16+H857*$AE$17+I857*$AE$18+J857*$AE$19+K857*$AE$20+L857*$AE$21+M857*$AE$22+N857*$AE$23+O857*$AE$24+P857*$AE$25+Q857*$AE$26+R857*$AE$27+S857*$AE$28+T857*$AE$29+U857*$AE$30</f>
        <v/>
      </c>
      <c r="W857" s="8">
        <f>1/(1+EXP(-V857))</f>
        <v/>
      </c>
      <c r="X857" s="9">
        <f>-IF(C857=1,LN(W857),LN(1-W857))</f>
        <v/>
      </c>
      <c r="Y857" s="8">
        <f>IF(C857=1,$AE$32,$AE$33)</f>
        <v/>
      </c>
      <c r="Z857" s="9">
        <f>Y857*X857</f>
        <v/>
      </c>
      <c r="AA857" s="10">
        <f>IF(W857&gt;$AE$34,1,0)</f>
        <v/>
      </c>
      <c r="AB857">
        <f>IF(AA857=C857,1,0)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$AE$12+D858*$AE$13+E858*$AE$14+F858*$AE$15+G858*$AE$16+H858*$AE$17+I858*$AE$18+J858*$AE$19+K858*$AE$20+L858*$AE$21+M858*$AE$22+N858*$AE$23+O858*$AE$24+P858*$AE$25+Q858*$AE$26+R858*$AE$27+S858*$AE$28+T858*$AE$29+U858*$AE$30</f>
        <v/>
      </c>
      <c r="W858" s="8">
        <f>1/(1+EXP(-V858))</f>
        <v/>
      </c>
      <c r="X858" s="9">
        <f>-IF(C858=1,LN(W858),LN(1-W858))</f>
        <v/>
      </c>
      <c r="Y858" s="8">
        <f>IF(C858=1,$AE$32,$AE$33)</f>
        <v/>
      </c>
      <c r="Z858" s="9">
        <f>Y858*X858</f>
        <v/>
      </c>
      <c r="AA858" s="10">
        <f>IF(W858&gt;$AE$34,1,0)</f>
        <v/>
      </c>
      <c r="AB858">
        <f>IF(AA858=C858,1,0)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$AE$12+D859*$AE$13+E859*$AE$14+F859*$AE$15+G859*$AE$16+H859*$AE$17+I859*$AE$18+J859*$AE$19+K859*$AE$20+L859*$AE$21+M859*$AE$22+N859*$AE$23+O859*$AE$24+P859*$AE$25+Q859*$AE$26+R859*$AE$27+S859*$AE$28+T859*$AE$29+U859*$AE$30</f>
        <v/>
      </c>
      <c r="W859" s="8">
        <f>1/(1+EXP(-V859))</f>
        <v/>
      </c>
      <c r="X859" s="9">
        <f>-IF(C859=1,LN(W859),LN(1-W859))</f>
        <v/>
      </c>
      <c r="Y859" s="8">
        <f>IF(C859=1,$AE$32,$AE$33)</f>
        <v/>
      </c>
      <c r="Z859" s="9">
        <f>Y859*X859</f>
        <v/>
      </c>
      <c r="AA859" s="10">
        <f>IF(W859&gt;$AE$34,1,0)</f>
        <v/>
      </c>
      <c r="AB859">
        <f>IF(AA859=C859,1,0)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$AE$12+D860*$AE$13+E860*$AE$14+F860*$AE$15+G860*$AE$16+H860*$AE$17+I860*$AE$18+J860*$AE$19+K860*$AE$20+L860*$AE$21+M860*$AE$22+N860*$AE$23+O860*$AE$24+P860*$AE$25+Q860*$AE$26+R860*$AE$27+S860*$AE$28+T860*$AE$29+U860*$AE$30</f>
        <v/>
      </c>
      <c r="W860" s="8">
        <f>1/(1+EXP(-V860))</f>
        <v/>
      </c>
      <c r="X860" s="9">
        <f>-IF(C860=1,LN(W860),LN(1-W860))</f>
        <v/>
      </c>
      <c r="Y860" s="8">
        <f>IF(C860=1,$AE$32,$AE$33)</f>
        <v/>
      </c>
      <c r="Z860" s="9">
        <f>Y860*X860</f>
        <v/>
      </c>
      <c r="AA860" s="10">
        <f>IF(W860&gt;$AE$34,1,0)</f>
        <v/>
      </c>
      <c r="AB860">
        <f>IF(AA860=C860,1,0)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$AE$12+D861*$AE$13+E861*$AE$14+F861*$AE$15+G861*$AE$16+H861*$AE$17+I861*$AE$18+J861*$AE$19+K861*$AE$20+L861*$AE$21+M861*$AE$22+N861*$AE$23+O861*$AE$24+P861*$AE$25+Q861*$AE$26+R861*$AE$27+S861*$AE$28+T861*$AE$29+U861*$AE$30</f>
        <v/>
      </c>
      <c r="W861" s="8">
        <f>1/(1+EXP(-V861))</f>
        <v/>
      </c>
      <c r="X861" s="9">
        <f>-IF(C861=1,LN(W861),LN(1-W861))</f>
        <v/>
      </c>
      <c r="Y861" s="8">
        <f>IF(C861=1,$AE$32,$AE$33)</f>
        <v/>
      </c>
      <c r="Z861" s="9">
        <f>Y861*X861</f>
        <v/>
      </c>
      <c r="AA861" s="10">
        <f>IF(W861&gt;$AE$34,1,0)</f>
        <v/>
      </c>
      <c r="AB861">
        <f>IF(AA861=C861,1,0)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$AE$12+D862*$AE$13+E862*$AE$14+F862*$AE$15+G862*$AE$16+H862*$AE$17+I862*$AE$18+J862*$AE$19+K862*$AE$20+L862*$AE$21+M862*$AE$22+N862*$AE$23+O862*$AE$24+P862*$AE$25+Q862*$AE$26+R862*$AE$27+S862*$AE$28+T862*$AE$29+U862*$AE$30</f>
        <v/>
      </c>
      <c r="W862" s="8">
        <f>1/(1+EXP(-V862))</f>
        <v/>
      </c>
      <c r="X862" s="9">
        <f>-IF(C862=1,LN(W862),LN(1-W862))</f>
        <v/>
      </c>
      <c r="Y862" s="8">
        <f>IF(C862=1,$AE$32,$AE$33)</f>
        <v/>
      </c>
      <c r="Z862" s="9">
        <f>Y862*X862</f>
        <v/>
      </c>
      <c r="AA862" s="10">
        <f>IF(W862&gt;$AE$34,1,0)</f>
        <v/>
      </c>
      <c r="AB862">
        <f>IF(AA862=C862,1,0)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$AE$12+D863*$AE$13+E863*$AE$14+F863*$AE$15+G863*$AE$16+H863*$AE$17+I863*$AE$18+J863*$AE$19+K863*$AE$20+L863*$AE$21+M863*$AE$22+N863*$AE$23+O863*$AE$24+P863*$AE$25+Q863*$AE$26+R863*$AE$27+S863*$AE$28+T863*$AE$29+U863*$AE$30</f>
        <v/>
      </c>
      <c r="W863" s="8">
        <f>1/(1+EXP(-V863))</f>
        <v/>
      </c>
      <c r="X863" s="9">
        <f>-IF(C863=1,LN(W863),LN(1-W863))</f>
        <v/>
      </c>
      <c r="Y863" s="8">
        <f>IF(C863=1,$AE$32,$AE$33)</f>
        <v/>
      </c>
      <c r="Z863" s="9">
        <f>Y863*X863</f>
        <v/>
      </c>
      <c r="AA863" s="10">
        <f>IF(W863&gt;$AE$34,1,0)</f>
        <v/>
      </c>
      <c r="AB863">
        <f>IF(AA863=C863,1,0)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$AE$12+D864*$AE$13+E864*$AE$14+F864*$AE$15+G864*$AE$16+H864*$AE$17+I864*$AE$18+J864*$AE$19+K864*$AE$20+L864*$AE$21+M864*$AE$22+N864*$AE$23+O864*$AE$24+P864*$AE$25+Q864*$AE$26+R864*$AE$27+S864*$AE$28+T864*$AE$29+U864*$AE$30</f>
        <v/>
      </c>
      <c r="W864" s="8">
        <f>1/(1+EXP(-V864))</f>
        <v/>
      </c>
      <c r="X864" s="9">
        <f>-IF(C864=1,LN(W864),LN(1-W864))</f>
        <v/>
      </c>
      <c r="Y864" s="8">
        <f>IF(C864=1,$AE$32,$AE$33)</f>
        <v/>
      </c>
      <c r="Z864" s="9">
        <f>Y864*X864</f>
        <v/>
      </c>
      <c r="AA864" s="10">
        <f>IF(W864&gt;$AE$34,1,0)</f>
        <v/>
      </c>
      <c r="AB864">
        <f>IF(AA864=C864,1,0)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$AE$12+D865*$AE$13+E865*$AE$14+F865*$AE$15+G865*$AE$16+H865*$AE$17+I865*$AE$18+J865*$AE$19+K865*$AE$20+L865*$AE$21+M865*$AE$22+N865*$AE$23+O865*$AE$24+P865*$AE$25+Q865*$AE$26+R865*$AE$27+S865*$AE$28+T865*$AE$29+U865*$AE$30</f>
        <v/>
      </c>
      <c r="W865" s="8">
        <f>1/(1+EXP(-V865))</f>
        <v/>
      </c>
      <c r="X865" s="9">
        <f>-IF(C865=1,LN(W865),LN(1-W865))</f>
        <v/>
      </c>
      <c r="Y865" s="8">
        <f>IF(C865=1,$AE$32,$AE$33)</f>
        <v/>
      </c>
      <c r="Z865" s="9">
        <f>Y865*X865</f>
        <v/>
      </c>
      <c r="AA865" s="10">
        <f>IF(W865&gt;$AE$34,1,0)</f>
        <v/>
      </c>
      <c r="AB865">
        <f>IF(AA865=C865,1,0)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$AE$12+D866*$AE$13+E866*$AE$14+F866*$AE$15+G866*$AE$16+H866*$AE$17+I866*$AE$18+J866*$AE$19+K866*$AE$20+L866*$AE$21+M866*$AE$22+N866*$AE$23+O866*$AE$24+P866*$AE$25+Q866*$AE$26+R866*$AE$27+S866*$AE$28+T866*$AE$29+U866*$AE$30</f>
        <v/>
      </c>
      <c r="W866" s="8">
        <f>1/(1+EXP(-V866))</f>
        <v/>
      </c>
      <c r="X866" s="9">
        <f>-IF(C866=1,LN(W866),LN(1-W866))</f>
        <v/>
      </c>
      <c r="Y866" s="8">
        <f>IF(C866=1,$AE$32,$AE$33)</f>
        <v/>
      </c>
      <c r="Z866" s="9">
        <f>Y866*X866</f>
        <v/>
      </c>
      <c r="AA866" s="10">
        <f>IF(W866&gt;$AE$34,1,0)</f>
        <v/>
      </c>
      <c r="AB866">
        <f>IF(AA866=C866,1,0)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$AE$12+D867*$AE$13+E867*$AE$14+F867*$AE$15+G867*$AE$16+H867*$AE$17+I867*$AE$18+J867*$AE$19+K867*$AE$20+L867*$AE$21+M867*$AE$22+N867*$AE$23+O867*$AE$24+P867*$AE$25+Q867*$AE$26+R867*$AE$27+S867*$AE$28+T867*$AE$29+U867*$AE$30</f>
        <v/>
      </c>
      <c r="W867" s="8">
        <f>1/(1+EXP(-V867))</f>
        <v/>
      </c>
      <c r="X867" s="9">
        <f>-IF(C867=1,LN(W867),LN(1-W867))</f>
        <v/>
      </c>
      <c r="Y867" s="8">
        <f>IF(C867=1,$AE$32,$AE$33)</f>
        <v/>
      </c>
      <c r="Z867" s="9">
        <f>Y867*X867</f>
        <v/>
      </c>
      <c r="AA867" s="10">
        <f>IF(W867&gt;$AE$34,1,0)</f>
        <v/>
      </c>
      <c r="AB867">
        <f>IF(AA867=C867,1,0)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$AE$12+D868*$AE$13+E868*$AE$14+F868*$AE$15+G868*$AE$16+H868*$AE$17+I868*$AE$18+J868*$AE$19+K868*$AE$20+L868*$AE$21+M868*$AE$22+N868*$AE$23+O868*$AE$24+P868*$AE$25+Q868*$AE$26+R868*$AE$27+S868*$AE$28+T868*$AE$29+U868*$AE$30</f>
        <v/>
      </c>
      <c r="W868" s="8">
        <f>1/(1+EXP(-V868))</f>
        <v/>
      </c>
      <c r="X868" s="9">
        <f>-IF(C868=1,LN(W868),LN(1-W868))</f>
        <v/>
      </c>
      <c r="Y868" s="8">
        <f>IF(C868=1,$AE$32,$AE$33)</f>
        <v/>
      </c>
      <c r="Z868" s="9">
        <f>Y868*X868</f>
        <v/>
      </c>
      <c r="AA868" s="10">
        <f>IF(W868&gt;$AE$34,1,0)</f>
        <v/>
      </c>
      <c r="AB868">
        <f>IF(AA868=C868,1,0)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$AE$12+D869*$AE$13+E869*$AE$14+F869*$AE$15+G869*$AE$16+H869*$AE$17+I869*$AE$18+J869*$AE$19+K869*$AE$20+L869*$AE$21+M869*$AE$22+N869*$AE$23+O869*$AE$24+P869*$AE$25+Q869*$AE$26+R869*$AE$27+S869*$AE$28+T869*$AE$29+U869*$AE$30</f>
        <v/>
      </c>
      <c r="W869" s="8">
        <f>1/(1+EXP(-V869))</f>
        <v/>
      </c>
      <c r="X869" s="9">
        <f>-IF(C869=1,LN(W869),LN(1-W869))</f>
        <v/>
      </c>
      <c r="Y869" s="8">
        <f>IF(C869=1,$AE$32,$AE$33)</f>
        <v/>
      </c>
      <c r="Z869" s="9">
        <f>Y869*X869</f>
        <v/>
      </c>
      <c r="AA869" s="10">
        <f>IF(W869&gt;$AE$34,1,0)</f>
        <v/>
      </c>
      <c r="AB869">
        <f>IF(AA869=C869,1,0)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$AE$12+D870*$AE$13+E870*$AE$14+F870*$AE$15+G870*$AE$16+H870*$AE$17+I870*$AE$18+J870*$AE$19+K870*$AE$20+L870*$AE$21+M870*$AE$22+N870*$AE$23+O870*$AE$24+P870*$AE$25+Q870*$AE$26+R870*$AE$27+S870*$AE$28+T870*$AE$29+U870*$AE$30</f>
        <v/>
      </c>
      <c r="W870" s="8">
        <f>1/(1+EXP(-V870))</f>
        <v/>
      </c>
      <c r="X870" s="9">
        <f>-IF(C870=1,LN(W870),LN(1-W870))</f>
        <v/>
      </c>
      <c r="Y870" s="8">
        <f>IF(C870=1,$AE$32,$AE$33)</f>
        <v/>
      </c>
      <c r="Z870" s="9">
        <f>Y870*X870</f>
        <v/>
      </c>
      <c r="AA870" s="10">
        <f>IF(W870&gt;$AE$34,1,0)</f>
        <v/>
      </c>
      <c r="AB870">
        <f>IF(AA870=C870,1,0)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$AE$12+D871*$AE$13+E871*$AE$14+F871*$AE$15+G871*$AE$16+H871*$AE$17+I871*$AE$18+J871*$AE$19+K871*$AE$20+L871*$AE$21+M871*$AE$22+N871*$AE$23+O871*$AE$24+P871*$AE$25+Q871*$AE$26+R871*$AE$27+S871*$AE$28+T871*$AE$29+U871*$AE$30</f>
        <v/>
      </c>
      <c r="W871" s="8">
        <f>1/(1+EXP(-V871))</f>
        <v/>
      </c>
      <c r="X871" s="9">
        <f>-IF(C871=1,LN(W871),LN(1-W871))</f>
        <v/>
      </c>
      <c r="Y871" s="8">
        <f>IF(C871=1,$AE$32,$AE$33)</f>
        <v/>
      </c>
      <c r="Z871" s="9">
        <f>Y871*X871</f>
        <v/>
      </c>
      <c r="AA871" s="10">
        <f>IF(W871&gt;$AE$34,1,0)</f>
        <v/>
      </c>
      <c r="AB871">
        <f>IF(AA871=C871,1,0)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$AE$12+D872*$AE$13+E872*$AE$14+F872*$AE$15+G872*$AE$16+H872*$AE$17+I872*$AE$18+J872*$AE$19+K872*$AE$20+L872*$AE$21+M872*$AE$22+N872*$AE$23+O872*$AE$24+P872*$AE$25+Q872*$AE$26+R872*$AE$27+S872*$AE$28+T872*$AE$29+U872*$AE$30</f>
        <v/>
      </c>
      <c r="W872" s="8">
        <f>1/(1+EXP(-V872))</f>
        <v/>
      </c>
      <c r="X872" s="9">
        <f>-IF(C872=1,LN(W872),LN(1-W872))</f>
        <v/>
      </c>
      <c r="Y872" s="8">
        <f>IF(C872=1,$AE$32,$AE$33)</f>
        <v/>
      </c>
      <c r="Z872" s="9">
        <f>Y872*X872</f>
        <v/>
      </c>
      <c r="AA872" s="10">
        <f>IF(W872&gt;$AE$34,1,0)</f>
        <v/>
      </c>
      <c r="AB872">
        <f>IF(AA872=C872,1,0)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$AE$12+D873*$AE$13+E873*$AE$14+F873*$AE$15+G873*$AE$16+H873*$AE$17+I873*$AE$18+J873*$AE$19+K873*$AE$20+L873*$AE$21+M873*$AE$22+N873*$AE$23+O873*$AE$24+P873*$AE$25+Q873*$AE$26+R873*$AE$27+S873*$AE$28+T873*$AE$29+U873*$AE$30</f>
        <v/>
      </c>
      <c r="W873" s="8">
        <f>1/(1+EXP(-V873))</f>
        <v/>
      </c>
      <c r="X873" s="9">
        <f>-IF(C873=1,LN(W873),LN(1-W873))</f>
        <v/>
      </c>
      <c r="Y873" s="8">
        <f>IF(C873=1,$AE$32,$AE$33)</f>
        <v/>
      </c>
      <c r="Z873" s="9">
        <f>Y873*X873</f>
        <v/>
      </c>
      <c r="AA873" s="10">
        <f>IF(W873&gt;$AE$34,1,0)</f>
        <v/>
      </c>
      <c r="AB873">
        <f>IF(AA873=C873,1,0)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$AE$12+D874*$AE$13+E874*$AE$14+F874*$AE$15+G874*$AE$16+H874*$AE$17+I874*$AE$18+J874*$AE$19+K874*$AE$20+L874*$AE$21+M874*$AE$22+N874*$AE$23+O874*$AE$24+P874*$AE$25+Q874*$AE$26+R874*$AE$27+S874*$AE$28+T874*$AE$29+U874*$AE$30</f>
        <v/>
      </c>
      <c r="W874" s="8">
        <f>1/(1+EXP(-V874))</f>
        <v/>
      </c>
      <c r="X874" s="9">
        <f>-IF(C874=1,LN(W874),LN(1-W874))</f>
        <v/>
      </c>
      <c r="Y874" s="8">
        <f>IF(C874=1,$AE$32,$AE$33)</f>
        <v/>
      </c>
      <c r="Z874" s="9">
        <f>Y874*X874</f>
        <v/>
      </c>
      <c r="AA874" s="10">
        <f>IF(W874&gt;$AE$34,1,0)</f>
        <v/>
      </c>
      <c r="AB874">
        <f>IF(AA874=C874,1,0)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$AE$12+D875*$AE$13+E875*$AE$14+F875*$AE$15+G875*$AE$16+H875*$AE$17+I875*$AE$18+J875*$AE$19+K875*$AE$20+L875*$AE$21+M875*$AE$22+N875*$AE$23+O875*$AE$24+P875*$AE$25+Q875*$AE$26+R875*$AE$27+S875*$AE$28+T875*$AE$29+U875*$AE$30</f>
        <v/>
      </c>
      <c r="W875" s="8">
        <f>1/(1+EXP(-V875))</f>
        <v/>
      </c>
      <c r="X875" s="9">
        <f>-IF(C875=1,LN(W875),LN(1-W875))</f>
        <v/>
      </c>
      <c r="Y875" s="8">
        <f>IF(C875=1,$AE$32,$AE$33)</f>
        <v/>
      </c>
      <c r="Z875" s="9">
        <f>Y875*X875</f>
        <v/>
      </c>
      <c r="AA875" s="10">
        <f>IF(W875&gt;$AE$34,1,0)</f>
        <v/>
      </c>
      <c r="AB875">
        <f>IF(AA875=C875,1,0)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$AE$12+D876*$AE$13+E876*$AE$14+F876*$AE$15+G876*$AE$16+H876*$AE$17+I876*$AE$18+J876*$AE$19+K876*$AE$20+L876*$AE$21+M876*$AE$22+N876*$AE$23+O876*$AE$24+P876*$AE$25+Q876*$AE$26+R876*$AE$27+S876*$AE$28+T876*$AE$29+U876*$AE$30</f>
        <v/>
      </c>
      <c r="W876" s="8">
        <f>1/(1+EXP(-V876))</f>
        <v/>
      </c>
      <c r="X876" s="9">
        <f>-IF(C876=1,LN(W876),LN(1-W876))</f>
        <v/>
      </c>
      <c r="Y876" s="8">
        <f>IF(C876=1,$AE$32,$AE$33)</f>
        <v/>
      </c>
      <c r="Z876" s="9">
        <f>Y876*X876</f>
        <v/>
      </c>
      <c r="AA876" s="10">
        <f>IF(W876&gt;$AE$34,1,0)</f>
        <v/>
      </c>
      <c r="AB876">
        <f>IF(AA876=C876,1,0)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$AE$12+D877*$AE$13+E877*$AE$14+F877*$AE$15+G877*$AE$16+H877*$AE$17+I877*$AE$18+J877*$AE$19+K877*$AE$20+L877*$AE$21+M877*$AE$22+N877*$AE$23+O877*$AE$24+P877*$AE$25+Q877*$AE$26+R877*$AE$27+S877*$AE$28+T877*$AE$29+U877*$AE$30</f>
        <v/>
      </c>
      <c r="W877" s="8">
        <f>1/(1+EXP(-V877))</f>
        <v/>
      </c>
      <c r="X877" s="9">
        <f>-IF(C877=1,LN(W877),LN(1-W877))</f>
        <v/>
      </c>
      <c r="Y877" s="8">
        <f>IF(C877=1,$AE$32,$AE$33)</f>
        <v/>
      </c>
      <c r="Z877" s="9">
        <f>Y877*X877</f>
        <v/>
      </c>
      <c r="AA877" s="10">
        <f>IF(W877&gt;$AE$34,1,0)</f>
        <v/>
      </c>
      <c r="AB877">
        <f>IF(AA877=C877,1,0)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$AE$12+D878*$AE$13+E878*$AE$14+F878*$AE$15+G878*$AE$16+H878*$AE$17+I878*$AE$18+J878*$AE$19+K878*$AE$20+L878*$AE$21+M878*$AE$22+N878*$AE$23+O878*$AE$24+P878*$AE$25+Q878*$AE$26+R878*$AE$27+S878*$AE$28+T878*$AE$29+U878*$AE$30</f>
        <v/>
      </c>
      <c r="W878" s="8">
        <f>1/(1+EXP(-V878))</f>
        <v/>
      </c>
      <c r="X878" s="9">
        <f>-IF(C878=1,LN(W878),LN(1-W878))</f>
        <v/>
      </c>
      <c r="Y878" s="8">
        <f>IF(C878=1,$AE$32,$AE$33)</f>
        <v/>
      </c>
      <c r="Z878" s="9">
        <f>Y878*X878</f>
        <v/>
      </c>
      <c r="AA878" s="10">
        <f>IF(W878&gt;$AE$34,1,0)</f>
        <v/>
      </c>
      <c r="AB878">
        <f>IF(AA878=C878,1,0)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$AE$12+D879*$AE$13+E879*$AE$14+F879*$AE$15+G879*$AE$16+H879*$AE$17+I879*$AE$18+J879*$AE$19+K879*$AE$20+L879*$AE$21+M879*$AE$22+N879*$AE$23+O879*$AE$24+P879*$AE$25+Q879*$AE$26+R879*$AE$27+S879*$AE$28+T879*$AE$29+U879*$AE$30</f>
        <v/>
      </c>
      <c r="W879" s="8">
        <f>1/(1+EXP(-V879))</f>
        <v/>
      </c>
      <c r="X879" s="9">
        <f>-IF(C879=1,LN(W879),LN(1-W879))</f>
        <v/>
      </c>
      <c r="Y879" s="8">
        <f>IF(C879=1,$AE$32,$AE$33)</f>
        <v/>
      </c>
      <c r="Z879" s="9">
        <f>Y879*X879</f>
        <v/>
      </c>
      <c r="AA879" s="10">
        <f>IF(W879&gt;$AE$34,1,0)</f>
        <v/>
      </c>
      <c r="AB879">
        <f>IF(AA879=C879,1,0)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$AE$12+D880*$AE$13+E880*$AE$14+F880*$AE$15+G880*$AE$16+H880*$AE$17+I880*$AE$18+J880*$AE$19+K880*$AE$20+L880*$AE$21+M880*$AE$22+N880*$AE$23+O880*$AE$24+P880*$AE$25+Q880*$AE$26+R880*$AE$27+S880*$AE$28+T880*$AE$29+U880*$AE$30</f>
        <v/>
      </c>
      <c r="W880" s="8">
        <f>1/(1+EXP(-V880))</f>
        <v/>
      </c>
      <c r="X880" s="9">
        <f>-IF(C880=1,LN(W880),LN(1-W880))</f>
        <v/>
      </c>
      <c r="Y880" s="8">
        <f>IF(C880=1,$AE$32,$AE$33)</f>
        <v/>
      </c>
      <c r="Z880" s="9">
        <f>Y880*X880</f>
        <v/>
      </c>
      <c r="AA880" s="10">
        <f>IF(W880&gt;$AE$34,1,0)</f>
        <v/>
      </c>
      <c r="AB880">
        <f>IF(AA880=C880,1,0)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$AE$12+D881*$AE$13+E881*$AE$14+F881*$AE$15+G881*$AE$16+H881*$AE$17+I881*$AE$18+J881*$AE$19+K881*$AE$20+L881*$AE$21+M881*$AE$22+N881*$AE$23+O881*$AE$24+P881*$AE$25+Q881*$AE$26+R881*$AE$27+S881*$AE$28+T881*$AE$29+U881*$AE$30</f>
        <v/>
      </c>
      <c r="W881" s="8">
        <f>1/(1+EXP(-V881))</f>
        <v/>
      </c>
      <c r="X881" s="9">
        <f>-IF(C881=1,LN(W881),LN(1-W881))</f>
        <v/>
      </c>
      <c r="Y881" s="8">
        <f>IF(C881=1,$AE$32,$AE$33)</f>
        <v/>
      </c>
      <c r="Z881" s="9">
        <f>Y881*X881</f>
        <v/>
      </c>
      <c r="AA881" s="10">
        <f>IF(W881&gt;$AE$34,1,0)</f>
        <v/>
      </c>
      <c r="AB881">
        <f>IF(AA881=C881,1,0)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$AE$12+D882*$AE$13+E882*$AE$14+F882*$AE$15+G882*$AE$16+H882*$AE$17+I882*$AE$18+J882*$AE$19+K882*$AE$20+L882*$AE$21+M882*$AE$22+N882*$AE$23+O882*$AE$24+P882*$AE$25+Q882*$AE$26+R882*$AE$27+S882*$AE$28+T882*$AE$29+U882*$AE$30</f>
        <v/>
      </c>
      <c r="W882" s="8">
        <f>1/(1+EXP(-V882))</f>
        <v/>
      </c>
      <c r="X882" s="9">
        <f>-IF(C882=1,LN(W882),LN(1-W882))</f>
        <v/>
      </c>
      <c r="Y882" s="8">
        <f>IF(C882=1,$AE$32,$AE$33)</f>
        <v/>
      </c>
      <c r="Z882" s="9">
        <f>Y882*X882</f>
        <v/>
      </c>
      <c r="AA882" s="10">
        <f>IF(W882&gt;$AE$34,1,0)</f>
        <v/>
      </c>
      <c r="AB882">
        <f>IF(AA882=C882,1,0)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$AE$12+D883*$AE$13+E883*$AE$14+F883*$AE$15+G883*$AE$16+H883*$AE$17+I883*$AE$18+J883*$AE$19+K883*$AE$20+L883*$AE$21+M883*$AE$22+N883*$AE$23+O883*$AE$24+P883*$AE$25+Q883*$AE$26+R883*$AE$27+S883*$AE$28+T883*$AE$29+U883*$AE$30</f>
        <v/>
      </c>
      <c r="W883" s="8">
        <f>1/(1+EXP(-V883))</f>
        <v/>
      </c>
      <c r="X883" s="9">
        <f>-IF(C883=1,LN(W883),LN(1-W883))</f>
        <v/>
      </c>
      <c r="Y883" s="8">
        <f>IF(C883=1,$AE$32,$AE$33)</f>
        <v/>
      </c>
      <c r="Z883" s="9">
        <f>Y883*X883</f>
        <v/>
      </c>
      <c r="AA883" s="10">
        <f>IF(W883&gt;$AE$34,1,0)</f>
        <v/>
      </c>
      <c r="AB883">
        <f>IF(AA883=C883,1,0)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$AE$12+D884*$AE$13+E884*$AE$14+F884*$AE$15+G884*$AE$16+H884*$AE$17+I884*$AE$18+J884*$AE$19+K884*$AE$20+L884*$AE$21+M884*$AE$22+N884*$AE$23+O884*$AE$24+P884*$AE$25+Q884*$AE$26+R884*$AE$27+S884*$AE$28+T884*$AE$29+U884*$AE$30</f>
        <v/>
      </c>
      <c r="W884" s="8">
        <f>1/(1+EXP(-V884))</f>
        <v/>
      </c>
      <c r="X884" s="9">
        <f>-IF(C884=1,LN(W884),LN(1-W884))</f>
        <v/>
      </c>
      <c r="Y884" s="8">
        <f>IF(C884=1,$AE$32,$AE$33)</f>
        <v/>
      </c>
      <c r="Z884" s="9">
        <f>Y884*X884</f>
        <v/>
      </c>
      <c r="AA884" s="10">
        <f>IF(W884&gt;$AE$34,1,0)</f>
        <v/>
      </c>
      <c r="AB884">
        <f>IF(AA884=C884,1,0)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$AE$12+D885*$AE$13+E885*$AE$14+F885*$AE$15+G885*$AE$16+H885*$AE$17+I885*$AE$18+J885*$AE$19+K885*$AE$20+L885*$AE$21+M885*$AE$22+N885*$AE$23+O885*$AE$24+P885*$AE$25+Q885*$AE$26+R885*$AE$27+S885*$AE$28+T885*$AE$29+U885*$AE$30</f>
        <v/>
      </c>
      <c r="W885" s="8">
        <f>1/(1+EXP(-V885))</f>
        <v/>
      </c>
      <c r="X885" s="9">
        <f>-IF(C885=1,LN(W885),LN(1-W885))</f>
        <v/>
      </c>
      <c r="Y885" s="8">
        <f>IF(C885=1,$AE$32,$AE$33)</f>
        <v/>
      </c>
      <c r="Z885" s="9">
        <f>Y885*X885</f>
        <v/>
      </c>
      <c r="AA885" s="10">
        <f>IF(W885&gt;$AE$34,1,0)</f>
        <v/>
      </c>
      <c r="AB885">
        <f>IF(AA885=C885,1,0)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$AE$12+D886*$AE$13+E886*$AE$14+F886*$AE$15+G886*$AE$16+H886*$AE$17+I886*$AE$18+J886*$AE$19+K886*$AE$20+L886*$AE$21+M886*$AE$22+N886*$AE$23+O886*$AE$24+P886*$AE$25+Q886*$AE$26+R886*$AE$27+S886*$AE$28+T886*$AE$29+U886*$AE$30</f>
        <v/>
      </c>
      <c r="W886" s="8">
        <f>1/(1+EXP(-V886))</f>
        <v/>
      </c>
      <c r="X886" s="9">
        <f>-IF(C886=1,LN(W886),LN(1-W886))</f>
        <v/>
      </c>
      <c r="Y886" s="8">
        <f>IF(C886=1,$AE$32,$AE$33)</f>
        <v/>
      </c>
      <c r="Z886" s="9">
        <f>Y886*X886</f>
        <v/>
      </c>
      <c r="AA886" s="10">
        <f>IF(W886&gt;$AE$34,1,0)</f>
        <v/>
      </c>
      <c r="AB886">
        <f>IF(AA886=C886,1,0)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$AE$12+D887*$AE$13+E887*$AE$14+F887*$AE$15+G887*$AE$16+H887*$AE$17+I887*$AE$18+J887*$AE$19+K887*$AE$20+L887*$AE$21+M887*$AE$22+N887*$AE$23+O887*$AE$24+P887*$AE$25+Q887*$AE$26+R887*$AE$27+S887*$AE$28+T887*$AE$29+U887*$AE$30</f>
        <v/>
      </c>
      <c r="W887" s="8">
        <f>1/(1+EXP(-V887))</f>
        <v/>
      </c>
      <c r="X887" s="9">
        <f>-IF(C887=1,LN(W887),LN(1-W887))</f>
        <v/>
      </c>
      <c r="Y887" s="8">
        <f>IF(C887=1,$AE$32,$AE$33)</f>
        <v/>
      </c>
      <c r="Z887" s="9">
        <f>Y887*X887</f>
        <v/>
      </c>
      <c r="AA887" s="10">
        <f>IF(W887&gt;$AE$34,1,0)</f>
        <v/>
      </c>
      <c r="AB887">
        <f>IF(AA887=C887,1,0)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$AE$12+D888*$AE$13+E888*$AE$14+F888*$AE$15+G888*$AE$16+H888*$AE$17+I888*$AE$18+J888*$AE$19+K888*$AE$20+L888*$AE$21+M888*$AE$22+N888*$AE$23+O888*$AE$24+P888*$AE$25+Q888*$AE$26+R888*$AE$27+S888*$AE$28+T888*$AE$29+U888*$AE$30</f>
        <v/>
      </c>
      <c r="W888" s="8">
        <f>1/(1+EXP(-V888))</f>
        <v/>
      </c>
      <c r="X888" s="9">
        <f>-IF(C888=1,LN(W888),LN(1-W888))</f>
        <v/>
      </c>
      <c r="Y888" s="8">
        <f>IF(C888=1,$AE$32,$AE$33)</f>
        <v/>
      </c>
      <c r="Z888" s="9">
        <f>Y888*X888</f>
        <v/>
      </c>
      <c r="AA888" s="10">
        <f>IF(W888&gt;$AE$34,1,0)</f>
        <v/>
      </c>
      <c r="AB888">
        <f>IF(AA888=C888,1,0)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$AE$12+D889*$AE$13+E889*$AE$14+F889*$AE$15+G889*$AE$16+H889*$AE$17+I889*$AE$18+J889*$AE$19+K889*$AE$20+L889*$AE$21+M889*$AE$22+N889*$AE$23+O889*$AE$24+P889*$AE$25+Q889*$AE$26+R889*$AE$27+S889*$AE$28+T889*$AE$29+U889*$AE$30</f>
        <v/>
      </c>
      <c r="W889" s="8">
        <f>1/(1+EXP(-V889))</f>
        <v/>
      </c>
      <c r="X889" s="9">
        <f>-IF(C889=1,LN(W889),LN(1-W889))</f>
        <v/>
      </c>
      <c r="Y889" s="8">
        <f>IF(C889=1,$AE$32,$AE$33)</f>
        <v/>
      </c>
      <c r="Z889" s="9">
        <f>Y889*X889</f>
        <v/>
      </c>
      <c r="AA889" s="10">
        <f>IF(W889&gt;$AE$34,1,0)</f>
        <v/>
      </c>
      <c r="AB889">
        <f>IF(AA889=C889,1,0)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$AE$12+D890*$AE$13+E890*$AE$14+F890*$AE$15+G890*$AE$16+H890*$AE$17+I890*$AE$18+J890*$AE$19+K890*$AE$20+L890*$AE$21+M890*$AE$22+N890*$AE$23+O890*$AE$24+P890*$AE$25+Q890*$AE$26+R890*$AE$27+S890*$AE$28+T890*$AE$29+U890*$AE$30</f>
        <v/>
      </c>
      <c r="W890" s="8">
        <f>1/(1+EXP(-V890))</f>
        <v/>
      </c>
      <c r="X890" s="9">
        <f>-IF(C890=1,LN(W890),LN(1-W890))</f>
        <v/>
      </c>
      <c r="Y890" s="8">
        <f>IF(C890=1,$AE$32,$AE$33)</f>
        <v/>
      </c>
      <c r="Z890" s="9">
        <f>Y890*X890</f>
        <v/>
      </c>
      <c r="AA890" s="10">
        <f>IF(W890&gt;$AE$34,1,0)</f>
        <v/>
      </c>
      <c r="AB890">
        <f>IF(AA890=C890,1,0)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$AE$12+D891*$AE$13+E891*$AE$14+F891*$AE$15+G891*$AE$16+H891*$AE$17+I891*$AE$18+J891*$AE$19+K891*$AE$20+L891*$AE$21+M891*$AE$22+N891*$AE$23+O891*$AE$24+P891*$AE$25+Q891*$AE$26+R891*$AE$27+S891*$AE$28+T891*$AE$29+U891*$AE$30</f>
        <v/>
      </c>
      <c r="W891" s="8">
        <f>1/(1+EXP(-V891))</f>
        <v/>
      </c>
      <c r="X891" s="9">
        <f>-IF(C891=1,LN(W891),LN(1-W891))</f>
        <v/>
      </c>
      <c r="Y891" s="8">
        <f>IF(C891=1,$AE$32,$AE$33)</f>
        <v/>
      </c>
      <c r="Z891" s="9">
        <f>Y891*X891</f>
        <v/>
      </c>
      <c r="AA891" s="10">
        <f>IF(W891&gt;$AE$34,1,0)</f>
        <v/>
      </c>
      <c r="AB891">
        <f>IF(AA891=C891,1,0)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$AE$12+D892*$AE$13+E892*$AE$14+F892*$AE$15+G892*$AE$16+H892*$AE$17+I892*$AE$18+J892*$AE$19+K892*$AE$20+L892*$AE$21+M892*$AE$22+N892*$AE$23+O892*$AE$24+P892*$AE$25+Q892*$AE$26+R892*$AE$27+S892*$AE$28+T892*$AE$29+U892*$AE$30</f>
        <v/>
      </c>
      <c r="W892" s="8">
        <f>1/(1+EXP(-V892))</f>
        <v/>
      </c>
      <c r="X892" s="9">
        <f>-IF(C892=1,LN(W892),LN(1-W892))</f>
        <v/>
      </c>
      <c r="Y892" s="8">
        <f>IF(C892=1,$AE$32,$AE$33)</f>
        <v/>
      </c>
      <c r="Z892" s="9">
        <f>Y892*X892</f>
        <v/>
      </c>
      <c r="AA892" s="10">
        <f>IF(W892&gt;$AE$34,1,0)</f>
        <v/>
      </c>
      <c r="AB892">
        <f>IF(AA892=C892,1,0)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$AE$12+D893*$AE$13+E893*$AE$14+F893*$AE$15+G893*$AE$16+H893*$AE$17+I893*$AE$18+J893*$AE$19+K893*$AE$20+L893*$AE$21+M893*$AE$22+N893*$AE$23+O893*$AE$24+P893*$AE$25+Q893*$AE$26+R893*$AE$27+S893*$AE$28+T893*$AE$29+U893*$AE$30</f>
        <v/>
      </c>
      <c r="W893" s="8">
        <f>1/(1+EXP(-V893))</f>
        <v/>
      </c>
      <c r="X893" s="9">
        <f>-IF(C893=1,LN(W893),LN(1-W893))</f>
        <v/>
      </c>
      <c r="Y893" s="8">
        <f>IF(C893=1,$AE$32,$AE$33)</f>
        <v/>
      </c>
      <c r="Z893" s="9">
        <f>Y893*X893</f>
        <v/>
      </c>
      <c r="AA893" s="10">
        <f>IF(W893&gt;$AE$34,1,0)</f>
        <v/>
      </c>
      <c r="AB893">
        <f>IF(AA893=C893,1,0)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$AE$12+D894*$AE$13+E894*$AE$14+F894*$AE$15+G894*$AE$16+H894*$AE$17+I894*$AE$18+J894*$AE$19+K894*$AE$20+L894*$AE$21+M894*$AE$22+N894*$AE$23+O894*$AE$24+P894*$AE$25+Q894*$AE$26+R894*$AE$27+S894*$AE$28+T894*$AE$29+U894*$AE$30</f>
        <v/>
      </c>
      <c r="W894" s="8">
        <f>1/(1+EXP(-V894))</f>
        <v/>
      </c>
      <c r="X894" s="9">
        <f>-IF(C894=1,LN(W894),LN(1-W894))</f>
        <v/>
      </c>
      <c r="Y894" s="8">
        <f>IF(C894=1,$AE$32,$AE$33)</f>
        <v/>
      </c>
      <c r="Z894" s="9">
        <f>Y894*X894</f>
        <v/>
      </c>
      <c r="AA894" s="10">
        <f>IF(W894&gt;$AE$34,1,0)</f>
        <v/>
      </c>
      <c r="AB894">
        <f>IF(AA894=C894,1,0)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$AE$12+D895*$AE$13+E895*$AE$14+F895*$AE$15+G895*$AE$16+H895*$AE$17+I895*$AE$18+J895*$AE$19+K895*$AE$20+L895*$AE$21+M895*$AE$22+N895*$AE$23+O895*$AE$24+P895*$AE$25+Q895*$AE$26+R895*$AE$27+S895*$AE$28+T895*$AE$29+U895*$AE$30</f>
        <v/>
      </c>
      <c r="W895" s="8">
        <f>1/(1+EXP(-V895))</f>
        <v/>
      </c>
      <c r="X895" s="9">
        <f>-IF(C895=1,LN(W895),LN(1-W895))</f>
        <v/>
      </c>
      <c r="Y895" s="8">
        <f>IF(C895=1,$AE$32,$AE$33)</f>
        <v/>
      </c>
      <c r="Z895" s="9">
        <f>Y895*X895</f>
        <v/>
      </c>
      <c r="AA895" s="10">
        <f>IF(W895&gt;$AE$34,1,0)</f>
        <v/>
      </c>
      <c r="AB895">
        <f>IF(AA895=C895,1,0)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$AE$12+D896*$AE$13+E896*$AE$14+F896*$AE$15+G896*$AE$16+H896*$AE$17+I896*$AE$18+J896*$AE$19+K896*$AE$20+L896*$AE$21+M896*$AE$22+N896*$AE$23+O896*$AE$24+P896*$AE$25+Q896*$AE$26+R896*$AE$27+S896*$AE$28+T896*$AE$29+U896*$AE$30</f>
        <v/>
      </c>
      <c r="W896" s="8">
        <f>1/(1+EXP(-V896))</f>
        <v/>
      </c>
      <c r="X896" s="9">
        <f>-IF(C896=1,LN(W896),LN(1-W896))</f>
        <v/>
      </c>
      <c r="Y896" s="8">
        <f>IF(C896=1,$AE$32,$AE$33)</f>
        <v/>
      </c>
      <c r="Z896" s="9">
        <f>Y896*X896</f>
        <v/>
      </c>
      <c r="AA896" s="10">
        <f>IF(W896&gt;$AE$34,1,0)</f>
        <v/>
      </c>
      <c r="AB896">
        <f>IF(AA896=C896,1,0)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$AE$12+D897*$AE$13+E897*$AE$14+F897*$AE$15+G897*$AE$16+H897*$AE$17+I897*$AE$18+J897*$AE$19+K897*$AE$20+L897*$AE$21+M897*$AE$22+N897*$AE$23+O897*$AE$24+P897*$AE$25+Q897*$AE$26+R897*$AE$27+S897*$AE$28+T897*$AE$29+U897*$AE$30</f>
        <v/>
      </c>
      <c r="W897" s="8">
        <f>1/(1+EXP(-V897))</f>
        <v/>
      </c>
      <c r="X897" s="9">
        <f>-IF(C897=1,LN(W897),LN(1-W897))</f>
        <v/>
      </c>
      <c r="Y897" s="8">
        <f>IF(C897=1,$AE$32,$AE$33)</f>
        <v/>
      </c>
      <c r="Z897" s="9">
        <f>Y897*X897</f>
        <v/>
      </c>
      <c r="AA897" s="10">
        <f>IF(W897&gt;$AE$34,1,0)</f>
        <v/>
      </c>
      <c r="AB897">
        <f>IF(AA897=C897,1,0)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$AE$12+D898*$AE$13+E898*$AE$14+F898*$AE$15+G898*$AE$16+H898*$AE$17+I898*$AE$18+J898*$AE$19+K898*$AE$20+L898*$AE$21+M898*$AE$22+N898*$AE$23+O898*$AE$24+P898*$AE$25+Q898*$AE$26+R898*$AE$27+S898*$AE$28+T898*$AE$29+U898*$AE$30</f>
        <v/>
      </c>
      <c r="W898" s="8">
        <f>1/(1+EXP(-V898))</f>
        <v/>
      </c>
      <c r="X898" s="9">
        <f>-IF(C898=1,LN(W898),LN(1-W898))</f>
        <v/>
      </c>
      <c r="Y898" s="8">
        <f>IF(C898=1,$AE$32,$AE$33)</f>
        <v/>
      </c>
      <c r="Z898" s="9">
        <f>Y898*X898</f>
        <v/>
      </c>
      <c r="AA898" s="10">
        <f>IF(W898&gt;$AE$34,1,0)</f>
        <v/>
      </c>
      <c r="AB898">
        <f>IF(AA898=C898,1,0)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$AE$12+D899*$AE$13+E899*$AE$14+F899*$AE$15+G899*$AE$16+H899*$AE$17+I899*$AE$18+J899*$AE$19+K899*$AE$20+L899*$AE$21+M899*$AE$22+N899*$AE$23+O899*$AE$24+P899*$AE$25+Q899*$AE$26+R899*$AE$27+S899*$AE$28+T899*$AE$29+U899*$AE$30</f>
        <v/>
      </c>
      <c r="W899" s="8">
        <f>1/(1+EXP(-V899))</f>
        <v/>
      </c>
      <c r="X899" s="9">
        <f>-IF(C899=1,LN(W899),LN(1-W899))</f>
        <v/>
      </c>
      <c r="Y899" s="8">
        <f>IF(C899=1,$AE$32,$AE$33)</f>
        <v/>
      </c>
      <c r="Z899" s="9">
        <f>Y899*X899</f>
        <v/>
      </c>
      <c r="AA899" s="10">
        <f>IF(W899&gt;$AE$34,1,0)</f>
        <v/>
      </c>
      <c r="AB899">
        <f>IF(AA899=C899,1,0)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$AE$12+D900*$AE$13+E900*$AE$14+F900*$AE$15+G900*$AE$16+H900*$AE$17+I900*$AE$18+J900*$AE$19+K900*$AE$20+L900*$AE$21+M900*$AE$22+N900*$AE$23+O900*$AE$24+P900*$AE$25+Q900*$AE$26+R900*$AE$27+S900*$AE$28+T900*$AE$29+U900*$AE$30</f>
        <v/>
      </c>
      <c r="W900" s="8">
        <f>1/(1+EXP(-V900))</f>
        <v/>
      </c>
      <c r="X900" s="9">
        <f>-IF(C900=1,LN(W900),LN(1-W900))</f>
        <v/>
      </c>
      <c r="Y900" s="8">
        <f>IF(C900=1,$AE$32,$AE$33)</f>
        <v/>
      </c>
      <c r="Z900" s="9">
        <f>Y900*X900</f>
        <v/>
      </c>
      <c r="AA900" s="10">
        <f>IF(W900&gt;$AE$34,1,0)</f>
        <v/>
      </c>
      <c r="AB900">
        <f>IF(AA900=C900,1,0)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$AE$12+D901*$AE$13+E901*$AE$14+F901*$AE$15+G901*$AE$16+H901*$AE$17+I901*$AE$18+J901*$AE$19+K901*$AE$20+L901*$AE$21+M901*$AE$22+N901*$AE$23+O901*$AE$24+P901*$AE$25+Q901*$AE$26+R901*$AE$27+S901*$AE$28+T901*$AE$29+U901*$AE$30</f>
        <v/>
      </c>
      <c r="W901" s="8">
        <f>1/(1+EXP(-V901))</f>
        <v/>
      </c>
      <c r="X901" s="9">
        <f>-IF(C901=1,LN(W901),LN(1-W901))</f>
        <v/>
      </c>
      <c r="Y901" s="8">
        <f>IF(C901=1,$AE$32,$AE$33)</f>
        <v/>
      </c>
      <c r="Z901" s="9">
        <f>Y901*X901</f>
        <v/>
      </c>
      <c r="AA901" s="10">
        <f>IF(W901&gt;$AE$34,1,0)</f>
        <v/>
      </c>
      <c r="AB901">
        <f>IF(AA901=C901,1,0)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$AE$12+D902*$AE$13+E902*$AE$14+F902*$AE$15+G902*$AE$16+H902*$AE$17+I902*$AE$18+J902*$AE$19+K902*$AE$20+L902*$AE$21+M902*$AE$22+N902*$AE$23+O902*$AE$24+P902*$AE$25+Q902*$AE$26+R902*$AE$27+S902*$AE$28+T902*$AE$29+U902*$AE$30</f>
        <v/>
      </c>
      <c r="W902" s="8">
        <f>1/(1+EXP(-V902))</f>
        <v/>
      </c>
      <c r="X902" s="9">
        <f>-IF(C902=1,LN(W902),LN(1-W902))</f>
        <v/>
      </c>
      <c r="Y902" s="8">
        <f>IF(C902=1,$AE$32,$AE$33)</f>
        <v/>
      </c>
      <c r="Z902" s="9">
        <f>Y902*X902</f>
        <v/>
      </c>
      <c r="AA902" s="10">
        <f>IF(W902&gt;$AE$34,1,0)</f>
        <v/>
      </c>
      <c r="AB902">
        <f>IF(AA902=C902,1,0)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$AE$12+D903*$AE$13+E903*$AE$14+F903*$AE$15+G903*$AE$16+H903*$AE$17+I903*$AE$18+J903*$AE$19+K903*$AE$20+L903*$AE$21+M903*$AE$22+N903*$AE$23+O903*$AE$24+P903*$AE$25+Q903*$AE$26+R903*$AE$27+S903*$AE$28+T903*$AE$29+U903*$AE$30</f>
        <v/>
      </c>
      <c r="W903" s="8">
        <f>1/(1+EXP(-V903))</f>
        <v/>
      </c>
      <c r="X903" s="9">
        <f>-IF(C903=1,LN(W903),LN(1-W903))</f>
        <v/>
      </c>
      <c r="Y903" s="8">
        <f>IF(C903=1,$AE$32,$AE$33)</f>
        <v/>
      </c>
      <c r="Z903" s="9">
        <f>Y903*X903</f>
        <v/>
      </c>
      <c r="AA903" s="10">
        <f>IF(W903&gt;$AE$34,1,0)</f>
        <v/>
      </c>
      <c r="AB903">
        <f>IF(AA903=C903,1,0)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$AE$12+D904*$AE$13+E904*$AE$14+F904*$AE$15+G904*$AE$16+H904*$AE$17+I904*$AE$18+J904*$AE$19+K904*$AE$20+L904*$AE$21+M904*$AE$22+N904*$AE$23+O904*$AE$24+P904*$AE$25+Q904*$AE$26+R904*$AE$27+S904*$AE$28+T904*$AE$29+U904*$AE$30</f>
        <v/>
      </c>
      <c r="W904" s="8">
        <f>1/(1+EXP(-V904))</f>
        <v/>
      </c>
      <c r="X904" s="9">
        <f>-IF(C904=1,LN(W904),LN(1-W904))</f>
        <v/>
      </c>
      <c r="Y904" s="8">
        <f>IF(C904=1,$AE$32,$AE$33)</f>
        <v/>
      </c>
      <c r="Z904" s="9">
        <f>Y904*X904</f>
        <v/>
      </c>
      <c r="AA904" s="10">
        <f>IF(W904&gt;$AE$34,1,0)</f>
        <v/>
      </c>
      <c r="AB904">
        <f>IF(AA904=C904,1,0)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$AE$12+D905*$AE$13+E905*$AE$14+F905*$AE$15+G905*$AE$16+H905*$AE$17+I905*$AE$18+J905*$AE$19+K905*$AE$20+L905*$AE$21+M905*$AE$22+N905*$AE$23+O905*$AE$24+P905*$AE$25+Q905*$AE$26+R905*$AE$27+S905*$AE$28+T905*$AE$29+U905*$AE$30</f>
        <v/>
      </c>
      <c r="W905" s="8">
        <f>1/(1+EXP(-V905))</f>
        <v/>
      </c>
      <c r="X905" s="9">
        <f>-IF(C905=1,LN(W905),LN(1-W905))</f>
        <v/>
      </c>
      <c r="Y905" s="8">
        <f>IF(C905=1,$AE$32,$AE$33)</f>
        <v/>
      </c>
      <c r="Z905" s="9">
        <f>Y905*X905</f>
        <v/>
      </c>
      <c r="AA905" s="10">
        <f>IF(W905&gt;$AE$34,1,0)</f>
        <v/>
      </c>
      <c r="AB905">
        <f>IF(AA905=C905,1,0)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$AE$12+D906*$AE$13+E906*$AE$14+F906*$AE$15+G906*$AE$16+H906*$AE$17+I906*$AE$18+J906*$AE$19+K906*$AE$20+L906*$AE$21+M906*$AE$22+N906*$AE$23+O906*$AE$24+P906*$AE$25+Q906*$AE$26+R906*$AE$27+S906*$AE$28+T906*$AE$29+U906*$AE$30</f>
        <v/>
      </c>
      <c r="W906" s="8">
        <f>1/(1+EXP(-V906))</f>
        <v/>
      </c>
      <c r="X906" s="9">
        <f>-IF(C906=1,LN(W906),LN(1-W906))</f>
        <v/>
      </c>
      <c r="Y906" s="8">
        <f>IF(C906=1,$AE$32,$AE$33)</f>
        <v/>
      </c>
      <c r="Z906" s="9">
        <f>Y906*X906</f>
        <v/>
      </c>
      <c r="AA906" s="10">
        <f>IF(W906&gt;$AE$34,1,0)</f>
        <v/>
      </c>
      <c r="AB906">
        <f>IF(AA906=C906,1,0)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$AE$12+D907*$AE$13+E907*$AE$14+F907*$AE$15+G907*$AE$16+H907*$AE$17+I907*$AE$18+J907*$AE$19+K907*$AE$20+L907*$AE$21+M907*$AE$22+N907*$AE$23+O907*$AE$24+P907*$AE$25+Q907*$AE$26+R907*$AE$27+S907*$AE$28+T907*$AE$29+U907*$AE$30</f>
        <v/>
      </c>
      <c r="W907" s="8">
        <f>1/(1+EXP(-V907))</f>
        <v/>
      </c>
      <c r="X907" s="9">
        <f>-IF(C907=1,LN(W907),LN(1-W907))</f>
        <v/>
      </c>
      <c r="Y907" s="8">
        <f>IF(C907=1,$AE$32,$AE$33)</f>
        <v/>
      </c>
      <c r="Z907" s="9">
        <f>Y907*X907</f>
        <v/>
      </c>
      <c r="AA907" s="10">
        <f>IF(W907&gt;$AE$34,1,0)</f>
        <v/>
      </c>
      <c r="AB907">
        <f>IF(AA907=C907,1,0)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$AE$12+D908*$AE$13+E908*$AE$14+F908*$AE$15+G908*$AE$16+H908*$AE$17+I908*$AE$18+J908*$AE$19+K908*$AE$20+L908*$AE$21+M908*$AE$22+N908*$AE$23+O908*$AE$24+P908*$AE$25+Q908*$AE$26+R908*$AE$27+S908*$AE$28+T908*$AE$29+U908*$AE$30</f>
        <v/>
      </c>
      <c r="W908" s="8">
        <f>1/(1+EXP(-V908))</f>
        <v/>
      </c>
      <c r="X908" s="9">
        <f>-IF(C908=1,LN(W908),LN(1-W908))</f>
        <v/>
      </c>
      <c r="Y908" s="8">
        <f>IF(C908=1,$AE$32,$AE$33)</f>
        <v/>
      </c>
      <c r="Z908" s="9">
        <f>Y908*X908</f>
        <v/>
      </c>
      <c r="AA908" s="10">
        <f>IF(W908&gt;$AE$34,1,0)</f>
        <v/>
      </c>
      <c r="AB908">
        <f>IF(AA908=C908,1,0)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$AE$12+D909*$AE$13+E909*$AE$14+F909*$AE$15+G909*$AE$16+H909*$AE$17+I909*$AE$18+J909*$AE$19+K909*$AE$20+L909*$AE$21+M909*$AE$22+N909*$AE$23+O909*$AE$24+P909*$AE$25+Q909*$AE$26+R909*$AE$27+S909*$AE$28+T909*$AE$29+U909*$AE$30</f>
        <v/>
      </c>
      <c r="W909" s="8">
        <f>1/(1+EXP(-V909))</f>
        <v/>
      </c>
      <c r="X909" s="9">
        <f>-IF(C909=1,LN(W909),LN(1-W909))</f>
        <v/>
      </c>
      <c r="Y909" s="8">
        <f>IF(C909=1,$AE$32,$AE$33)</f>
        <v/>
      </c>
      <c r="Z909" s="9">
        <f>Y909*X909</f>
        <v/>
      </c>
      <c r="AA909" s="10">
        <f>IF(W909&gt;$AE$34,1,0)</f>
        <v/>
      </c>
      <c r="AB909">
        <f>IF(AA909=C909,1,0)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$AE$12+D910*$AE$13+E910*$AE$14+F910*$AE$15+G910*$AE$16+H910*$AE$17+I910*$AE$18+J910*$AE$19+K910*$AE$20+L910*$AE$21+M910*$AE$22+N910*$AE$23+O910*$AE$24+P910*$AE$25+Q910*$AE$26+R910*$AE$27+S910*$AE$28+T910*$AE$29+U910*$AE$30</f>
        <v/>
      </c>
      <c r="W910" s="8">
        <f>1/(1+EXP(-V910))</f>
        <v/>
      </c>
      <c r="X910" s="9">
        <f>-IF(C910=1,LN(W910),LN(1-W910))</f>
        <v/>
      </c>
      <c r="Y910" s="8">
        <f>IF(C910=1,$AE$32,$AE$33)</f>
        <v/>
      </c>
      <c r="Z910" s="9">
        <f>Y910*X910</f>
        <v/>
      </c>
      <c r="AA910" s="10">
        <f>IF(W910&gt;$AE$34,1,0)</f>
        <v/>
      </c>
      <c r="AB910">
        <f>IF(AA910=C910,1,0)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$AE$12+D911*$AE$13+E911*$AE$14+F911*$AE$15+G911*$AE$16+H911*$AE$17+I911*$AE$18+J911*$AE$19+K911*$AE$20+L911*$AE$21+M911*$AE$22+N911*$AE$23+O911*$AE$24+P911*$AE$25+Q911*$AE$26+R911*$AE$27+S911*$AE$28+T911*$AE$29+U911*$AE$30</f>
        <v/>
      </c>
      <c r="W911" s="8">
        <f>1/(1+EXP(-V911))</f>
        <v/>
      </c>
      <c r="X911" s="9">
        <f>-IF(C911=1,LN(W911),LN(1-W911))</f>
        <v/>
      </c>
      <c r="Y911" s="8">
        <f>IF(C911=1,$AE$32,$AE$33)</f>
        <v/>
      </c>
      <c r="Z911" s="9">
        <f>Y911*X911</f>
        <v/>
      </c>
      <c r="AA911" s="10">
        <f>IF(W911&gt;$AE$34,1,0)</f>
        <v/>
      </c>
      <c r="AB911">
        <f>IF(AA911=C911,1,0)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$AE$12+D912*$AE$13+E912*$AE$14+F912*$AE$15+G912*$AE$16+H912*$AE$17+I912*$AE$18+J912*$AE$19+K912*$AE$20+L912*$AE$21+M912*$AE$22+N912*$AE$23+O912*$AE$24+P912*$AE$25+Q912*$AE$26+R912*$AE$27+S912*$AE$28+T912*$AE$29+U912*$AE$30</f>
        <v/>
      </c>
      <c r="W912" s="8">
        <f>1/(1+EXP(-V912))</f>
        <v/>
      </c>
      <c r="X912" s="9">
        <f>-IF(C912=1,LN(W912),LN(1-W912))</f>
        <v/>
      </c>
      <c r="Y912" s="8">
        <f>IF(C912=1,$AE$32,$AE$33)</f>
        <v/>
      </c>
      <c r="Z912" s="9">
        <f>Y912*X912</f>
        <v/>
      </c>
      <c r="AA912" s="10">
        <f>IF(W912&gt;$AE$34,1,0)</f>
        <v/>
      </c>
      <c r="AB912">
        <f>IF(AA912=C912,1,0)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$AE$12+D913*$AE$13+E913*$AE$14+F913*$AE$15+G913*$AE$16+H913*$AE$17+I913*$AE$18+J913*$AE$19+K913*$AE$20+L913*$AE$21+M913*$AE$22+N913*$AE$23+O913*$AE$24+P913*$AE$25+Q913*$AE$26+R913*$AE$27+S913*$AE$28+T913*$AE$29+U913*$AE$30</f>
        <v/>
      </c>
      <c r="W913" s="8">
        <f>1/(1+EXP(-V913))</f>
        <v/>
      </c>
      <c r="X913" s="9">
        <f>-IF(C913=1,LN(W913),LN(1-W913))</f>
        <v/>
      </c>
      <c r="Y913" s="8">
        <f>IF(C913=1,$AE$32,$AE$33)</f>
        <v/>
      </c>
      <c r="Z913" s="9">
        <f>Y913*X913</f>
        <v/>
      </c>
      <c r="AA913" s="10">
        <f>IF(W913&gt;$AE$34,1,0)</f>
        <v/>
      </c>
      <c r="AB913">
        <f>IF(AA913=C913,1,0)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$AE$12+D914*$AE$13+E914*$AE$14+F914*$AE$15+G914*$AE$16+H914*$AE$17+I914*$AE$18+J914*$AE$19+K914*$AE$20+L914*$AE$21+M914*$AE$22+N914*$AE$23+O914*$AE$24+P914*$AE$25+Q914*$AE$26+R914*$AE$27+S914*$AE$28+T914*$AE$29+U914*$AE$30</f>
        <v/>
      </c>
      <c r="W914" s="8">
        <f>1/(1+EXP(-V914))</f>
        <v/>
      </c>
      <c r="X914" s="9">
        <f>-IF(C914=1,LN(W914),LN(1-W914))</f>
        <v/>
      </c>
      <c r="Y914" s="8">
        <f>IF(C914=1,$AE$32,$AE$33)</f>
        <v/>
      </c>
      <c r="Z914" s="9">
        <f>Y914*X914</f>
        <v/>
      </c>
      <c r="AA914" s="10">
        <f>IF(W914&gt;$AE$34,1,0)</f>
        <v/>
      </c>
      <c r="AB914">
        <f>IF(AA914=C914,1,0)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$AE$12+D915*$AE$13+E915*$AE$14+F915*$AE$15+G915*$AE$16+H915*$AE$17+I915*$AE$18+J915*$AE$19+K915*$AE$20+L915*$AE$21+M915*$AE$22+N915*$AE$23+O915*$AE$24+P915*$AE$25+Q915*$AE$26+R915*$AE$27+S915*$AE$28+T915*$AE$29+U915*$AE$30</f>
        <v/>
      </c>
      <c r="W915" s="8">
        <f>1/(1+EXP(-V915))</f>
        <v/>
      </c>
      <c r="X915" s="9">
        <f>-IF(C915=1,LN(W915),LN(1-W915))</f>
        <v/>
      </c>
      <c r="Y915" s="8">
        <f>IF(C915=1,$AE$32,$AE$33)</f>
        <v/>
      </c>
      <c r="Z915" s="9">
        <f>Y915*X915</f>
        <v/>
      </c>
      <c r="AA915" s="10">
        <f>IF(W915&gt;$AE$34,1,0)</f>
        <v/>
      </c>
      <c r="AB915">
        <f>IF(AA915=C915,1,0)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$AE$12+D916*$AE$13+E916*$AE$14+F916*$AE$15+G916*$AE$16+H916*$AE$17+I916*$AE$18+J916*$AE$19+K916*$AE$20+L916*$AE$21+M916*$AE$22+N916*$AE$23+O916*$AE$24+P916*$AE$25+Q916*$AE$26+R916*$AE$27+S916*$AE$28+T916*$AE$29+U916*$AE$30</f>
        <v/>
      </c>
      <c r="W916" s="8">
        <f>1/(1+EXP(-V916))</f>
        <v/>
      </c>
      <c r="X916" s="9">
        <f>-IF(C916=1,LN(W916),LN(1-W916))</f>
        <v/>
      </c>
      <c r="Y916" s="8">
        <f>IF(C916=1,$AE$32,$AE$33)</f>
        <v/>
      </c>
      <c r="Z916" s="9">
        <f>Y916*X916</f>
        <v/>
      </c>
      <c r="AA916" s="10">
        <f>IF(W916&gt;$AE$34,1,0)</f>
        <v/>
      </c>
      <c r="AB916">
        <f>IF(AA916=C916,1,0)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$AE$12+D917*$AE$13+E917*$AE$14+F917*$AE$15+G917*$AE$16+H917*$AE$17+I917*$AE$18+J917*$AE$19+K917*$AE$20+L917*$AE$21+M917*$AE$22+N917*$AE$23+O917*$AE$24+P917*$AE$25+Q917*$AE$26+R917*$AE$27+S917*$AE$28+T917*$AE$29+U917*$AE$30</f>
        <v/>
      </c>
      <c r="W917" s="8">
        <f>1/(1+EXP(-V917))</f>
        <v/>
      </c>
      <c r="X917" s="9">
        <f>-IF(C917=1,LN(W917),LN(1-W917))</f>
        <v/>
      </c>
      <c r="Y917" s="8">
        <f>IF(C917=1,$AE$32,$AE$33)</f>
        <v/>
      </c>
      <c r="Z917" s="9">
        <f>Y917*X917</f>
        <v/>
      </c>
      <c r="AA917" s="10">
        <f>IF(W917&gt;$AE$34,1,0)</f>
        <v/>
      </c>
      <c r="AB917">
        <f>IF(AA917=C917,1,0)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$AE$12+D918*$AE$13+E918*$AE$14+F918*$AE$15+G918*$AE$16+H918*$AE$17+I918*$AE$18+J918*$AE$19+K918*$AE$20+L918*$AE$21+M918*$AE$22+N918*$AE$23+O918*$AE$24+P918*$AE$25+Q918*$AE$26+R918*$AE$27+S918*$AE$28+T918*$AE$29+U918*$AE$30</f>
        <v/>
      </c>
      <c r="W918" s="8">
        <f>1/(1+EXP(-V918))</f>
        <v/>
      </c>
      <c r="X918" s="9">
        <f>-IF(C918=1,LN(W918),LN(1-W918))</f>
        <v/>
      </c>
      <c r="Y918" s="8">
        <f>IF(C918=1,$AE$32,$AE$33)</f>
        <v/>
      </c>
      <c r="Z918" s="9">
        <f>Y918*X918</f>
        <v/>
      </c>
      <c r="AA918" s="10">
        <f>IF(W918&gt;$AE$34,1,0)</f>
        <v/>
      </c>
      <c r="AB918">
        <f>IF(AA918=C918,1,0)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$AE$12+D919*$AE$13+E919*$AE$14+F919*$AE$15+G919*$AE$16+H919*$AE$17+I919*$AE$18+J919*$AE$19+K919*$AE$20+L919*$AE$21+M919*$AE$22+N919*$AE$23+O919*$AE$24+P919*$AE$25+Q919*$AE$26+R919*$AE$27+S919*$AE$28+T919*$AE$29+U919*$AE$30</f>
        <v/>
      </c>
      <c r="W919" s="8">
        <f>1/(1+EXP(-V919))</f>
        <v/>
      </c>
      <c r="X919" s="9">
        <f>-IF(C919=1,LN(W919),LN(1-W919))</f>
        <v/>
      </c>
      <c r="Y919" s="8">
        <f>IF(C919=1,$AE$32,$AE$33)</f>
        <v/>
      </c>
      <c r="Z919" s="9">
        <f>Y919*X919</f>
        <v/>
      </c>
      <c r="AA919" s="10">
        <f>IF(W919&gt;$AE$34,1,0)</f>
        <v/>
      </c>
      <c r="AB919">
        <f>IF(AA919=C919,1,0)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$AE$12+D920*$AE$13+E920*$AE$14+F920*$AE$15+G920*$AE$16+H920*$AE$17+I920*$AE$18+J920*$AE$19+K920*$AE$20+L920*$AE$21+M920*$AE$22+N920*$AE$23+O920*$AE$24+P920*$AE$25+Q920*$AE$26+R920*$AE$27+S920*$AE$28+T920*$AE$29+U920*$AE$30</f>
        <v/>
      </c>
      <c r="W920" s="8">
        <f>1/(1+EXP(-V920))</f>
        <v/>
      </c>
      <c r="X920" s="9">
        <f>-IF(C920=1,LN(W920),LN(1-W920))</f>
        <v/>
      </c>
      <c r="Y920" s="8">
        <f>IF(C920=1,$AE$32,$AE$33)</f>
        <v/>
      </c>
      <c r="Z920" s="9">
        <f>Y920*X920</f>
        <v/>
      </c>
      <c r="AA920" s="10">
        <f>IF(W920&gt;$AE$34,1,0)</f>
        <v/>
      </c>
      <c r="AB920">
        <f>IF(AA920=C920,1,0)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$AE$12+D921*$AE$13+E921*$AE$14+F921*$AE$15+G921*$AE$16+H921*$AE$17+I921*$AE$18+J921*$AE$19+K921*$AE$20+L921*$AE$21+M921*$AE$22+N921*$AE$23+O921*$AE$24+P921*$AE$25+Q921*$AE$26+R921*$AE$27+S921*$AE$28+T921*$AE$29+U921*$AE$30</f>
        <v/>
      </c>
      <c r="W921" s="8">
        <f>1/(1+EXP(-V921))</f>
        <v/>
      </c>
      <c r="X921" s="9">
        <f>-IF(C921=1,LN(W921),LN(1-W921))</f>
        <v/>
      </c>
      <c r="Y921" s="8">
        <f>IF(C921=1,$AE$32,$AE$33)</f>
        <v/>
      </c>
      <c r="Z921" s="9">
        <f>Y921*X921</f>
        <v/>
      </c>
      <c r="AA921" s="10">
        <f>IF(W921&gt;$AE$34,1,0)</f>
        <v/>
      </c>
      <c r="AB921">
        <f>IF(AA921=C921,1,0)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$AE$12+D922*$AE$13+E922*$AE$14+F922*$AE$15+G922*$AE$16+H922*$AE$17+I922*$AE$18+J922*$AE$19+K922*$AE$20+L922*$AE$21+M922*$AE$22+N922*$AE$23+O922*$AE$24+P922*$AE$25+Q922*$AE$26+R922*$AE$27+S922*$AE$28+T922*$AE$29+U922*$AE$30</f>
        <v/>
      </c>
      <c r="W922" s="8">
        <f>1/(1+EXP(-V922))</f>
        <v/>
      </c>
      <c r="X922" s="9">
        <f>-IF(C922=1,LN(W922),LN(1-W922))</f>
        <v/>
      </c>
      <c r="Y922" s="8">
        <f>IF(C922=1,$AE$32,$AE$33)</f>
        <v/>
      </c>
      <c r="Z922" s="9">
        <f>Y922*X922</f>
        <v/>
      </c>
      <c r="AA922" s="10">
        <f>IF(W922&gt;$AE$34,1,0)</f>
        <v/>
      </c>
      <c r="AB922">
        <f>IF(AA922=C922,1,0)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$AE$12+D923*$AE$13+E923*$AE$14+F923*$AE$15+G923*$AE$16+H923*$AE$17+I923*$AE$18+J923*$AE$19+K923*$AE$20+L923*$AE$21+M923*$AE$22+N923*$AE$23+O923*$AE$24+P923*$AE$25+Q923*$AE$26+R923*$AE$27+S923*$AE$28+T923*$AE$29+U923*$AE$30</f>
        <v/>
      </c>
      <c r="W923" s="8">
        <f>1/(1+EXP(-V923))</f>
        <v/>
      </c>
      <c r="X923" s="9">
        <f>-IF(C923=1,LN(W923),LN(1-W923))</f>
        <v/>
      </c>
      <c r="Y923" s="8">
        <f>IF(C923=1,$AE$32,$AE$33)</f>
        <v/>
      </c>
      <c r="Z923" s="9">
        <f>Y923*X923</f>
        <v/>
      </c>
      <c r="AA923" s="10">
        <f>IF(W923&gt;$AE$34,1,0)</f>
        <v/>
      </c>
      <c r="AB923">
        <f>IF(AA923=C923,1,0)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$AE$12+D924*$AE$13+E924*$AE$14+F924*$AE$15+G924*$AE$16+H924*$AE$17+I924*$AE$18+J924*$AE$19+K924*$AE$20+L924*$AE$21+M924*$AE$22+N924*$AE$23+O924*$AE$24+P924*$AE$25+Q924*$AE$26+R924*$AE$27+S924*$AE$28+T924*$AE$29+U924*$AE$30</f>
        <v/>
      </c>
      <c r="W924" s="8">
        <f>1/(1+EXP(-V924))</f>
        <v/>
      </c>
      <c r="X924" s="9">
        <f>-IF(C924=1,LN(W924),LN(1-W924))</f>
        <v/>
      </c>
      <c r="Y924" s="8">
        <f>IF(C924=1,$AE$32,$AE$33)</f>
        <v/>
      </c>
      <c r="Z924" s="9">
        <f>Y924*X924</f>
        <v/>
      </c>
      <c r="AA924" s="10">
        <f>IF(W924&gt;$AE$34,1,0)</f>
        <v/>
      </c>
      <c r="AB924">
        <f>IF(AA924=C924,1,0)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$AE$12+D925*$AE$13+E925*$AE$14+F925*$AE$15+G925*$AE$16+H925*$AE$17+I925*$AE$18+J925*$AE$19+K925*$AE$20+L925*$AE$21+M925*$AE$22+N925*$AE$23+O925*$AE$24+P925*$AE$25+Q925*$AE$26+R925*$AE$27+S925*$AE$28+T925*$AE$29+U925*$AE$30</f>
        <v/>
      </c>
      <c r="W925" s="8">
        <f>1/(1+EXP(-V925))</f>
        <v/>
      </c>
      <c r="X925" s="9">
        <f>-IF(C925=1,LN(W925),LN(1-W925))</f>
        <v/>
      </c>
      <c r="Y925" s="8">
        <f>IF(C925=1,$AE$32,$AE$33)</f>
        <v/>
      </c>
      <c r="Z925" s="9">
        <f>Y925*X925</f>
        <v/>
      </c>
      <c r="AA925" s="10">
        <f>IF(W925&gt;$AE$34,1,0)</f>
        <v/>
      </c>
      <c r="AB925">
        <f>IF(AA925=C925,1,0)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$AE$12+D926*$AE$13+E926*$AE$14+F926*$AE$15+G926*$AE$16+H926*$AE$17+I926*$AE$18+J926*$AE$19+K926*$AE$20+L926*$AE$21+M926*$AE$22+N926*$AE$23+O926*$AE$24+P926*$AE$25+Q926*$AE$26+R926*$AE$27+S926*$AE$28+T926*$AE$29+U926*$AE$30</f>
        <v/>
      </c>
      <c r="W926" s="8">
        <f>1/(1+EXP(-V926))</f>
        <v/>
      </c>
      <c r="X926" s="9">
        <f>-IF(C926=1,LN(W926),LN(1-W926))</f>
        <v/>
      </c>
      <c r="Y926" s="8">
        <f>IF(C926=1,$AE$32,$AE$33)</f>
        <v/>
      </c>
      <c r="Z926" s="9">
        <f>Y926*X926</f>
        <v/>
      </c>
      <c r="AA926" s="10">
        <f>IF(W926&gt;$AE$34,1,0)</f>
        <v/>
      </c>
      <c r="AB926">
        <f>IF(AA926=C926,1,0)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$AE$12+D927*$AE$13+E927*$AE$14+F927*$AE$15+G927*$AE$16+H927*$AE$17+I927*$AE$18+J927*$AE$19+K927*$AE$20+L927*$AE$21+M927*$AE$22+N927*$AE$23+O927*$AE$24+P927*$AE$25+Q927*$AE$26+R927*$AE$27+S927*$AE$28+T927*$AE$29+U927*$AE$30</f>
        <v/>
      </c>
      <c r="W927" s="8">
        <f>1/(1+EXP(-V927))</f>
        <v/>
      </c>
      <c r="X927" s="9">
        <f>-IF(C927=1,LN(W927),LN(1-W927))</f>
        <v/>
      </c>
      <c r="Y927" s="8">
        <f>IF(C927=1,$AE$32,$AE$33)</f>
        <v/>
      </c>
      <c r="Z927" s="9">
        <f>Y927*X927</f>
        <v/>
      </c>
      <c r="AA927" s="10">
        <f>IF(W927&gt;$AE$34,1,0)</f>
        <v/>
      </c>
      <c r="AB927">
        <f>IF(AA927=C927,1,0)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$AE$12+D928*$AE$13+E928*$AE$14+F928*$AE$15+G928*$AE$16+H928*$AE$17+I928*$AE$18+J928*$AE$19+K928*$AE$20+L928*$AE$21+M928*$AE$22+N928*$AE$23+O928*$AE$24+P928*$AE$25+Q928*$AE$26+R928*$AE$27+S928*$AE$28+T928*$AE$29+U928*$AE$30</f>
        <v/>
      </c>
      <c r="W928" s="8">
        <f>1/(1+EXP(-V928))</f>
        <v/>
      </c>
      <c r="X928" s="9">
        <f>-IF(C928=1,LN(W928),LN(1-W928))</f>
        <v/>
      </c>
      <c r="Y928" s="8">
        <f>IF(C928=1,$AE$32,$AE$33)</f>
        <v/>
      </c>
      <c r="Z928" s="9">
        <f>Y928*X928</f>
        <v/>
      </c>
      <c r="AA928" s="10">
        <f>IF(W928&gt;$AE$34,1,0)</f>
        <v/>
      </c>
      <c r="AB928">
        <f>IF(AA928=C928,1,0)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$AE$12+D929*$AE$13+E929*$AE$14+F929*$AE$15+G929*$AE$16+H929*$AE$17+I929*$AE$18+J929*$AE$19+K929*$AE$20+L929*$AE$21+M929*$AE$22+N929*$AE$23+O929*$AE$24+P929*$AE$25+Q929*$AE$26+R929*$AE$27+S929*$AE$28+T929*$AE$29+U929*$AE$30</f>
        <v/>
      </c>
      <c r="W929" s="8">
        <f>1/(1+EXP(-V929))</f>
        <v/>
      </c>
      <c r="X929" s="9">
        <f>-IF(C929=1,LN(W929),LN(1-W929))</f>
        <v/>
      </c>
      <c r="Y929" s="8">
        <f>IF(C929=1,$AE$32,$AE$33)</f>
        <v/>
      </c>
      <c r="Z929" s="9">
        <f>Y929*X929</f>
        <v/>
      </c>
      <c r="AA929" s="10">
        <f>IF(W929&gt;$AE$34,1,0)</f>
        <v/>
      </c>
      <c r="AB929">
        <f>IF(AA929=C929,1,0)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$AE$12+D930*$AE$13+E930*$AE$14+F930*$AE$15+G930*$AE$16+H930*$AE$17+I930*$AE$18+J930*$AE$19+K930*$AE$20+L930*$AE$21+M930*$AE$22+N930*$AE$23+O930*$AE$24+P930*$AE$25+Q930*$AE$26+R930*$AE$27+S930*$AE$28+T930*$AE$29+U930*$AE$30</f>
        <v/>
      </c>
      <c r="W930" s="8">
        <f>1/(1+EXP(-V930))</f>
        <v/>
      </c>
      <c r="X930" s="9">
        <f>-IF(C930=1,LN(W930),LN(1-W930))</f>
        <v/>
      </c>
      <c r="Y930" s="8">
        <f>IF(C930=1,$AE$32,$AE$33)</f>
        <v/>
      </c>
      <c r="Z930" s="9">
        <f>Y930*X930</f>
        <v/>
      </c>
      <c r="AA930" s="10">
        <f>IF(W930&gt;$AE$34,1,0)</f>
        <v/>
      </c>
      <c r="AB930">
        <f>IF(AA930=C930,1,0)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$AE$12+D931*$AE$13+E931*$AE$14+F931*$AE$15+G931*$AE$16+H931*$AE$17+I931*$AE$18+J931*$AE$19+K931*$AE$20+L931*$AE$21+M931*$AE$22+N931*$AE$23+O931*$AE$24+P931*$AE$25+Q931*$AE$26+R931*$AE$27+S931*$AE$28+T931*$AE$29+U931*$AE$30</f>
        <v/>
      </c>
      <c r="W931" s="8">
        <f>1/(1+EXP(-V931))</f>
        <v/>
      </c>
      <c r="X931" s="9">
        <f>-IF(C931=1,LN(W931),LN(1-W931))</f>
        <v/>
      </c>
      <c r="Y931" s="8">
        <f>IF(C931=1,$AE$32,$AE$33)</f>
        <v/>
      </c>
      <c r="Z931" s="9">
        <f>Y931*X931</f>
        <v/>
      </c>
      <c r="AA931" s="10">
        <f>IF(W931&gt;$AE$34,1,0)</f>
        <v/>
      </c>
      <c r="AB931">
        <f>IF(AA931=C931,1,0)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$AE$12+D932*$AE$13+E932*$AE$14+F932*$AE$15+G932*$AE$16+H932*$AE$17+I932*$AE$18+J932*$AE$19+K932*$AE$20+L932*$AE$21+M932*$AE$22+N932*$AE$23+O932*$AE$24+P932*$AE$25+Q932*$AE$26+R932*$AE$27+S932*$AE$28+T932*$AE$29+U932*$AE$30</f>
        <v/>
      </c>
      <c r="W932" s="8">
        <f>1/(1+EXP(-V932))</f>
        <v/>
      </c>
      <c r="X932" s="9">
        <f>-IF(C932=1,LN(W932),LN(1-W932))</f>
        <v/>
      </c>
      <c r="Y932" s="8">
        <f>IF(C932=1,$AE$32,$AE$33)</f>
        <v/>
      </c>
      <c r="Z932" s="9">
        <f>Y932*X932</f>
        <v/>
      </c>
      <c r="AA932" s="10">
        <f>IF(W932&gt;$AE$34,1,0)</f>
        <v/>
      </c>
      <c r="AB932">
        <f>IF(AA932=C932,1,0)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$AE$12+D933*$AE$13+E933*$AE$14+F933*$AE$15+G933*$AE$16+H933*$AE$17+I933*$AE$18+J933*$AE$19+K933*$AE$20+L933*$AE$21+M933*$AE$22+N933*$AE$23+O933*$AE$24+P933*$AE$25+Q933*$AE$26+R933*$AE$27+S933*$AE$28+T933*$AE$29+U933*$AE$30</f>
        <v/>
      </c>
      <c r="W933" s="8">
        <f>1/(1+EXP(-V933))</f>
        <v/>
      </c>
      <c r="X933" s="9">
        <f>-IF(C933=1,LN(W933),LN(1-W933))</f>
        <v/>
      </c>
      <c r="Y933" s="8">
        <f>IF(C933=1,$AE$32,$AE$33)</f>
        <v/>
      </c>
      <c r="Z933" s="9">
        <f>Y933*X933</f>
        <v/>
      </c>
      <c r="AA933" s="10">
        <f>IF(W933&gt;$AE$34,1,0)</f>
        <v/>
      </c>
      <c r="AB933">
        <f>IF(AA933=C933,1,0)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$AE$12+D934*$AE$13+E934*$AE$14+F934*$AE$15+G934*$AE$16+H934*$AE$17+I934*$AE$18+J934*$AE$19+K934*$AE$20+L934*$AE$21+M934*$AE$22+N934*$AE$23+O934*$AE$24+P934*$AE$25+Q934*$AE$26+R934*$AE$27+S934*$AE$28+T934*$AE$29+U934*$AE$30</f>
        <v/>
      </c>
      <c r="W934" s="8">
        <f>1/(1+EXP(-V934))</f>
        <v/>
      </c>
      <c r="X934" s="9">
        <f>-IF(C934=1,LN(W934),LN(1-W934))</f>
        <v/>
      </c>
      <c r="Y934" s="8">
        <f>IF(C934=1,$AE$32,$AE$33)</f>
        <v/>
      </c>
      <c r="Z934" s="9">
        <f>Y934*X934</f>
        <v/>
      </c>
      <c r="AA934" s="10">
        <f>IF(W934&gt;$AE$34,1,0)</f>
        <v/>
      </c>
      <c r="AB934">
        <f>IF(AA934=C934,1,0)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$AE$12+D935*$AE$13+E935*$AE$14+F935*$AE$15+G935*$AE$16+H935*$AE$17+I935*$AE$18+J935*$AE$19+K935*$AE$20+L935*$AE$21+M935*$AE$22+N935*$AE$23+O935*$AE$24+P935*$AE$25+Q935*$AE$26+R935*$AE$27+S935*$AE$28+T935*$AE$29+U935*$AE$30</f>
        <v/>
      </c>
      <c r="W935" s="8">
        <f>1/(1+EXP(-V935))</f>
        <v/>
      </c>
      <c r="X935" s="9">
        <f>-IF(C935=1,LN(W935),LN(1-W935))</f>
        <v/>
      </c>
      <c r="Y935" s="8">
        <f>IF(C935=1,$AE$32,$AE$33)</f>
        <v/>
      </c>
      <c r="Z935" s="9">
        <f>Y935*X935</f>
        <v/>
      </c>
      <c r="AA935" s="10">
        <f>IF(W935&gt;$AE$34,1,0)</f>
        <v/>
      </c>
      <c r="AB935">
        <f>IF(AA935=C935,1,0)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$AE$12+D936*$AE$13+E936*$AE$14+F936*$AE$15+G936*$AE$16+H936*$AE$17+I936*$AE$18+J936*$AE$19+K936*$AE$20+L936*$AE$21+M936*$AE$22+N936*$AE$23+O936*$AE$24+P936*$AE$25+Q936*$AE$26+R936*$AE$27+S936*$AE$28+T936*$AE$29+U936*$AE$30</f>
        <v/>
      </c>
      <c r="W936" s="8">
        <f>1/(1+EXP(-V936))</f>
        <v/>
      </c>
      <c r="X936" s="9">
        <f>-IF(C936=1,LN(W936),LN(1-W936))</f>
        <v/>
      </c>
      <c r="Y936" s="8">
        <f>IF(C936=1,$AE$32,$AE$33)</f>
        <v/>
      </c>
      <c r="Z936" s="9">
        <f>Y936*X936</f>
        <v/>
      </c>
      <c r="AA936" s="10">
        <f>IF(W936&gt;$AE$34,1,0)</f>
        <v/>
      </c>
      <c r="AB936">
        <f>IF(AA936=C936,1,0)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$AE$12+D937*$AE$13+E937*$AE$14+F937*$AE$15+G937*$AE$16+H937*$AE$17+I937*$AE$18+J937*$AE$19+K937*$AE$20+L937*$AE$21+M937*$AE$22+N937*$AE$23+O937*$AE$24+P937*$AE$25+Q937*$AE$26+R937*$AE$27+S937*$AE$28+T937*$AE$29+U937*$AE$30</f>
        <v/>
      </c>
      <c r="W937" s="8">
        <f>1/(1+EXP(-V937))</f>
        <v/>
      </c>
      <c r="X937" s="9">
        <f>-IF(C937=1,LN(W937),LN(1-W937))</f>
        <v/>
      </c>
      <c r="Y937" s="8">
        <f>IF(C937=1,$AE$32,$AE$33)</f>
        <v/>
      </c>
      <c r="Z937" s="9">
        <f>Y937*X937</f>
        <v/>
      </c>
      <c r="AA937" s="10">
        <f>IF(W937&gt;$AE$34,1,0)</f>
        <v/>
      </c>
      <c r="AB937">
        <f>IF(AA937=C937,1,0)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$AE$12+D938*$AE$13+E938*$AE$14+F938*$AE$15+G938*$AE$16+H938*$AE$17+I938*$AE$18+J938*$AE$19+K938*$AE$20+L938*$AE$21+M938*$AE$22+N938*$AE$23+O938*$AE$24+P938*$AE$25+Q938*$AE$26+R938*$AE$27+S938*$AE$28+T938*$AE$29+U938*$AE$30</f>
        <v/>
      </c>
      <c r="W938" s="8">
        <f>1/(1+EXP(-V938))</f>
        <v/>
      </c>
      <c r="X938" s="9">
        <f>-IF(C938=1,LN(W938),LN(1-W938))</f>
        <v/>
      </c>
      <c r="Y938" s="8">
        <f>IF(C938=1,$AE$32,$AE$33)</f>
        <v/>
      </c>
      <c r="Z938" s="9">
        <f>Y938*X938</f>
        <v/>
      </c>
      <c r="AA938" s="10">
        <f>IF(W938&gt;$AE$34,1,0)</f>
        <v/>
      </c>
      <c r="AB938">
        <f>IF(AA938=C938,1,0)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$AE$12+D939*$AE$13+E939*$AE$14+F939*$AE$15+G939*$AE$16+H939*$AE$17+I939*$AE$18+J939*$AE$19+K939*$AE$20+L939*$AE$21+M939*$AE$22+N939*$AE$23+O939*$AE$24+P939*$AE$25+Q939*$AE$26+R939*$AE$27+S939*$AE$28+T939*$AE$29+U939*$AE$30</f>
        <v/>
      </c>
      <c r="W939" s="8">
        <f>1/(1+EXP(-V939))</f>
        <v/>
      </c>
      <c r="X939" s="9">
        <f>-IF(C939=1,LN(W939),LN(1-W939))</f>
        <v/>
      </c>
      <c r="Y939" s="8">
        <f>IF(C939=1,$AE$32,$AE$33)</f>
        <v/>
      </c>
      <c r="Z939" s="9">
        <f>Y939*X939</f>
        <v/>
      </c>
      <c r="AA939" s="10">
        <f>IF(W939&gt;$AE$34,1,0)</f>
        <v/>
      </c>
      <c r="AB939">
        <f>IF(AA939=C939,1,0)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$AE$12+D940*$AE$13+E940*$AE$14+F940*$AE$15+G940*$AE$16+H940*$AE$17+I940*$AE$18+J940*$AE$19+K940*$AE$20+L940*$AE$21+M940*$AE$22+N940*$AE$23+O940*$AE$24+P940*$AE$25+Q940*$AE$26+R940*$AE$27+S940*$AE$28+T940*$AE$29+U940*$AE$30</f>
        <v/>
      </c>
      <c r="W940" s="8">
        <f>1/(1+EXP(-V940))</f>
        <v/>
      </c>
      <c r="X940" s="9">
        <f>-IF(C940=1,LN(W940),LN(1-W940))</f>
        <v/>
      </c>
      <c r="Y940" s="8">
        <f>IF(C940=1,$AE$32,$AE$33)</f>
        <v/>
      </c>
      <c r="Z940" s="9">
        <f>Y940*X940</f>
        <v/>
      </c>
      <c r="AA940" s="10">
        <f>IF(W940&gt;$AE$34,1,0)</f>
        <v/>
      </c>
      <c r="AB940">
        <f>IF(AA940=C940,1,0)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$AE$12+D941*$AE$13+E941*$AE$14+F941*$AE$15+G941*$AE$16+H941*$AE$17+I941*$AE$18+J941*$AE$19+K941*$AE$20+L941*$AE$21+M941*$AE$22+N941*$AE$23+O941*$AE$24+P941*$AE$25+Q941*$AE$26+R941*$AE$27+S941*$AE$28+T941*$AE$29+U941*$AE$30</f>
        <v/>
      </c>
      <c r="W941" s="8">
        <f>1/(1+EXP(-V941))</f>
        <v/>
      </c>
      <c r="X941" s="9">
        <f>-IF(C941=1,LN(W941),LN(1-W941))</f>
        <v/>
      </c>
      <c r="Y941" s="8">
        <f>IF(C941=1,$AE$32,$AE$33)</f>
        <v/>
      </c>
      <c r="Z941" s="9">
        <f>Y941*X941</f>
        <v/>
      </c>
      <c r="AA941" s="10">
        <f>IF(W941&gt;$AE$34,1,0)</f>
        <v/>
      </c>
      <c r="AB941">
        <f>IF(AA941=C941,1,0)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$AE$12+D942*$AE$13+E942*$AE$14+F942*$AE$15+G942*$AE$16+H942*$AE$17+I942*$AE$18+J942*$AE$19+K942*$AE$20+L942*$AE$21+M942*$AE$22+N942*$AE$23+O942*$AE$24+P942*$AE$25+Q942*$AE$26+R942*$AE$27+S942*$AE$28+T942*$AE$29+U942*$AE$30</f>
        <v/>
      </c>
      <c r="W942" s="8">
        <f>1/(1+EXP(-V942))</f>
        <v/>
      </c>
      <c r="X942" s="9">
        <f>-IF(C942=1,LN(W942),LN(1-W942))</f>
        <v/>
      </c>
      <c r="Y942" s="8">
        <f>IF(C942=1,$AE$32,$AE$33)</f>
        <v/>
      </c>
      <c r="Z942" s="9">
        <f>Y942*X942</f>
        <v/>
      </c>
      <c r="AA942" s="10">
        <f>IF(W942&gt;$AE$34,1,0)</f>
        <v/>
      </c>
      <c r="AB942">
        <f>IF(AA942=C942,1,0)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$AE$12+D943*$AE$13+E943*$AE$14+F943*$AE$15+G943*$AE$16+H943*$AE$17+I943*$AE$18+J943*$AE$19+K943*$AE$20+L943*$AE$21+M943*$AE$22+N943*$AE$23+O943*$AE$24+P943*$AE$25+Q943*$AE$26+R943*$AE$27+S943*$AE$28+T943*$AE$29+U943*$AE$30</f>
        <v/>
      </c>
      <c r="W943" s="8">
        <f>1/(1+EXP(-V943))</f>
        <v/>
      </c>
      <c r="X943" s="9">
        <f>-IF(C943=1,LN(W943),LN(1-W943))</f>
        <v/>
      </c>
      <c r="Y943" s="8">
        <f>IF(C943=1,$AE$32,$AE$33)</f>
        <v/>
      </c>
      <c r="Z943" s="9">
        <f>Y943*X943</f>
        <v/>
      </c>
      <c r="AA943" s="10">
        <f>IF(W943&gt;$AE$34,1,0)</f>
        <v/>
      </c>
      <c r="AB943">
        <f>IF(AA943=C943,1,0)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$AE$12+D944*$AE$13+E944*$AE$14+F944*$AE$15+G944*$AE$16+H944*$AE$17+I944*$AE$18+J944*$AE$19+K944*$AE$20+L944*$AE$21+M944*$AE$22+N944*$AE$23+O944*$AE$24+P944*$AE$25+Q944*$AE$26+R944*$AE$27+S944*$AE$28+T944*$AE$29+U944*$AE$30</f>
        <v/>
      </c>
      <c r="W944" s="8">
        <f>1/(1+EXP(-V944))</f>
        <v/>
      </c>
      <c r="X944" s="9">
        <f>-IF(C944=1,LN(W944),LN(1-W944))</f>
        <v/>
      </c>
      <c r="Y944" s="8">
        <f>IF(C944=1,$AE$32,$AE$33)</f>
        <v/>
      </c>
      <c r="Z944" s="9">
        <f>Y944*X944</f>
        <v/>
      </c>
      <c r="AA944" s="10">
        <f>IF(W944&gt;$AE$34,1,0)</f>
        <v/>
      </c>
      <c r="AB944">
        <f>IF(AA944=C944,1,0)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$AE$12+D945*$AE$13+E945*$AE$14+F945*$AE$15+G945*$AE$16+H945*$AE$17+I945*$AE$18+J945*$AE$19+K945*$AE$20+L945*$AE$21+M945*$AE$22+N945*$AE$23+O945*$AE$24+P945*$AE$25+Q945*$AE$26+R945*$AE$27+S945*$AE$28+T945*$AE$29+U945*$AE$30</f>
        <v/>
      </c>
      <c r="W945" s="8">
        <f>1/(1+EXP(-V945))</f>
        <v/>
      </c>
      <c r="X945" s="9">
        <f>-IF(C945=1,LN(W945),LN(1-W945))</f>
        <v/>
      </c>
      <c r="Y945" s="8">
        <f>IF(C945=1,$AE$32,$AE$33)</f>
        <v/>
      </c>
      <c r="Z945" s="9">
        <f>Y945*X945</f>
        <v/>
      </c>
      <c r="AA945" s="10">
        <f>IF(W945&gt;$AE$34,1,0)</f>
        <v/>
      </c>
      <c r="AB945">
        <f>IF(AA945=C945,1,0)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$AE$12+D946*$AE$13+E946*$AE$14+F946*$AE$15+G946*$AE$16+H946*$AE$17+I946*$AE$18+J946*$AE$19+K946*$AE$20+L946*$AE$21+M946*$AE$22+N946*$AE$23+O946*$AE$24+P946*$AE$25+Q946*$AE$26+R946*$AE$27+S946*$AE$28+T946*$AE$29+U946*$AE$30</f>
        <v/>
      </c>
      <c r="W946" s="8">
        <f>1/(1+EXP(-V946))</f>
        <v/>
      </c>
      <c r="X946" s="9">
        <f>-IF(C946=1,LN(W946),LN(1-W946))</f>
        <v/>
      </c>
      <c r="Y946" s="8">
        <f>IF(C946=1,$AE$32,$AE$33)</f>
        <v/>
      </c>
      <c r="Z946" s="9">
        <f>Y946*X946</f>
        <v/>
      </c>
      <c r="AA946" s="10">
        <f>IF(W946&gt;$AE$34,1,0)</f>
        <v/>
      </c>
      <c r="AB946">
        <f>IF(AA946=C946,1,0)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$AE$12+D947*$AE$13+E947*$AE$14+F947*$AE$15+G947*$AE$16+H947*$AE$17+I947*$AE$18+J947*$AE$19+K947*$AE$20+L947*$AE$21+M947*$AE$22+N947*$AE$23+O947*$AE$24+P947*$AE$25+Q947*$AE$26+R947*$AE$27+S947*$AE$28+T947*$AE$29+U947*$AE$30</f>
        <v/>
      </c>
      <c r="W947" s="8">
        <f>1/(1+EXP(-V947))</f>
        <v/>
      </c>
      <c r="X947" s="9">
        <f>-IF(C947=1,LN(W947),LN(1-W947))</f>
        <v/>
      </c>
      <c r="Y947" s="8">
        <f>IF(C947=1,$AE$32,$AE$33)</f>
        <v/>
      </c>
      <c r="Z947" s="9">
        <f>Y947*X947</f>
        <v/>
      </c>
      <c r="AA947" s="10">
        <f>IF(W947&gt;$AE$34,1,0)</f>
        <v/>
      </c>
      <c r="AB947">
        <f>IF(AA947=C947,1,0)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$AE$12+D948*$AE$13+E948*$AE$14+F948*$AE$15+G948*$AE$16+H948*$AE$17+I948*$AE$18+J948*$AE$19+K948*$AE$20+L948*$AE$21+M948*$AE$22+N948*$AE$23+O948*$AE$24+P948*$AE$25+Q948*$AE$26+R948*$AE$27+S948*$AE$28+T948*$AE$29+U948*$AE$30</f>
        <v/>
      </c>
      <c r="W948" s="8">
        <f>1/(1+EXP(-V948))</f>
        <v/>
      </c>
      <c r="X948" s="9">
        <f>-IF(C948=1,LN(W948),LN(1-W948))</f>
        <v/>
      </c>
      <c r="Y948" s="8">
        <f>IF(C948=1,$AE$32,$AE$33)</f>
        <v/>
      </c>
      <c r="Z948" s="9">
        <f>Y948*X948</f>
        <v/>
      </c>
      <c r="AA948" s="10">
        <f>IF(W948&gt;$AE$34,1,0)</f>
        <v/>
      </c>
      <c r="AB948">
        <f>IF(AA948=C948,1,0)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$AE$12+D949*$AE$13+E949*$AE$14+F949*$AE$15+G949*$AE$16+H949*$AE$17+I949*$AE$18+J949*$AE$19+K949*$AE$20+L949*$AE$21+M949*$AE$22+N949*$AE$23+O949*$AE$24+P949*$AE$25+Q949*$AE$26+R949*$AE$27+S949*$AE$28+T949*$AE$29+U949*$AE$30</f>
        <v/>
      </c>
      <c r="W949" s="8">
        <f>1/(1+EXP(-V949))</f>
        <v/>
      </c>
      <c r="X949" s="9">
        <f>-IF(C949=1,LN(W949),LN(1-W949))</f>
        <v/>
      </c>
      <c r="Y949" s="8">
        <f>IF(C949=1,$AE$32,$AE$33)</f>
        <v/>
      </c>
      <c r="Z949" s="9">
        <f>Y949*X949</f>
        <v/>
      </c>
      <c r="AA949" s="10">
        <f>IF(W949&gt;$AE$34,1,0)</f>
        <v/>
      </c>
      <c r="AB949">
        <f>IF(AA949=C949,1,0)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$AE$12+D950*$AE$13+E950*$AE$14+F950*$AE$15+G950*$AE$16+H950*$AE$17+I950*$AE$18+J950*$AE$19+K950*$AE$20+L950*$AE$21+M950*$AE$22+N950*$AE$23+O950*$AE$24+P950*$AE$25+Q950*$AE$26+R950*$AE$27+S950*$AE$28+T950*$AE$29+U950*$AE$30</f>
        <v/>
      </c>
      <c r="W950" s="8">
        <f>1/(1+EXP(-V950))</f>
        <v/>
      </c>
      <c r="X950" s="9">
        <f>-IF(C950=1,LN(W950),LN(1-W950))</f>
        <v/>
      </c>
      <c r="Y950" s="8">
        <f>IF(C950=1,$AE$32,$AE$33)</f>
        <v/>
      </c>
      <c r="Z950" s="9">
        <f>Y950*X950</f>
        <v/>
      </c>
      <c r="AA950" s="10">
        <f>IF(W950&gt;$AE$34,1,0)</f>
        <v/>
      </c>
      <c r="AB950">
        <f>IF(AA950=C950,1,0)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$AE$12+D951*$AE$13+E951*$AE$14+F951*$AE$15+G951*$AE$16+H951*$AE$17+I951*$AE$18+J951*$AE$19+K951*$AE$20+L951*$AE$21+M951*$AE$22+N951*$AE$23+O951*$AE$24+P951*$AE$25+Q951*$AE$26+R951*$AE$27+S951*$AE$28+T951*$AE$29+U951*$AE$30</f>
        <v/>
      </c>
      <c r="W951" s="8">
        <f>1/(1+EXP(-V951))</f>
        <v/>
      </c>
      <c r="X951" s="9">
        <f>-IF(C951=1,LN(W951),LN(1-W951))</f>
        <v/>
      </c>
      <c r="Y951" s="8">
        <f>IF(C951=1,$AE$32,$AE$33)</f>
        <v/>
      </c>
      <c r="Z951" s="9">
        <f>Y951*X951</f>
        <v/>
      </c>
      <c r="AA951" s="10">
        <f>IF(W951&gt;$AE$34,1,0)</f>
        <v/>
      </c>
      <c r="AB951">
        <f>IF(AA951=C951,1,0)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$AE$12+D952*$AE$13+E952*$AE$14+F952*$AE$15+G952*$AE$16+H952*$AE$17+I952*$AE$18+J952*$AE$19+K952*$AE$20+L952*$AE$21+M952*$AE$22+N952*$AE$23+O952*$AE$24+P952*$AE$25+Q952*$AE$26+R952*$AE$27+S952*$AE$28+T952*$AE$29+U952*$AE$30</f>
        <v/>
      </c>
      <c r="W952" s="8">
        <f>1/(1+EXP(-V952))</f>
        <v/>
      </c>
      <c r="X952" s="9">
        <f>-IF(C952=1,LN(W952),LN(1-W952))</f>
        <v/>
      </c>
      <c r="Y952" s="8">
        <f>IF(C952=1,$AE$32,$AE$33)</f>
        <v/>
      </c>
      <c r="Z952" s="9">
        <f>Y952*X952</f>
        <v/>
      </c>
      <c r="AA952" s="10">
        <f>IF(W952&gt;$AE$34,1,0)</f>
        <v/>
      </c>
      <c r="AB952">
        <f>IF(AA952=C952,1,0)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$AE$12+D953*$AE$13+E953*$AE$14+F953*$AE$15+G953*$AE$16+H953*$AE$17+I953*$AE$18+J953*$AE$19+K953*$AE$20+L953*$AE$21+M953*$AE$22+N953*$AE$23+O953*$AE$24+P953*$AE$25+Q953*$AE$26+R953*$AE$27+S953*$AE$28+T953*$AE$29+U953*$AE$30</f>
        <v/>
      </c>
      <c r="W953" s="8">
        <f>1/(1+EXP(-V953))</f>
        <v/>
      </c>
      <c r="X953" s="9">
        <f>-IF(C953=1,LN(W953),LN(1-W953))</f>
        <v/>
      </c>
      <c r="Y953" s="8">
        <f>IF(C953=1,$AE$32,$AE$33)</f>
        <v/>
      </c>
      <c r="Z953" s="9">
        <f>Y953*X953</f>
        <v/>
      </c>
      <c r="AA953" s="10">
        <f>IF(W953&gt;$AE$34,1,0)</f>
        <v/>
      </c>
      <c r="AB953">
        <f>IF(AA953=C953,1,0)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$AE$12+D954*$AE$13+E954*$AE$14+F954*$AE$15+G954*$AE$16+H954*$AE$17+I954*$AE$18+J954*$AE$19+K954*$AE$20+L954*$AE$21+M954*$AE$22+N954*$AE$23+O954*$AE$24+P954*$AE$25+Q954*$AE$26+R954*$AE$27+S954*$AE$28+T954*$AE$29+U954*$AE$30</f>
        <v/>
      </c>
      <c r="W954" s="8">
        <f>1/(1+EXP(-V954))</f>
        <v/>
      </c>
      <c r="X954" s="9">
        <f>-IF(C954=1,LN(W954),LN(1-W954))</f>
        <v/>
      </c>
      <c r="Y954" s="8">
        <f>IF(C954=1,$AE$32,$AE$33)</f>
        <v/>
      </c>
      <c r="Z954" s="9">
        <f>Y954*X954</f>
        <v/>
      </c>
      <c r="AA954" s="10">
        <f>IF(W954&gt;$AE$34,1,0)</f>
        <v/>
      </c>
      <c r="AB954">
        <f>IF(AA954=C954,1,0)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$AE$12+D955*$AE$13+E955*$AE$14+F955*$AE$15+G955*$AE$16+H955*$AE$17+I955*$AE$18+J955*$AE$19+K955*$AE$20+L955*$AE$21+M955*$AE$22+N955*$AE$23+O955*$AE$24+P955*$AE$25+Q955*$AE$26+R955*$AE$27+S955*$AE$28+T955*$AE$29+U955*$AE$30</f>
        <v/>
      </c>
      <c r="W955" s="8">
        <f>1/(1+EXP(-V955))</f>
        <v/>
      </c>
      <c r="X955" s="9">
        <f>-IF(C955=1,LN(W955),LN(1-W955))</f>
        <v/>
      </c>
      <c r="Y955" s="8">
        <f>IF(C955=1,$AE$32,$AE$33)</f>
        <v/>
      </c>
      <c r="Z955" s="9">
        <f>Y955*X955</f>
        <v/>
      </c>
      <c r="AA955" s="10">
        <f>IF(W955&gt;$AE$34,1,0)</f>
        <v/>
      </c>
      <c r="AB955">
        <f>IF(AA955=C955,1,0)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$AE$12+D956*$AE$13+E956*$AE$14+F956*$AE$15+G956*$AE$16+H956*$AE$17+I956*$AE$18+J956*$AE$19+K956*$AE$20+L956*$AE$21+M956*$AE$22+N956*$AE$23+O956*$AE$24+P956*$AE$25+Q956*$AE$26+R956*$AE$27+S956*$AE$28+T956*$AE$29+U956*$AE$30</f>
        <v/>
      </c>
      <c r="W956" s="8">
        <f>1/(1+EXP(-V956))</f>
        <v/>
      </c>
      <c r="X956" s="9">
        <f>-IF(C956=1,LN(W956),LN(1-W956))</f>
        <v/>
      </c>
      <c r="Y956" s="8">
        <f>IF(C956=1,$AE$32,$AE$33)</f>
        <v/>
      </c>
      <c r="Z956" s="9">
        <f>Y956*X956</f>
        <v/>
      </c>
      <c r="AA956" s="10">
        <f>IF(W956&gt;$AE$34,1,0)</f>
        <v/>
      </c>
      <c r="AB956">
        <f>IF(AA956=C956,1,0)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$AE$12+D957*$AE$13+E957*$AE$14+F957*$AE$15+G957*$AE$16+H957*$AE$17+I957*$AE$18+J957*$AE$19+K957*$AE$20+L957*$AE$21+M957*$AE$22+N957*$AE$23+O957*$AE$24+P957*$AE$25+Q957*$AE$26+R957*$AE$27+S957*$AE$28+T957*$AE$29+U957*$AE$30</f>
        <v/>
      </c>
      <c r="W957" s="8">
        <f>1/(1+EXP(-V957))</f>
        <v/>
      </c>
      <c r="X957" s="9">
        <f>-IF(C957=1,LN(W957),LN(1-W957))</f>
        <v/>
      </c>
      <c r="Y957" s="8">
        <f>IF(C957=1,$AE$32,$AE$33)</f>
        <v/>
      </c>
      <c r="Z957" s="9">
        <f>Y957*X957</f>
        <v/>
      </c>
      <c r="AA957" s="10">
        <f>IF(W957&gt;$AE$34,1,0)</f>
        <v/>
      </c>
      <c r="AB957">
        <f>IF(AA957=C957,1,0)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$AE$12+D958*$AE$13+E958*$AE$14+F958*$AE$15+G958*$AE$16+H958*$AE$17+I958*$AE$18+J958*$AE$19+K958*$AE$20+L958*$AE$21+M958*$AE$22+N958*$AE$23+O958*$AE$24+P958*$AE$25+Q958*$AE$26+R958*$AE$27+S958*$AE$28+T958*$AE$29+U958*$AE$30</f>
        <v/>
      </c>
      <c r="W958" s="8">
        <f>1/(1+EXP(-V958))</f>
        <v/>
      </c>
      <c r="X958" s="9">
        <f>-IF(C958=1,LN(W958),LN(1-W958))</f>
        <v/>
      </c>
      <c r="Y958" s="8">
        <f>IF(C958=1,$AE$32,$AE$33)</f>
        <v/>
      </c>
      <c r="Z958" s="9">
        <f>Y958*X958</f>
        <v/>
      </c>
      <c r="AA958" s="10">
        <f>IF(W958&gt;$AE$34,1,0)</f>
        <v/>
      </c>
      <c r="AB958">
        <f>IF(AA958=C958,1,0)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$AE$12+D959*$AE$13+E959*$AE$14+F959*$AE$15+G959*$AE$16+H959*$AE$17+I959*$AE$18+J959*$AE$19+K959*$AE$20+L959*$AE$21+M959*$AE$22+N959*$AE$23+O959*$AE$24+P959*$AE$25+Q959*$AE$26+R959*$AE$27+S959*$AE$28+T959*$AE$29+U959*$AE$30</f>
        <v/>
      </c>
      <c r="W959" s="8">
        <f>1/(1+EXP(-V959))</f>
        <v/>
      </c>
      <c r="X959" s="9">
        <f>-IF(C959=1,LN(W959),LN(1-W959))</f>
        <v/>
      </c>
      <c r="Y959" s="8">
        <f>IF(C959=1,$AE$32,$AE$33)</f>
        <v/>
      </c>
      <c r="Z959" s="9">
        <f>Y959*X959</f>
        <v/>
      </c>
      <c r="AA959" s="10">
        <f>IF(W959&gt;$AE$34,1,0)</f>
        <v/>
      </c>
      <c r="AB959">
        <f>IF(AA959=C959,1,0)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$AE$12+D960*$AE$13+E960*$AE$14+F960*$AE$15+G960*$AE$16+H960*$AE$17+I960*$AE$18+J960*$AE$19+K960*$AE$20+L960*$AE$21+M960*$AE$22+N960*$AE$23+O960*$AE$24+P960*$AE$25+Q960*$AE$26+R960*$AE$27+S960*$AE$28+T960*$AE$29+U960*$AE$30</f>
        <v/>
      </c>
      <c r="W960" s="8">
        <f>1/(1+EXP(-V960))</f>
        <v/>
      </c>
      <c r="X960" s="9">
        <f>-IF(C960=1,LN(W960),LN(1-W960))</f>
        <v/>
      </c>
      <c r="Y960" s="8">
        <f>IF(C960=1,$AE$32,$AE$33)</f>
        <v/>
      </c>
      <c r="Z960" s="9">
        <f>Y960*X960</f>
        <v/>
      </c>
      <c r="AA960" s="10">
        <f>IF(W960&gt;$AE$34,1,0)</f>
        <v/>
      </c>
      <c r="AB960">
        <f>IF(AA960=C960,1,0)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$AE$12+D961*$AE$13+E961*$AE$14+F961*$AE$15+G961*$AE$16+H961*$AE$17+I961*$AE$18+J961*$AE$19+K961*$AE$20+L961*$AE$21+M961*$AE$22+N961*$AE$23+O961*$AE$24+P961*$AE$25+Q961*$AE$26+R961*$AE$27+S961*$AE$28+T961*$AE$29+U961*$AE$30</f>
        <v/>
      </c>
      <c r="W961" s="8">
        <f>1/(1+EXP(-V961))</f>
        <v/>
      </c>
      <c r="X961" s="9">
        <f>-IF(C961=1,LN(W961),LN(1-W961))</f>
        <v/>
      </c>
      <c r="Y961" s="8">
        <f>IF(C961=1,$AE$32,$AE$33)</f>
        <v/>
      </c>
      <c r="Z961" s="9">
        <f>Y961*X961</f>
        <v/>
      </c>
      <c r="AA961" s="10">
        <f>IF(W961&gt;$AE$34,1,0)</f>
        <v/>
      </c>
      <c r="AB961">
        <f>IF(AA961=C961,1,0)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$AE$12+D962*$AE$13+E962*$AE$14+F962*$AE$15+G962*$AE$16+H962*$AE$17+I962*$AE$18+J962*$AE$19+K962*$AE$20+L962*$AE$21+M962*$AE$22+N962*$AE$23+O962*$AE$24+P962*$AE$25+Q962*$AE$26+R962*$AE$27+S962*$AE$28+T962*$AE$29+U962*$AE$30</f>
        <v/>
      </c>
      <c r="W962" s="8">
        <f>1/(1+EXP(-V962))</f>
        <v/>
      </c>
      <c r="X962" s="9">
        <f>-IF(C962=1,LN(W962),LN(1-W962))</f>
        <v/>
      </c>
      <c r="Y962" s="8">
        <f>IF(C962=1,$AE$32,$AE$33)</f>
        <v/>
      </c>
      <c r="Z962" s="9">
        <f>Y962*X962</f>
        <v/>
      </c>
      <c r="AA962" s="10">
        <f>IF(W962&gt;$AE$34,1,0)</f>
        <v/>
      </c>
      <c r="AB962">
        <f>IF(AA962=C962,1,0)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$AE$12+D963*$AE$13+E963*$AE$14+F963*$AE$15+G963*$AE$16+H963*$AE$17+I963*$AE$18+J963*$AE$19+K963*$AE$20+L963*$AE$21+M963*$AE$22+N963*$AE$23+O963*$AE$24+P963*$AE$25+Q963*$AE$26+R963*$AE$27+S963*$AE$28+T963*$AE$29+U963*$AE$30</f>
        <v/>
      </c>
      <c r="W963" s="8">
        <f>1/(1+EXP(-V963))</f>
        <v/>
      </c>
      <c r="X963" s="9">
        <f>-IF(C963=1,LN(W963),LN(1-W963))</f>
        <v/>
      </c>
      <c r="Y963" s="8">
        <f>IF(C963=1,$AE$32,$AE$33)</f>
        <v/>
      </c>
      <c r="Z963" s="9">
        <f>Y963*X963</f>
        <v/>
      </c>
      <c r="AA963" s="10">
        <f>IF(W963&gt;$AE$34,1,0)</f>
        <v/>
      </c>
      <c r="AB963">
        <f>IF(AA963=C963,1,0)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$AE$12+D964*$AE$13+E964*$AE$14+F964*$AE$15+G964*$AE$16+H964*$AE$17+I964*$AE$18+J964*$AE$19+K964*$AE$20+L964*$AE$21+M964*$AE$22+N964*$AE$23+O964*$AE$24+P964*$AE$25+Q964*$AE$26+R964*$AE$27+S964*$AE$28+T964*$AE$29+U964*$AE$30</f>
        <v/>
      </c>
      <c r="W964" s="8">
        <f>1/(1+EXP(-V964))</f>
        <v/>
      </c>
      <c r="X964" s="9">
        <f>-IF(C964=1,LN(W964),LN(1-W964))</f>
        <v/>
      </c>
      <c r="Y964" s="8">
        <f>IF(C964=1,$AE$32,$AE$33)</f>
        <v/>
      </c>
      <c r="Z964" s="9">
        <f>Y964*X964</f>
        <v/>
      </c>
      <c r="AA964" s="10">
        <f>IF(W964&gt;$AE$34,1,0)</f>
        <v/>
      </c>
      <c r="AB964">
        <f>IF(AA964=C964,1,0)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$AE$12+D965*$AE$13+E965*$AE$14+F965*$AE$15+G965*$AE$16+H965*$AE$17+I965*$AE$18+J965*$AE$19+K965*$AE$20+L965*$AE$21+M965*$AE$22+N965*$AE$23+O965*$AE$24+P965*$AE$25+Q965*$AE$26+R965*$AE$27+S965*$AE$28+T965*$AE$29+U965*$AE$30</f>
        <v/>
      </c>
      <c r="W965" s="8">
        <f>1/(1+EXP(-V965))</f>
        <v/>
      </c>
      <c r="X965" s="9">
        <f>-IF(C965=1,LN(W965),LN(1-W965))</f>
        <v/>
      </c>
      <c r="Y965" s="8">
        <f>IF(C965=1,$AE$32,$AE$33)</f>
        <v/>
      </c>
      <c r="Z965" s="9">
        <f>Y965*X965</f>
        <v/>
      </c>
      <c r="AA965" s="10">
        <f>IF(W965&gt;$AE$34,1,0)</f>
        <v/>
      </c>
      <c r="AB965">
        <f>IF(AA965=C965,1,0)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$AE$12+D966*$AE$13+E966*$AE$14+F966*$AE$15+G966*$AE$16+H966*$AE$17+I966*$AE$18+J966*$AE$19+K966*$AE$20+L966*$AE$21+M966*$AE$22+N966*$AE$23+O966*$AE$24+P966*$AE$25+Q966*$AE$26+R966*$AE$27+S966*$AE$28+T966*$AE$29+U966*$AE$30</f>
        <v/>
      </c>
      <c r="W966" s="8">
        <f>1/(1+EXP(-V966))</f>
        <v/>
      </c>
      <c r="X966" s="9">
        <f>-IF(C966=1,LN(W966),LN(1-W966))</f>
        <v/>
      </c>
      <c r="Y966" s="8">
        <f>IF(C966=1,$AE$32,$AE$33)</f>
        <v/>
      </c>
      <c r="Z966" s="9">
        <f>Y966*X966</f>
        <v/>
      </c>
      <c r="AA966" s="10">
        <f>IF(W966&gt;$AE$34,1,0)</f>
        <v/>
      </c>
      <c r="AB966">
        <f>IF(AA966=C966,1,0)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$AE$12+D967*$AE$13+E967*$AE$14+F967*$AE$15+G967*$AE$16+H967*$AE$17+I967*$AE$18+J967*$AE$19+K967*$AE$20+L967*$AE$21+M967*$AE$22+N967*$AE$23+O967*$AE$24+P967*$AE$25+Q967*$AE$26+R967*$AE$27+S967*$AE$28+T967*$AE$29+U967*$AE$30</f>
        <v/>
      </c>
      <c r="W967" s="8">
        <f>1/(1+EXP(-V967))</f>
        <v/>
      </c>
      <c r="X967" s="9">
        <f>-IF(C967=1,LN(W967),LN(1-W967))</f>
        <v/>
      </c>
      <c r="Y967" s="8">
        <f>IF(C967=1,$AE$32,$AE$33)</f>
        <v/>
      </c>
      <c r="Z967" s="9">
        <f>Y967*X967</f>
        <v/>
      </c>
      <c r="AA967" s="10">
        <f>IF(W967&gt;$AE$34,1,0)</f>
        <v/>
      </c>
      <c r="AB967">
        <f>IF(AA967=C967,1,0)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$AE$12+D968*$AE$13+E968*$AE$14+F968*$AE$15+G968*$AE$16+H968*$AE$17+I968*$AE$18+J968*$AE$19+K968*$AE$20+L968*$AE$21+M968*$AE$22+N968*$AE$23+O968*$AE$24+P968*$AE$25+Q968*$AE$26+R968*$AE$27+S968*$AE$28+T968*$AE$29+U968*$AE$30</f>
        <v/>
      </c>
      <c r="W968" s="8">
        <f>1/(1+EXP(-V968))</f>
        <v/>
      </c>
      <c r="X968" s="9">
        <f>-IF(C968=1,LN(W968),LN(1-W968))</f>
        <v/>
      </c>
      <c r="Y968" s="8">
        <f>IF(C968=1,$AE$32,$AE$33)</f>
        <v/>
      </c>
      <c r="Z968" s="9">
        <f>Y968*X968</f>
        <v/>
      </c>
      <c r="AA968" s="10">
        <f>IF(W968&gt;$AE$34,1,0)</f>
        <v/>
      </c>
      <c r="AB968">
        <f>IF(AA968=C968,1,0)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$AE$12+D969*$AE$13+E969*$AE$14+F969*$AE$15+G969*$AE$16+H969*$AE$17+I969*$AE$18+J969*$AE$19+K969*$AE$20+L969*$AE$21+M969*$AE$22+N969*$AE$23+O969*$AE$24+P969*$AE$25+Q969*$AE$26+R969*$AE$27+S969*$AE$28+T969*$AE$29+U969*$AE$30</f>
        <v/>
      </c>
      <c r="W969" s="8">
        <f>1/(1+EXP(-V969))</f>
        <v/>
      </c>
      <c r="X969" s="9">
        <f>-IF(C969=1,LN(W969),LN(1-W969))</f>
        <v/>
      </c>
      <c r="Y969" s="8">
        <f>IF(C969=1,$AE$32,$AE$33)</f>
        <v/>
      </c>
      <c r="Z969" s="9">
        <f>Y969*X969</f>
        <v/>
      </c>
      <c r="AA969" s="10">
        <f>IF(W969&gt;$AE$34,1,0)</f>
        <v/>
      </c>
      <c r="AB969">
        <f>IF(AA969=C969,1,0)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$AE$12+D970*$AE$13+E970*$AE$14+F970*$AE$15+G970*$AE$16+H970*$AE$17+I970*$AE$18+J970*$AE$19+K970*$AE$20+L970*$AE$21+M970*$AE$22+N970*$AE$23+O970*$AE$24+P970*$AE$25+Q970*$AE$26+R970*$AE$27+S970*$AE$28+T970*$AE$29+U970*$AE$30</f>
        <v/>
      </c>
      <c r="W970" s="8">
        <f>1/(1+EXP(-V970))</f>
        <v/>
      </c>
      <c r="X970" s="9">
        <f>-IF(C970=1,LN(W970),LN(1-W970))</f>
        <v/>
      </c>
      <c r="Y970" s="8">
        <f>IF(C970=1,$AE$32,$AE$33)</f>
        <v/>
      </c>
      <c r="Z970" s="9">
        <f>Y970*X970</f>
        <v/>
      </c>
      <c r="AA970" s="10">
        <f>IF(W970&gt;$AE$34,1,0)</f>
        <v/>
      </c>
      <c r="AB970">
        <f>IF(AA970=C970,1,0)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$AE$12+D971*$AE$13+E971*$AE$14+F971*$AE$15+G971*$AE$16+H971*$AE$17+I971*$AE$18+J971*$AE$19+K971*$AE$20+L971*$AE$21+M971*$AE$22+N971*$AE$23+O971*$AE$24+P971*$AE$25+Q971*$AE$26+R971*$AE$27+S971*$AE$28+T971*$AE$29+U971*$AE$30</f>
        <v/>
      </c>
      <c r="W971" s="8">
        <f>1/(1+EXP(-V971))</f>
        <v/>
      </c>
      <c r="X971" s="9">
        <f>-IF(C971=1,LN(W971),LN(1-W971))</f>
        <v/>
      </c>
      <c r="Y971" s="8">
        <f>IF(C971=1,$AE$32,$AE$33)</f>
        <v/>
      </c>
      <c r="Z971" s="9">
        <f>Y971*X971</f>
        <v/>
      </c>
      <c r="AA971" s="10">
        <f>IF(W971&gt;$AE$34,1,0)</f>
        <v/>
      </c>
      <c r="AB971">
        <f>IF(AA971=C971,1,0)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$AE$12+D972*$AE$13+E972*$AE$14+F972*$AE$15+G972*$AE$16+H972*$AE$17+I972*$AE$18+J972*$AE$19+K972*$AE$20+L972*$AE$21+M972*$AE$22+N972*$AE$23+O972*$AE$24+P972*$AE$25+Q972*$AE$26+R972*$AE$27+S972*$AE$28+T972*$AE$29+U972*$AE$30</f>
        <v/>
      </c>
      <c r="W972" s="8">
        <f>1/(1+EXP(-V972))</f>
        <v/>
      </c>
      <c r="X972" s="9">
        <f>-IF(C972=1,LN(W972),LN(1-W972))</f>
        <v/>
      </c>
      <c r="Y972" s="8">
        <f>IF(C972=1,$AE$32,$AE$33)</f>
        <v/>
      </c>
      <c r="Z972" s="9">
        <f>Y972*X972</f>
        <v/>
      </c>
      <c r="AA972" s="10">
        <f>IF(W972&gt;$AE$34,1,0)</f>
        <v/>
      </c>
      <c r="AB972">
        <f>IF(AA972=C972,1,0)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$AE$12+D973*$AE$13+E973*$AE$14+F973*$AE$15+G973*$AE$16+H973*$AE$17+I973*$AE$18+J973*$AE$19+K973*$AE$20+L973*$AE$21+M973*$AE$22+N973*$AE$23+O973*$AE$24+P973*$AE$25+Q973*$AE$26+R973*$AE$27+S973*$AE$28+T973*$AE$29+U973*$AE$30</f>
        <v/>
      </c>
      <c r="W973" s="8">
        <f>1/(1+EXP(-V973))</f>
        <v/>
      </c>
      <c r="X973" s="9">
        <f>-IF(C973=1,LN(W973),LN(1-W973))</f>
        <v/>
      </c>
      <c r="Y973" s="8">
        <f>IF(C973=1,$AE$32,$AE$33)</f>
        <v/>
      </c>
      <c r="Z973" s="9">
        <f>Y973*X973</f>
        <v/>
      </c>
      <c r="AA973" s="10">
        <f>IF(W973&gt;$AE$34,1,0)</f>
        <v/>
      </c>
      <c r="AB973">
        <f>IF(AA973=C973,1,0)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$AE$12+D974*$AE$13+E974*$AE$14+F974*$AE$15+G974*$AE$16+H974*$AE$17+I974*$AE$18+J974*$AE$19+K974*$AE$20+L974*$AE$21+M974*$AE$22+N974*$AE$23+O974*$AE$24+P974*$AE$25+Q974*$AE$26+R974*$AE$27+S974*$AE$28+T974*$AE$29+U974*$AE$30</f>
        <v/>
      </c>
      <c r="W974" s="8">
        <f>1/(1+EXP(-V974))</f>
        <v/>
      </c>
      <c r="X974" s="9">
        <f>-IF(C974=1,LN(W974),LN(1-W974))</f>
        <v/>
      </c>
      <c r="Y974" s="8">
        <f>IF(C974=1,$AE$32,$AE$33)</f>
        <v/>
      </c>
      <c r="Z974" s="9">
        <f>Y974*X974</f>
        <v/>
      </c>
      <c r="AA974" s="10">
        <f>IF(W974&gt;$AE$34,1,0)</f>
        <v/>
      </c>
      <c r="AB974">
        <f>IF(AA974=C974,1,0)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$AE$12+D975*$AE$13+E975*$AE$14+F975*$AE$15+G975*$AE$16+H975*$AE$17+I975*$AE$18+J975*$AE$19+K975*$AE$20+L975*$AE$21+M975*$AE$22+N975*$AE$23+O975*$AE$24+P975*$AE$25+Q975*$AE$26+R975*$AE$27+S975*$AE$28+T975*$AE$29+U975*$AE$30</f>
        <v/>
      </c>
      <c r="W975" s="8">
        <f>1/(1+EXP(-V975))</f>
        <v/>
      </c>
      <c r="X975" s="9">
        <f>-IF(C975=1,LN(W975),LN(1-W975))</f>
        <v/>
      </c>
      <c r="Y975" s="8">
        <f>IF(C975=1,$AE$32,$AE$33)</f>
        <v/>
      </c>
      <c r="Z975" s="9">
        <f>Y975*X975</f>
        <v/>
      </c>
      <c r="AA975" s="10">
        <f>IF(W975&gt;$AE$34,1,0)</f>
        <v/>
      </c>
      <c r="AB975">
        <f>IF(AA975=C975,1,0)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$AE$12+D976*$AE$13+E976*$AE$14+F976*$AE$15+G976*$AE$16+H976*$AE$17+I976*$AE$18+J976*$AE$19+K976*$AE$20+L976*$AE$21+M976*$AE$22+N976*$AE$23+O976*$AE$24+P976*$AE$25+Q976*$AE$26+R976*$AE$27+S976*$AE$28+T976*$AE$29+U976*$AE$30</f>
        <v/>
      </c>
      <c r="W976" s="8">
        <f>1/(1+EXP(-V976))</f>
        <v/>
      </c>
      <c r="X976" s="9">
        <f>-IF(C976=1,LN(W976),LN(1-W976))</f>
        <v/>
      </c>
      <c r="Y976" s="8">
        <f>IF(C976=1,$AE$32,$AE$33)</f>
        <v/>
      </c>
      <c r="Z976" s="9">
        <f>Y976*X976</f>
        <v/>
      </c>
      <c r="AA976" s="10">
        <f>IF(W976&gt;$AE$34,1,0)</f>
        <v/>
      </c>
      <c r="AB976">
        <f>IF(AA976=C976,1,0)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$AE$12+D977*$AE$13+E977*$AE$14+F977*$AE$15+G977*$AE$16+H977*$AE$17+I977*$AE$18+J977*$AE$19+K977*$AE$20+L977*$AE$21+M977*$AE$22+N977*$AE$23+O977*$AE$24+P977*$AE$25+Q977*$AE$26+R977*$AE$27+S977*$AE$28+T977*$AE$29+U977*$AE$30</f>
        <v/>
      </c>
      <c r="W977" s="8">
        <f>1/(1+EXP(-V977))</f>
        <v/>
      </c>
      <c r="X977" s="9">
        <f>-IF(C977=1,LN(W977),LN(1-W977))</f>
        <v/>
      </c>
      <c r="Y977" s="8">
        <f>IF(C977=1,$AE$32,$AE$33)</f>
        <v/>
      </c>
      <c r="Z977" s="9">
        <f>Y977*X977</f>
        <v/>
      </c>
      <c r="AA977" s="10">
        <f>IF(W977&gt;$AE$34,1,0)</f>
        <v/>
      </c>
      <c r="AB977">
        <f>IF(AA977=C977,1,0)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$AE$12+D978*$AE$13+E978*$AE$14+F978*$AE$15+G978*$AE$16+H978*$AE$17+I978*$AE$18+J978*$AE$19+K978*$AE$20+L978*$AE$21+M978*$AE$22+N978*$AE$23+O978*$AE$24+P978*$AE$25+Q978*$AE$26+R978*$AE$27+S978*$AE$28+T978*$AE$29+U978*$AE$30</f>
        <v/>
      </c>
      <c r="W978" s="8">
        <f>1/(1+EXP(-V978))</f>
        <v/>
      </c>
      <c r="X978" s="9">
        <f>-IF(C978=1,LN(W978),LN(1-W978))</f>
        <v/>
      </c>
      <c r="Y978" s="8">
        <f>IF(C978=1,$AE$32,$AE$33)</f>
        <v/>
      </c>
      <c r="Z978" s="9">
        <f>Y978*X978</f>
        <v/>
      </c>
      <c r="AA978" s="10">
        <f>IF(W978&gt;$AE$34,1,0)</f>
        <v/>
      </c>
      <c r="AB978">
        <f>IF(AA978=C978,1,0)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$AE$12+D979*$AE$13+E979*$AE$14+F979*$AE$15+G979*$AE$16+H979*$AE$17+I979*$AE$18+J979*$AE$19+K979*$AE$20+L979*$AE$21+M979*$AE$22+N979*$AE$23+O979*$AE$24+P979*$AE$25+Q979*$AE$26+R979*$AE$27+S979*$AE$28+T979*$AE$29+U979*$AE$30</f>
        <v/>
      </c>
      <c r="W979" s="8">
        <f>1/(1+EXP(-V979))</f>
        <v/>
      </c>
      <c r="X979" s="9">
        <f>-IF(C979=1,LN(W979),LN(1-W979))</f>
        <v/>
      </c>
      <c r="Y979" s="8">
        <f>IF(C979=1,$AE$32,$AE$33)</f>
        <v/>
      </c>
      <c r="Z979" s="9">
        <f>Y979*X979</f>
        <v/>
      </c>
      <c r="AA979" s="10">
        <f>IF(W979&gt;$AE$34,1,0)</f>
        <v/>
      </c>
      <c r="AB979">
        <f>IF(AA979=C979,1,0)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$AE$12+D980*$AE$13+E980*$AE$14+F980*$AE$15+G980*$AE$16+H980*$AE$17+I980*$AE$18+J980*$AE$19+K980*$AE$20+L980*$AE$21+M980*$AE$22+N980*$AE$23+O980*$AE$24+P980*$AE$25+Q980*$AE$26+R980*$AE$27+S980*$AE$28+T980*$AE$29+U980*$AE$30</f>
        <v/>
      </c>
      <c r="W980" s="8">
        <f>1/(1+EXP(-V980))</f>
        <v/>
      </c>
      <c r="X980" s="9">
        <f>-IF(C980=1,LN(W980),LN(1-W980))</f>
        <v/>
      </c>
      <c r="Y980" s="8">
        <f>IF(C980=1,$AE$32,$AE$33)</f>
        <v/>
      </c>
      <c r="Z980" s="9">
        <f>Y980*X980</f>
        <v/>
      </c>
      <c r="AA980" s="10">
        <f>IF(W980&gt;$AE$34,1,0)</f>
        <v/>
      </c>
      <c r="AB980">
        <f>IF(AA980=C980,1,0)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$AE$12+D981*$AE$13+E981*$AE$14+F981*$AE$15+G981*$AE$16+H981*$AE$17+I981*$AE$18+J981*$AE$19+K981*$AE$20+L981*$AE$21+M981*$AE$22+N981*$AE$23+O981*$AE$24+P981*$AE$25+Q981*$AE$26+R981*$AE$27+S981*$AE$28+T981*$AE$29+U981*$AE$30</f>
        <v/>
      </c>
      <c r="W981" s="8">
        <f>1/(1+EXP(-V981))</f>
        <v/>
      </c>
      <c r="X981" s="9">
        <f>-IF(C981=1,LN(W981),LN(1-W981))</f>
        <v/>
      </c>
      <c r="Y981" s="8">
        <f>IF(C981=1,$AE$32,$AE$33)</f>
        <v/>
      </c>
      <c r="Z981" s="9">
        <f>Y981*X981</f>
        <v/>
      </c>
      <c r="AA981" s="10">
        <f>IF(W981&gt;$AE$34,1,0)</f>
        <v/>
      </c>
      <c r="AB981">
        <f>IF(AA981=C981,1,0)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$AE$12+D982*$AE$13+E982*$AE$14+F982*$AE$15+G982*$AE$16+H982*$AE$17+I982*$AE$18+J982*$AE$19+K982*$AE$20+L982*$AE$21+M982*$AE$22+N982*$AE$23+O982*$AE$24+P982*$AE$25+Q982*$AE$26+R982*$AE$27+S982*$AE$28+T982*$AE$29+U982*$AE$30</f>
        <v/>
      </c>
      <c r="W982" s="8">
        <f>1/(1+EXP(-V982))</f>
        <v/>
      </c>
      <c r="X982" s="9">
        <f>-IF(C982=1,LN(W982),LN(1-W982))</f>
        <v/>
      </c>
      <c r="Y982" s="8">
        <f>IF(C982=1,$AE$32,$AE$33)</f>
        <v/>
      </c>
      <c r="Z982" s="9">
        <f>Y982*X982</f>
        <v/>
      </c>
      <c r="AA982" s="10">
        <f>IF(W982&gt;$AE$34,1,0)</f>
        <v/>
      </c>
      <c r="AB982">
        <f>IF(AA982=C982,1,0)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$AE$12+D983*$AE$13+E983*$AE$14+F983*$AE$15+G983*$AE$16+H983*$AE$17+I983*$AE$18+J983*$AE$19+K983*$AE$20+L983*$AE$21+M983*$AE$22+N983*$AE$23+O983*$AE$24+P983*$AE$25+Q983*$AE$26+R983*$AE$27+S983*$AE$28+T983*$AE$29+U983*$AE$30</f>
        <v/>
      </c>
      <c r="W983" s="8">
        <f>1/(1+EXP(-V983))</f>
        <v/>
      </c>
      <c r="X983" s="9">
        <f>-IF(C983=1,LN(W983),LN(1-W983))</f>
        <v/>
      </c>
      <c r="Y983" s="8">
        <f>IF(C983=1,$AE$32,$AE$33)</f>
        <v/>
      </c>
      <c r="Z983" s="9">
        <f>Y983*X983</f>
        <v/>
      </c>
      <c r="AA983" s="10">
        <f>IF(W983&gt;$AE$34,1,0)</f>
        <v/>
      </c>
      <c r="AB983">
        <f>IF(AA983=C983,1,0)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$AE$12+D984*$AE$13+E984*$AE$14+F984*$AE$15+G984*$AE$16+H984*$AE$17+I984*$AE$18+J984*$AE$19+K984*$AE$20+L984*$AE$21+M984*$AE$22+N984*$AE$23+O984*$AE$24+P984*$AE$25+Q984*$AE$26+R984*$AE$27+S984*$AE$28+T984*$AE$29+U984*$AE$30</f>
        <v/>
      </c>
      <c r="W984" s="8">
        <f>1/(1+EXP(-V984))</f>
        <v/>
      </c>
      <c r="X984" s="9">
        <f>-IF(C984=1,LN(W984),LN(1-W984))</f>
        <v/>
      </c>
      <c r="Y984" s="8">
        <f>IF(C984=1,$AE$32,$AE$33)</f>
        <v/>
      </c>
      <c r="Z984" s="9">
        <f>Y984*X984</f>
        <v/>
      </c>
      <c r="AA984" s="10">
        <f>IF(W984&gt;$AE$34,1,0)</f>
        <v/>
      </c>
      <c r="AB984">
        <f>IF(AA984=C984,1,0)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$AE$12+D985*$AE$13+E985*$AE$14+F985*$AE$15+G985*$AE$16+H985*$AE$17+I985*$AE$18+J985*$AE$19+K985*$AE$20+L985*$AE$21+M985*$AE$22+N985*$AE$23+O985*$AE$24+P985*$AE$25+Q985*$AE$26+R985*$AE$27+S985*$AE$28+T985*$AE$29+U985*$AE$30</f>
        <v/>
      </c>
      <c r="W985" s="8">
        <f>1/(1+EXP(-V985))</f>
        <v/>
      </c>
      <c r="X985" s="9">
        <f>-IF(C985=1,LN(W985),LN(1-W985))</f>
        <v/>
      </c>
      <c r="Y985" s="8">
        <f>IF(C985=1,$AE$32,$AE$33)</f>
        <v/>
      </c>
      <c r="Z985" s="9">
        <f>Y985*X985</f>
        <v/>
      </c>
      <c r="AA985" s="10">
        <f>IF(W985&gt;$AE$34,1,0)</f>
        <v/>
      </c>
      <c r="AB985">
        <f>IF(AA985=C985,1,0)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$AE$12+D986*$AE$13+E986*$AE$14+F986*$AE$15+G986*$AE$16+H986*$AE$17+I986*$AE$18+J986*$AE$19+K986*$AE$20+L986*$AE$21+M986*$AE$22+N986*$AE$23+O986*$AE$24+P986*$AE$25+Q986*$AE$26+R986*$AE$27+S986*$AE$28+T986*$AE$29+U986*$AE$30</f>
        <v/>
      </c>
      <c r="W986" s="8">
        <f>1/(1+EXP(-V986))</f>
        <v/>
      </c>
      <c r="X986" s="9">
        <f>-IF(C986=1,LN(W986),LN(1-W986))</f>
        <v/>
      </c>
      <c r="Y986" s="8">
        <f>IF(C986=1,$AE$32,$AE$33)</f>
        <v/>
      </c>
      <c r="Z986" s="9">
        <f>Y986*X986</f>
        <v/>
      </c>
      <c r="AA986" s="10">
        <f>IF(W986&gt;$AE$34,1,0)</f>
        <v/>
      </c>
      <c r="AB986">
        <f>IF(AA986=C986,1,0)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$AE$12+D987*$AE$13+E987*$AE$14+F987*$AE$15+G987*$AE$16+H987*$AE$17+I987*$AE$18+J987*$AE$19+K987*$AE$20+L987*$AE$21+M987*$AE$22+N987*$AE$23+O987*$AE$24+P987*$AE$25+Q987*$AE$26+R987*$AE$27+S987*$AE$28+T987*$AE$29+U987*$AE$30</f>
        <v/>
      </c>
      <c r="W987" s="8">
        <f>1/(1+EXP(-V987))</f>
        <v/>
      </c>
      <c r="X987" s="9">
        <f>-IF(C987=1,LN(W987),LN(1-W987))</f>
        <v/>
      </c>
      <c r="Y987" s="8">
        <f>IF(C987=1,$AE$32,$AE$33)</f>
        <v/>
      </c>
      <c r="Z987" s="9">
        <f>Y987*X987</f>
        <v/>
      </c>
      <c r="AA987" s="10">
        <f>IF(W987&gt;$AE$34,1,0)</f>
        <v/>
      </c>
      <c r="AB987">
        <f>IF(AA987=C987,1,0)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$AE$12+D988*$AE$13+E988*$AE$14+F988*$AE$15+G988*$AE$16+H988*$AE$17+I988*$AE$18+J988*$AE$19+K988*$AE$20+L988*$AE$21+M988*$AE$22+N988*$AE$23+O988*$AE$24+P988*$AE$25+Q988*$AE$26+R988*$AE$27+S988*$AE$28+T988*$AE$29+U988*$AE$30</f>
        <v/>
      </c>
      <c r="W988" s="8">
        <f>1/(1+EXP(-V988))</f>
        <v/>
      </c>
      <c r="X988" s="9">
        <f>-IF(C988=1,LN(W988),LN(1-W988))</f>
        <v/>
      </c>
      <c r="Y988" s="8">
        <f>IF(C988=1,$AE$32,$AE$33)</f>
        <v/>
      </c>
      <c r="Z988" s="9">
        <f>Y988*X988</f>
        <v/>
      </c>
      <c r="AA988" s="10">
        <f>IF(W988&gt;$AE$34,1,0)</f>
        <v/>
      </c>
      <c r="AB988">
        <f>IF(AA988=C988,1,0)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$AE$12+D989*$AE$13+E989*$AE$14+F989*$AE$15+G989*$AE$16+H989*$AE$17+I989*$AE$18+J989*$AE$19+K989*$AE$20+L989*$AE$21+M989*$AE$22+N989*$AE$23+O989*$AE$24+P989*$AE$25+Q989*$AE$26+R989*$AE$27+S989*$AE$28+T989*$AE$29+U989*$AE$30</f>
        <v/>
      </c>
      <c r="W989" s="8">
        <f>1/(1+EXP(-V989))</f>
        <v/>
      </c>
      <c r="X989" s="9">
        <f>-IF(C989=1,LN(W989),LN(1-W989))</f>
        <v/>
      </c>
      <c r="Y989" s="8">
        <f>IF(C989=1,$AE$32,$AE$33)</f>
        <v/>
      </c>
      <c r="Z989" s="9">
        <f>Y989*X989</f>
        <v/>
      </c>
      <c r="AA989" s="10">
        <f>IF(W989&gt;$AE$34,1,0)</f>
        <v/>
      </c>
      <c r="AB989">
        <f>IF(AA989=C989,1,0)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$AE$12+D990*$AE$13+E990*$AE$14+F990*$AE$15+G990*$AE$16+H990*$AE$17+I990*$AE$18+J990*$AE$19+K990*$AE$20+L990*$AE$21+M990*$AE$22+N990*$AE$23+O990*$AE$24+P990*$AE$25+Q990*$AE$26+R990*$AE$27+S990*$AE$28+T990*$AE$29+U990*$AE$30</f>
        <v/>
      </c>
      <c r="W990" s="8">
        <f>1/(1+EXP(-V990))</f>
        <v/>
      </c>
      <c r="X990" s="9">
        <f>-IF(C990=1,LN(W990),LN(1-W990))</f>
        <v/>
      </c>
      <c r="Y990" s="8">
        <f>IF(C990=1,$AE$32,$AE$33)</f>
        <v/>
      </c>
      <c r="Z990" s="9">
        <f>Y990*X990</f>
        <v/>
      </c>
      <c r="AA990" s="10">
        <f>IF(W990&gt;$AE$34,1,0)</f>
        <v/>
      </c>
      <c r="AB990">
        <f>IF(AA990=C990,1,0)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$AE$12+D991*$AE$13+E991*$AE$14+F991*$AE$15+G991*$AE$16+H991*$AE$17+I991*$AE$18+J991*$AE$19+K991*$AE$20+L991*$AE$21+M991*$AE$22+N991*$AE$23+O991*$AE$24+P991*$AE$25+Q991*$AE$26+R991*$AE$27+S991*$AE$28+T991*$AE$29+U991*$AE$30</f>
        <v/>
      </c>
      <c r="W991" s="8">
        <f>1/(1+EXP(-V991))</f>
        <v/>
      </c>
      <c r="X991" s="9">
        <f>-IF(C991=1,LN(W991),LN(1-W991))</f>
        <v/>
      </c>
      <c r="Y991" s="8">
        <f>IF(C991=1,$AE$32,$AE$33)</f>
        <v/>
      </c>
      <c r="Z991" s="9">
        <f>Y991*X991</f>
        <v/>
      </c>
      <c r="AA991" s="10">
        <f>IF(W991&gt;$AE$34,1,0)</f>
        <v/>
      </c>
      <c r="AB991">
        <f>IF(AA991=C991,1,0)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$AE$12+D992*$AE$13+E992*$AE$14+F992*$AE$15+G992*$AE$16+H992*$AE$17+I992*$AE$18+J992*$AE$19+K992*$AE$20+L992*$AE$21+M992*$AE$22+N992*$AE$23+O992*$AE$24+P992*$AE$25+Q992*$AE$26+R992*$AE$27+S992*$AE$28+T992*$AE$29+U992*$AE$30</f>
        <v/>
      </c>
      <c r="W992" s="8">
        <f>1/(1+EXP(-V992))</f>
        <v/>
      </c>
      <c r="X992" s="9">
        <f>-IF(C992=1,LN(W992),LN(1-W992))</f>
        <v/>
      </c>
      <c r="Y992" s="8">
        <f>IF(C992=1,$AE$32,$AE$33)</f>
        <v/>
      </c>
      <c r="Z992" s="9">
        <f>Y992*X992</f>
        <v/>
      </c>
      <c r="AA992" s="10">
        <f>IF(W992&gt;$AE$34,1,0)</f>
        <v/>
      </c>
      <c r="AB992">
        <f>IF(AA992=C992,1,0)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$AE$12+D993*$AE$13+E993*$AE$14+F993*$AE$15+G993*$AE$16+H993*$AE$17+I993*$AE$18+J993*$AE$19+K993*$AE$20+L993*$AE$21+M993*$AE$22+N993*$AE$23+O993*$AE$24+P993*$AE$25+Q993*$AE$26+R993*$AE$27+S993*$AE$28+T993*$AE$29+U993*$AE$30</f>
        <v/>
      </c>
      <c r="W993" s="8">
        <f>1/(1+EXP(-V993))</f>
        <v/>
      </c>
      <c r="X993" s="9">
        <f>-IF(C993=1,LN(W993),LN(1-W993))</f>
        <v/>
      </c>
      <c r="Y993" s="8">
        <f>IF(C993=1,$AE$32,$AE$33)</f>
        <v/>
      </c>
      <c r="Z993" s="9">
        <f>Y993*X993</f>
        <v/>
      </c>
      <c r="AA993" s="10">
        <f>IF(W993&gt;$AE$34,1,0)</f>
        <v/>
      </c>
      <c r="AB993">
        <f>IF(AA993=C993,1,0)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$AE$12+D994*$AE$13+E994*$AE$14+F994*$AE$15+G994*$AE$16+H994*$AE$17+I994*$AE$18+J994*$AE$19+K994*$AE$20+L994*$AE$21+M994*$AE$22+N994*$AE$23+O994*$AE$24+P994*$AE$25+Q994*$AE$26+R994*$AE$27+S994*$AE$28+T994*$AE$29+U994*$AE$30</f>
        <v/>
      </c>
      <c r="W994" s="8">
        <f>1/(1+EXP(-V994))</f>
        <v/>
      </c>
      <c r="X994" s="9">
        <f>-IF(C994=1,LN(W994),LN(1-W994))</f>
        <v/>
      </c>
      <c r="Y994" s="8">
        <f>IF(C994=1,$AE$32,$AE$33)</f>
        <v/>
      </c>
      <c r="Z994" s="9">
        <f>Y994*X994</f>
        <v/>
      </c>
      <c r="AA994" s="10">
        <f>IF(W994&gt;$AE$34,1,0)</f>
        <v/>
      </c>
      <c r="AB994">
        <f>IF(AA994=C994,1,0)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$AE$12+D995*$AE$13+E995*$AE$14+F995*$AE$15+G995*$AE$16+H995*$AE$17+I995*$AE$18+J995*$AE$19+K995*$AE$20+L995*$AE$21+M995*$AE$22+N995*$AE$23+O995*$AE$24+P995*$AE$25+Q995*$AE$26+R995*$AE$27+S995*$AE$28+T995*$AE$29+U995*$AE$30</f>
        <v/>
      </c>
      <c r="W995" s="8">
        <f>1/(1+EXP(-V995))</f>
        <v/>
      </c>
      <c r="X995" s="9">
        <f>-IF(C995=1,LN(W995),LN(1-W995))</f>
        <v/>
      </c>
      <c r="Y995" s="8">
        <f>IF(C995=1,$AE$32,$AE$33)</f>
        <v/>
      </c>
      <c r="Z995" s="9">
        <f>Y995*X995</f>
        <v/>
      </c>
      <c r="AA995" s="10">
        <f>IF(W995&gt;$AE$34,1,0)</f>
        <v/>
      </c>
      <c r="AB995">
        <f>IF(AA995=C995,1,0)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$AE$12+D996*$AE$13+E996*$AE$14+F996*$AE$15+G996*$AE$16+H996*$AE$17+I996*$AE$18+J996*$AE$19+K996*$AE$20+L996*$AE$21+M996*$AE$22+N996*$AE$23+O996*$AE$24+P996*$AE$25+Q996*$AE$26+R996*$AE$27+S996*$AE$28+T996*$AE$29+U996*$AE$30</f>
        <v/>
      </c>
      <c r="W996" s="8">
        <f>1/(1+EXP(-V996))</f>
        <v/>
      </c>
      <c r="X996" s="9">
        <f>-IF(C996=1,LN(W996),LN(1-W996))</f>
        <v/>
      </c>
      <c r="Y996" s="8">
        <f>IF(C996=1,$AE$32,$AE$33)</f>
        <v/>
      </c>
      <c r="Z996" s="9">
        <f>Y996*X996</f>
        <v/>
      </c>
      <c r="AA996" s="10">
        <f>IF(W996&gt;$AE$34,1,0)</f>
        <v/>
      </c>
      <c r="AB996">
        <f>IF(AA996=C996,1,0)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$AE$12+D997*$AE$13+E997*$AE$14+F997*$AE$15+G997*$AE$16+H997*$AE$17+I997*$AE$18+J997*$AE$19+K997*$AE$20+L997*$AE$21+M997*$AE$22+N997*$AE$23+O997*$AE$24+P997*$AE$25+Q997*$AE$26+R997*$AE$27+S997*$AE$28+T997*$AE$29+U997*$AE$30</f>
        <v/>
      </c>
      <c r="W997" s="8">
        <f>1/(1+EXP(-V997))</f>
        <v/>
      </c>
      <c r="X997" s="9">
        <f>-IF(C997=1,LN(W997),LN(1-W997))</f>
        <v/>
      </c>
      <c r="Y997" s="8">
        <f>IF(C997=1,$AE$32,$AE$33)</f>
        <v/>
      </c>
      <c r="Z997" s="9">
        <f>Y997*X997</f>
        <v/>
      </c>
      <c r="AA997" s="10">
        <f>IF(W997&gt;$AE$34,1,0)</f>
        <v/>
      </c>
      <c r="AB997">
        <f>IF(AA997=C997,1,0)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$AE$12+D998*$AE$13+E998*$AE$14+F998*$AE$15+G998*$AE$16+H998*$AE$17+I998*$AE$18+J998*$AE$19+K998*$AE$20+L998*$AE$21+M998*$AE$22+N998*$AE$23+O998*$AE$24+P998*$AE$25+Q998*$AE$26+R998*$AE$27+S998*$AE$28+T998*$AE$29+U998*$AE$30</f>
        <v/>
      </c>
      <c r="W998" s="8">
        <f>1/(1+EXP(-V998))</f>
        <v/>
      </c>
      <c r="X998" s="9">
        <f>-IF(C998=1,LN(W998),LN(1-W998))</f>
        <v/>
      </c>
      <c r="Y998" s="8">
        <f>IF(C998=1,$AE$32,$AE$33)</f>
        <v/>
      </c>
      <c r="Z998" s="9">
        <f>Y998*X998</f>
        <v/>
      </c>
      <c r="AA998" s="10">
        <f>IF(W998&gt;$AE$34,1,0)</f>
        <v/>
      </c>
      <c r="AB998">
        <f>IF(AA998=C998,1,0)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$AE$12+D999*$AE$13+E999*$AE$14+F999*$AE$15+G999*$AE$16+H999*$AE$17+I999*$AE$18+J999*$AE$19+K999*$AE$20+L999*$AE$21+M999*$AE$22+N999*$AE$23+O999*$AE$24+P999*$AE$25+Q999*$AE$26+R999*$AE$27+S999*$AE$28+T999*$AE$29+U999*$AE$30</f>
        <v/>
      </c>
      <c r="W999" s="8">
        <f>1/(1+EXP(-V999))</f>
        <v/>
      </c>
      <c r="X999" s="9">
        <f>-IF(C999=1,LN(W999),LN(1-W999))</f>
        <v/>
      </c>
      <c r="Y999" s="8">
        <f>IF(C999=1,$AE$32,$AE$33)</f>
        <v/>
      </c>
      <c r="Z999" s="9">
        <f>Y999*X999</f>
        <v/>
      </c>
      <c r="AA999" s="10">
        <f>IF(W999&gt;$AE$34,1,0)</f>
        <v/>
      </c>
      <c r="AB999">
        <f>IF(AA999=C999,1,0)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$AE$12+D1000*$AE$13+E1000*$AE$14+F1000*$AE$15+G1000*$AE$16+H1000*$AE$17+I1000*$AE$18+J1000*$AE$19+K1000*$AE$20+L1000*$AE$21+M1000*$AE$22+N1000*$AE$23+O1000*$AE$24+P1000*$AE$25+Q1000*$AE$26+R1000*$AE$27+S1000*$AE$28+T1000*$AE$29+U1000*$AE$30</f>
        <v/>
      </c>
      <c r="W1000" s="8">
        <f>1/(1+EXP(-V1000))</f>
        <v/>
      </c>
      <c r="X1000" s="9">
        <f>-IF(C1000=1,LN(W1000),LN(1-W1000))</f>
        <v/>
      </c>
      <c r="Y1000" s="8">
        <f>IF(C1000=1,$AE$32,$AE$33)</f>
        <v/>
      </c>
      <c r="Z1000" s="9">
        <f>Y1000*X1000</f>
        <v/>
      </c>
      <c r="AA1000" s="10">
        <f>IF(W1000&gt;$AE$34,1,0)</f>
        <v/>
      </c>
      <c r="AB1000">
        <f>IF(AA1000=C1000,1,0)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$AE$12+D1001*$AE$13+E1001*$AE$14+F1001*$AE$15+G1001*$AE$16+H1001*$AE$17+I1001*$AE$18+J1001*$AE$19+K1001*$AE$20+L1001*$AE$21+M1001*$AE$22+N1001*$AE$23+O1001*$AE$24+P1001*$AE$25+Q1001*$AE$26+R1001*$AE$27+S1001*$AE$28+T1001*$AE$29+U1001*$AE$30</f>
        <v/>
      </c>
      <c r="W1001" s="8">
        <f>1/(1+EXP(-V1001))</f>
        <v/>
      </c>
      <c r="X1001" s="9">
        <f>-IF(C1001=1,LN(W1001),LN(1-W1001))</f>
        <v/>
      </c>
      <c r="Y1001" s="8">
        <f>IF(C1001=1,$AE$32,$AE$33)</f>
        <v/>
      </c>
      <c r="Z1001" s="9">
        <f>Y1001*X1001</f>
        <v/>
      </c>
      <c r="AA1001" s="10">
        <f>IF(W1001&gt;$AE$34,1,0)</f>
        <v/>
      </c>
      <c r="AB1001">
        <f>IF(AA1001=C1001,1,0)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$AE$12+D1002*$AE$13+E1002*$AE$14+F1002*$AE$15+G1002*$AE$16+H1002*$AE$17+I1002*$AE$18+J1002*$AE$19+K1002*$AE$20+L1002*$AE$21+M1002*$AE$22+N1002*$AE$23+O1002*$AE$24+P1002*$AE$25+Q1002*$AE$26+R1002*$AE$27+S1002*$AE$28+T1002*$AE$29+U1002*$AE$30</f>
        <v/>
      </c>
      <c r="W1002" s="8">
        <f>1/(1+EXP(-V1002))</f>
        <v/>
      </c>
      <c r="X1002" s="9">
        <f>-IF(C1002=1,LN(W1002),LN(1-W1002))</f>
        <v/>
      </c>
      <c r="Y1002" s="8">
        <f>IF(C1002=1,$AE$32,$AE$33)</f>
        <v/>
      </c>
      <c r="Z1002" s="9">
        <f>Y1002*X1002</f>
        <v/>
      </c>
      <c r="AA1002" s="10">
        <f>IF(W1002&gt;$AE$34,1,0)</f>
        <v/>
      </c>
      <c r="AB1002">
        <f>IF(AA1002=C1002,1,0)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$AE$12+D1003*$AE$13+E1003*$AE$14+F1003*$AE$15+G1003*$AE$16+H1003*$AE$17+I1003*$AE$18+J1003*$AE$19+K1003*$AE$20+L1003*$AE$21+M1003*$AE$22+N1003*$AE$23+O1003*$AE$24+P1003*$AE$25+Q1003*$AE$26+R1003*$AE$27+S1003*$AE$28+T1003*$AE$29+U1003*$AE$30</f>
        <v/>
      </c>
      <c r="W1003" s="8">
        <f>1/(1+EXP(-V1003))</f>
        <v/>
      </c>
      <c r="X1003" s="9">
        <f>-IF(C1003=1,LN(W1003),LN(1-W1003))</f>
        <v/>
      </c>
      <c r="Y1003" s="8">
        <f>IF(C1003=1,$AE$32,$AE$33)</f>
        <v/>
      </c>
      <c r="Z1003" s="9">
        <f>Y1003*X1003</f>
        <v/>
      </c>
      <c r="AA1003" s="10">
        <f>IF(W1003&gt;$AE$34,1,0)</f>
        <v/>
      </c>
      <c r="AB1003">
        <f>IF(AA1003=C1003,1,0)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$AE$12+D1004*$AE$13+E1004*$AE$14+F1004*$AE$15+G1004*$AE$16+H1004*$AE$17+I1004*$AE$18+J1004*$AE$19+K1004*$AE$20+L1004*$AE$21+M1004*$AE$22+N1004*$AE$23+O1004*$AE$24+P1004*$AE$25+Q1004*$AE$26+R1004*$AE$27+S1004*$AE$28+T1004*$AE$29+U1004*$AE$30</f>
        <v/>
      </c>
      <c r="W1004" s="8">
        <f>1/(1+EXP(-V1004))</f>
        <v/>
      </c>
      <c r="X1004" s="9">
        <f>-IF(C1004=1,LN(W1004),LN(1-W1004))</f>
        <v/>
      </c>
      <c r="Y1004" s="8">
        <f>IF(C1004=1,$AE$32,$AE$33)</f>
        <v/>
      </c>
      <c r="Z1004" s="9">
        <f>Y1004*X1004</f>
        <v/>
      </c>
      <c r="AA1004" s="10">
        <f>IF(W1004&gt;$AE$34,1,0)</f>
        <v/>
      </c>
      <c r="AB1004">
        <f>IF(AA1004=C1004,1,0)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$AE$12+D1005*$AE$13+E1005*$AE$14+F1005*$AE$15+G1005*$AE$16+H1005*$AE$17+I1005*$AE$18+J1005*$AE$19+K1005*$AE$20+L1005*$AE$21+M1005*$AE$22+N1005*$AE$23+O1005*$AE$24+P1005*$AE$25+Q1005*$AE$26+R1005*$AE$27+S1005*$AE$28+T1005*$AE$29+U1005*$AE$30</f>
        <v/>
      </c>
      <c r="W1005" s="8">
        <f>1/(1+EXP(-V1005))</f>
        <v/>
      </c>
      <c r="X1005" s="9">
        <f>-IF(C1005=1,LN(W1005),LN(1-W1005))</f>
        <v/>
      </c>
      <c r="Y1005" s="8">
        <f>IF(C1005=1,$AE$32,$AE$33)</f>
        <v/>
      </c>
      <c r="Z1005" s="9">
        <f>Y1005*X1005</f>
        <v/>
      </c>
      <c r="AA1005" s="10">
        <f>IF(W1005&gt;$AE$34,1,0)</f>
        <v/>
      </c>
      <c r="AB1005">
        <f>IF(AA1005=C1005,1,0)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$AE$12+D1006*$AE$13+E1006*$AE$14+F1006*$AE$15+G1006*$AE$16+H1006*$AE$17+I1006*$AE$18+J1006*$AE$19+K1006*$AE$20+L1006*$AE$21+M1006*$AE$22+N1006*$AE$23+O1006*$AE$24+P1006*$AE$25+Q1006*$AE$26+R1006*$AE$27+S1006*$AE$28+T1006*$AE$29+U1006*$AE$30</f>
        <v/>
      </c>
      <c r="W1006" s="8">
        <f>1/(1+EXP(-V1006))</f>
        <v/>
      </c>
      <c r="X1006" s="9">
        <f>-IF(C1006=1,LN(W1006),LN(1-W1006))</f>
        <v/>
      </c>
      <c r="Y1006" s="8">
        <f>IF(C1006=1,$AE$32,$AE$33)</f>
        <v/>
      </c>
      <c r="Z1006" s="9">
        <f>Y1006*X1006</f>
        <v/>
      </c>
      <c r="AA1006" s="10">
        <f>IF(W1006&gt;$AE$34,1,0)</f>
        <v/>
      </c>
      <c r="AB1006">
        <f>IF(AA1006=C1006,1,0)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IF(C1007=1,$AE$32,$AE$33)</f>
        <v/>
      </c>
      <c r="Z1007" s="9">
        <f>Y1007*X1007</f>
        <v/>
      </c>
      <c r="AA1007" s="10">
        <f>IF(W1007&gt;$AE$34,1,0)</f>
        <v/>
      </c>
      <c r="AB1007">
        <f>IF(AA1007=C1007,1,0)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IF(C1008=1,$AE$32,$AE$33)</f>
        <v/>
      </c>
      <c r="Z1008" s="9">
        <f>Y1008*X1008</f>
        <v/>
      </c>
      <c r="AA1008" s="10">
        <f>IF(W1008&gt;$AE$34,1,0)</f>
        <v/>
      </c>
      <c r="AB1008">
        <f>IF(AA1008=C1008,1,0)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IF(C1009=1,$AE$32,$AE$33)</f>
        <v/>
      </c>
      <c r="Z1009" s="9">
        <f>Y1009*X1009</f>
        <v/>
      </c>
      <c r="AA1009" s="10">
        <f>IF(W1009&gt;$AE$34,1,0)</f>
        <v/>
      </c>
      <c r="AB1009">
        <f>IF(AA1009=C1009,1,0)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IF(C1010=1,$AE$32,$AE$33)</f>
        <v/>
      </c>
      <c r="Z1010" s="9">
        <f>Y1010*X1010</f>
        <v/>
      </c>
      <c r="AA1010" s="10">
        <f>IF(W1010&gt;$AE$34,1,0)</f>
        <v/>
      </c>
      <c r="AB1010">
        <f>IF(AA1010=C1010,1,0)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IF(C1011=1,$AE$32,$AE$33)</f>
        <v/>
      </c>
      <c r="Z1011" s="9">
        <f>Y1011*X1011</f>
        <v/>
      </c>
      <c r="AA1011" s="10">
        <f>IF(W1011&gt;$AE$34,1,0)</f>
        <v/>
      </c>
      <c r="AB1011">
        <f>IF(AA1011=C1011,1,0)</f>
        <v/>
      </c>
    </row>
  </sheetData>
  <mergeCells count="3">
    <mergeCell ref="A3:R3"/>
    <mergeCell ref="A2:R2"/>
    <mergeCell ref="AD48:AF48"/>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4"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2" customWidth="1" min="37" max="37"/>
    <col width="12" customWidth="1" min="38" max="38"/>
    <col width="10" customWidth="1" min="39" max="39"/>
  </cols>
  <sheetData>
    <row r="1">
      <c r="A1" s="3" t="inlineStr">
        <is>
          <t>Undersampling: randomly dropping good payers until they match the defaulters</t>
        </is>
      </c>
    </row>
    <row r="2" ht="49.5" customHeight="1">
      <c r="A2" s="2" t="inlineStr">
        <is>
          <t>Instead of weighting, 280 of the 490 good payers are removed from training, chosen at random, and the model is trained on 210 and 210. The column 'row weight' equals 1 for the rows that stay and 0 for those that leave, so the discarded ones contribute nothing to J. Testing stays complete, with its 300 customers: the only sample that is touched is the training sample.</t>
        </is>
      </c>
    </row>
    <row r="3" ht="49.5" customHeight="1">
      <c r="A3" s="2" t="inlineStr">
        <is>
          <t>It is the simplest fix and the cheapest to run, which is why it is used so much with huge datasets. Its cost is obvious: 280 real customers with information are thrown away. In this dataset it shows little (the recall of class 1 ends up similar to class weights) but the model is somewhat worse in AUC, and with fewer rows the result depends more on which good payers happened to be drawn. The notebook shows this by repeating the draw several times.</t>
        </is>
      </c>
    </row>
    <row r="4"/>
    <row r="5"/>
    <row r="6"/>
    <row r="7"/>
    <row r="8"/>
    <row r="9"/>
    <row r="10">
      <c r="AD10" s="3" t="inlineStr">
        <is>
          <t>Model weights (theta): start from the unbalanced solution</t>
        </is>
      </c>
      <c r="AI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row weight</t>
        </is>
      </c>
      <c r="Z11" s="4" t="inlineStr">
        <is>
          <t>weighted loss</t>
        </is>
      </c>
      <c r="AA11" s="4" t="inlineStr">
        <is>
          <t>prediction</t>
        </is>
      </c>
      <c r="AB11" s="4" t="inlineStr">
        <is>
          <t>correct</t>
        </is>
      </c>
      <c r="AD11" s="4" t="inlineStr">
        <is>
          <t>variable</t>
        </is>
      </c>
      <c r="AE11" s="4" t="inlineStr">
        <is>
          <t>theta (light blue)</t>
        </is>
      </c>
      <c r="AF11" s="4" t="inlineStr">
        <is>
          <t>scikit-learn reference for this variant</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$AE$12+D12*$AE$13+E12*$AE$14+F12*$AE$15+G12*$AE$16+H12*$AE$17+I12*$AE$18+J12*$AE$19+K12*$AE$20+L12*$AE$21+M12*$AE$22+N12*$AE$23+O12*$AE$24+P12*$AE$25+Q12*$AE$26+R12*$AE$27+S12*$AE$28+T12*$AE$29+U12*$AE$30</f>
        <v/>
      </c>
      <c r="W12" s="8">
        <f>1/(1+EXP(-V12))</f>
        <v/>
      </c>
      <c r="X12" s="9">
        <f>-IF(C12=1,LN(W12),LN(1-W12))</f>
        <v/>
      </c>
      <c r="Y12" s="8">
        <f>'1 prepared data'!V5</f>
        <v/>
      </c>
      <c r="Z12" s="9">
        <f>Y12*X12</f>
        <v/>
      </c>
      <c r="AA12" s="10">
        <f>IF(W12&gt;$AE$33,1,0)</f>
        <v/>
      </c>
      <c r="AB12">
        <f>IF(AA12=C12,1,0)</f>
        <v/>
      </c>
      <c r="AD12" t="inlineStr">
        <is>
          <t>intercept</t>
        </is>
      </c>
      <c r="AE12" s="11" t="n">
        <v>-1.341270962110326</v>
      </c>
      <c r="AF12" s="12" t="n">
        <v>-0.5642677662303335</v>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$AE$12+D13*$AE$13+E13*$AE$14+F13*$AE$15+G13*$AE$16+H13*$AE$17+I13*$AE$18+J13*$AE$19+K13*$AE$20+L13*$AE$21+M13*$AE$22+N13*$AE$23+O13*$AE$24+P13*$AE$25+Q13*$AE$26+R13*$AE$27+S13*$AE$28+T13*$AE$29+U13*$AE$30</f>
        <v/>
      </c>
      <c r="W13" s="8">
        <f>1/(1+EXP(-V13))</f>
        <v/>
      </c>
      <c r="X13" s="9">
        <f>-IF(C13=1,LN(W13),LN(1-W13))</f>
        <v/>
      </c>
      <c r="Y13" s="8">
        <f>'1 prepared data'!V6</f>
        <v/>
      </c>
      <c r="Z13" s="9">
        <f>Y13*X13</f>
        <v/>
      </c>
      <c r="AA13" s="10">
        <f>IF(W13&gt;$AE$33,1,0)</f>
        <v/>
      </c>
      <c r="AB13">
        <f>IF(AA13=C13,1,0)</f>
        <v/>
      </c>
      <c r="AD13" t="inlineStr">
        <is>
          <t>duration</t>
        </is>
      </c>
      <c r="AE13" s="11" t="n">
        <v>0.3247012549391071</v>
      </c>
      <c r="AF13" s="12" t="n">
        <v>0.15390117294376</v>
      </c>
      <c r="AK13" s="3" t="inlineStr">
        <is>
          <t>predicted 0</t>
        </is>
      </c>
      <c r="AL13" s="3" t="inlineStr">
        <is>
          <t>predicted 1</t>
        </is>
      </c>
      <c r="AM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$AE$12+D14*$AE$13+E14*$AE$14+F14*$AE$15+G14*$AE$16+H14*$AE$17+I14*$AE$18+J14*$AE$19+K14*$AE$20+L14*$AE$21+M14*$AE$22+N14*$AE$23+O14*$AE$24+P14*$AE$25+Q14*$AE$26+R14*$AE$27+S14*$AE$28+T14*$AE$29+U14*$AE$30</f>
        <v/>
      </c>
      <c r="W14" s="8">
        <f>1/(1+EXP(-V14))</f>
        <v/>
      </c>
      <c r="X14" s="9">
        <f>-IF(C14=1,LN(W14),LN(1-W14))</f>
        <v/>
      </c>
      <c r="Y14" s="8">
        <f>'1 prepared data'!V7</f>
        <v/>
      </c>
      <c r="Z14" s="9">
        <f>Y14*X14</f>
        <v/>
      </c>
      <c r="AA14" s="10">
        <f>IF(W14&gt;$AE$33,1,0)</f>
        <v/>
      </c>
      <c r="AB14">
        <f>IF(AA14=C14,1,0)</f>
        <v/>
      </c>
      <c r="AD14" t="inlineStr">
        <is>
          <t>amount</t>
        </is>
      </c>
      <c r="AE14" s="11" t="n">
        <v>0.1163535941884676</v>
      </c>
      <c r="AF14" s="12" t="n">
        <v>0.2386620748886498</v>
      </c>
      <c r="AI14" s="3" t="inlineStr">
        <is>
          <t>actual 0 (good payer)</t>
        </is>
      </c>
      <c r="AJ14" t="inlineStr">
        <is>
          <t>TN | FP</t>
        </is>
      </c>
      <c r="AK14" s="13">
        <f>COUNTIFS($B$12:$B$1011,"testing",$C$12:$C$1011,0,$AA$12:$AA$1011,0)</f>
        <v/>
      </c>
      <c r="AL14" s="13">
        <f>COUNTIFS($B$12:$B$1011,"testing",$C$12:$C$1011,0,$AA$12:$AA$1011,1)</f>
        <v/>
      </c>
      <c r="AM14">
        <f>AK14+AL14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$AE$12+D15*$AE$13+E15*$AE$14+F15*$AE$15+G15*$AE$16+H15*$AE$17+I15*$AE$18+J15*$AE$19+K15*$AE$20+L15*$AE$21+M15*$AE$22+N15*$AE$23+O15*$AE$24+P15*$AE$25+Q15*$AE$26+R15*$AE$27+S15*$AE$28+T15*$AE$29+U15*$AE$30</f>
        <v/>
      </c>
      <c r="W15" s="8">
        <f>1/(1+EXP(-V15))</f>
        <v/>
      </c>
      <c r="X15" s="9">
        <f>-IF(C15=1,LN(W15),LN(1-W15))</f>
        <v/>
      </c>
      <c r="Y15" s="8">
        <f>'1 prepared data'!V8</f>
        <v/>
      </c>
      <c r="Z15" s="9">
        <f>Y15*X15</f>
        <v/>
      </c>
      <c r="AA15" s="10">
        <f>IF(W15&gt;$AE$33,1,0)</f>
        <v/>
      </c>
      <c r="AB15">
        <f>IF(AA15=C15,1,0)</f>
        <v/>
      </c>
      <c r="AD15" t="inlineStr">
        <is>
          <t>age</t>
        </is>
      </c>
      <c r="AE15" s="11" t="n">
        <v>-0.09914522482627074</v>
      </c>
      <c r="AF15" s="12" t="n">
        <v>-0.09341068808315182</v>
      </c>
      <c r="AI15" s="3" t="inlineStr">
        <is>
          <t>actual 1 (defaulter)</t>
        </is>
      </c>
      <c r="AJ15" t="inlineStr">
        <is>
          <t>FN | TP</t>
        </is>
      </c>
      <c r="AK15" s="13">
        <f>COUNTIFS($B$12:$B$1011,"testing",$C$12:$C$1011,1,$AA$12:$AA$1011,0)</f>
        <v/>
      </c>
      <c r="AL15" s="13">
        <f>COUNTIFS($B$12:$B$1011,"testing",$C$12:$C$1011,1,$AA$12:$AA$1011,1)</f>
        <v/>
      </c>
      <c r="AM15">
        <f>AK15+AL15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$AE$12+D16*$AE$13+E16*$AE$14+F16*$AE$15+G16*$AE$16+H16*$AE$17+I16*$AE$18+J16*$AE$19+K16*$AE$20+L16*$AE$21+M16*$AE$22+N16*$AE$23+O16*$AE$24+P16*$AE$25+Q16*$AE$26+R16*$AE$27+S16*$AE$28+T16*$AE$29+U16*$AE$30</f>
        <v/>
      </c>
      <c r="W16" s="8">
        <f>1/(1+EXP(-V16))</f>
        <v/>
      </c>
      <c r="X16" s="9">
        <f>-IF(C16=1,LN(W16),LN(1-W16))</f>
        <v/>
      </c>
      <c r="Y16" s="8">
        <f>'1 prepared data'!V9</f>
        <v/>
      </c>
      <c r="Z16" s="9">
        <f>Y16*X16</f>
        <v/>
      </c>
      <c r="AA16" s="10">
        <f>IF(W16&gt;$AE$33,1,0)</f>
        <v/>
      </c>
      <c r="AB16">
        <f>IF(AA16=C16,1,0)</f>
        <v/>
      </c>
      <c r="AD16" t="inlineStr">
        <is>
          <t>installment_pct_income</t>
        </is>
      </c>
      <c r="AE16" s="11" t="n">
        <v>0.2872157655933926</v>
      </c>
      <c r="AF16" s="12" t="n">
        <v>0.3915154809925517</v>
      </c>
      <c r="AI16" s="3" t="inlineStr">
        <is>
          <t>total</t>
        </is>
      </c>
      <c r="AK16">
        <f>AK14+AK15</f>
        <v/>
      </c>
      <c r="AL16">
        <f>AL14+AL15</f>
        <v/>
      </c>
      <c r="AM16">
        <f>AM14+AM15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$AE$12+D17*$AE$13+E17*$AE$14+F17*$AE$15+G17*$AE$16+H17*$AE$17+I17*$AE$18+J17*$AE$19+K17*$AE$20+L17*$AE$21+M17*$AE$22+N17*$AE$23+O17*$AE$24+P17*$AE$25+Q17*$AE$26+R17*$AE$27+S17*$AE$28+T17*$AE$29+U17*$AE$30</f>
        <v/>
      </c>
      <c r="W17" s="8">
        <f>1/(1+EXP(-V17))</f>
        <v/>
      </c>
      <c r="X17" s="9">
        <f>-IF(C17=1,LN(W17),LN(1-W17))</f>
        <v/>
      </c>
      <c r="Y17" s="8">
        <f>'1 prepared data'!V10</f>
        <v/>
      </c>
      <c r="Z17" s="9">
        <f>Y17*X17</f>
        <v/>
      </c>
      <c r="AA17" s="10">
        <f>IF(W17&gt;$AE$33,1,0)</f>
        <v/>
      </c>
      <c r="AB17">
        <f>IF(AA17=C17,1,0)</f>
        <v/>
      </c>
      <c r="AD17" t="inlineStr">
        <is>
          <t>chk_negative</t>
        </is>
      </c>
      <c r="AE17" s="11" t="n">
        <v>1.546402670396991</v>
      </c>
      <c r="AF17" s="12" t="n">
        <v>1.765814420528536</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$AE$12+D18*$AE$13+E18*$AE$14+F18*$AE$15+G18*$AE$16+H18*$AE$17+I18*$AE$18+J18*$AE$19+K18*$AE$20+L18*$AE$21+M18*$AE$22+N18*$AE$23+O18*$AE$24+P18*$AE$25+Q18*$AE$26+R18*$AE$27+S18*$AE$28+T18*$AE$29+U18*$AE$30</f>
        <v/>
      </c>
      <c r="W18" s="8">
        <f>1/(1+EXP(-V18))</f>
        <v/>
      </c>
      <c r="X18" s="9">
        <f>-IF(C18=1,LN(W18),LN(1-W18))</f>
        <v/>
      </c>
      <c r="Y18" s="8">
        <f>'1 prepared data'!V11</f>
        <v/>
      </c>
      <c r="Z18" s="9">
        <f>Y18*X18</f>
        <v/>
      </c>
      <c r="AA18" s="10">
        <f>IF(W18&gt;$AE$33,1,0)</f>
        <v/>
      </c>
      <c r="AB18">
        <f>IF(AA18=C18,1,0)</f>
        <v/>
      </c>
      <c r="AD18" t="inlineStr">
        <is>
          <t>chk_0_200</t>
        </is>
      </c>
      <c r="AE18" s="11" t="n">
        <v>1.294997779791349</v>
      </c>
      <c r="AF18" s="12" t="n">
        <v>1.213917967017059</v>
      </c>
      <c r="AI18" s="4" t="inlineStr"/>
      <c r="AJ18" s="4" t="inlineStr">
        <is>
          <t>precision</t>
        </is>
      </c>
      <c r="AK18" s="4" t="inlineStr">
        <is>
          <t>recall</t>
        </is>
      </c>
      <c r="AL18" s="4" t="inlineStr">
        <is>
          <t>f1-score</t>
        </is>
      </c>
      <c r="AM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$AE$12+D19*$AE$13+E19*$AE$14+F19*$AE$15+G19*$AE$16+H19*$AE$17+I19*$AE$18+J19*$AE$19+K19*$AE$20+L19*$AE$21+M19*$AE$22+N19*$AE$23+O19*$AE$24+P19*$AE$25+Q19*$AE$26+R19*$AE$27+S19*$AE$28+T19*$AE$29+U19*$AE$30</f>
        <v/>
      </c>
      <c r="W19" s="8">
        <f>1/(1+EXP(-V19))</f>
        <v/>
      </c>
      <c r="X19" s="9">
        <f>-IF(C19=1,LN(W19),LN(1-W19))</f>
        <v/>
      </c>
      <c r="Y19" s="8">
        <f>'1 prepared data'!V12</f>
        <v/>
      </c>
      <c r="Z19" s="9">
        <f>Y19*X19</f>
        <v/>
      </c>
      <c r="AA19" s="10">
        <f>IF(W19&gt;$AE$33,1,0)</f>
        <v/>
      </c>
      <c r="AB19">
        <f>IF(AA19=C19,1,0)</f>
        <v/>
      </c>
      <c r="AD19" t="inlineStr">
        <is>
          <t>chk_over_200</t>
        </is>
      </c>
      <c r="AE19" s="11" t="n">
        <v>0.6683615861023957</v>
      </c>
      <c r="AF19" s="12" t="n">
        <v>0.9157730566223989</v>
      </c>
      <c r="AI19" s="3" t="inlineStr">
        <is>
          <t>class 0 (pays)</t>
        </is>
      </c>
      <c r="AJ19" s="14">
        <f>IF(AK14+AK15=0,0,AK14/(AK14+AK15))</f>
        <v/>
      </c>
      <c r="AK19" s="14">
        <f>IF(AK14+AL14=0,0,AK14/(AK14+AL14))</f>
        <v/>
      </c>
      <c r="AL19" s="14">
        <f>IF(AJ19+AK19=0,0,2*AJ19*AK19/(AJ19+AK19))</f>
        <v/>
      </c>
      <c r="AM19">
        <f>AM14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$AE$12+D20*$AE$13+E20*$AE$14+F20*$AE$15+G20*$AE$16+H20*$AE$17+I20*$AE$18+J20*$AE$19+K20*$AE$20+L20*$AE$21+M20*$AE$22+N20*$AE$23+O20*$AE$24+P20*$AE$25+Q20*$AE$26+R20*$AE$27+S20*$AE$28+T20*$AE$29+U20*$AE$30</f>
        <v/>
      </c>
      <c r="W20" s="8">
        <f>1/(1+EXP(-V20))</f>
        <v/>
      </c>
      <c r="X20" s="9">
        <f>-IF(C20=1,LN(W20),LN(1-W20))</f>
        <v/>
      </c>
      <c r="Y20" s="8">
        <f>'1 prepared data'!V13</f>
        <v/>
      </c>
      <c r="Z20" s="9">
        <f>Y20*X20</f>
        <v/>
      </c>
      <c r="AA20" s="10">
        <f>IF(W20&gt;$AE$33,1,0)</f>
        <v/>
      </c>
      <c r="AB20">
        <f>IF(AA20=C20,1,0)</f>
        <v/>
      </c>
      <c r="AD20" t="inlineStr">
        <is>
          <t>hist_critical</t>
        </is>
      </c>
      <c r="AE20" s="11" t="n">
        <v>-0.6573449373610837</v>
      </c>
      <c r="AF20" s="12" t="n">
        <v>-0.6639902250546967</v>
      </c>
      <c r="AI20" s="3" t="inlineStr">
        <is>
          <t>class 1 (defaults)</t>
        </is>
      </c>
      <c r="AJ20" s="14">
        <f>IF(AL15+AL14=0,0,AL15/(AL15+AL14))</f>
        <v/>
      </c>
      <c r="AK20" s="14">
        <f>IF(AL15+AK15=0,0,AL15/(AL15+AK15))</f>
        <v/>
      </c>
      <c r="AL20" s="14">
        <f>IF(AJ20+AK20=0,0,2*AJ20*AK20/(AJ20+AK20))</f>
        <v/>
      </c>
      <c r="AM20">
        <f>AM15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$AE$12+D21*$AE$13+E21*$AE$14+F21*$AE$15+G21*$AE$16+H21*$AE$17+I21*$AE$18+J21*$AE$19+K21*$AE$20+L21*$AE$21+M21*$AE$22+N21*$AE$23+O21*$AE$24+P21*$AE$25+Q21*$AE$26+R21*$AE$27+S21*$AE$28+T21*$AE$29+U21*$AE$30</f>
        <v/>
      </c>
      <c r="W21" s="8">
        <f>1/(1+EXP(-V21))</f>
        <v/>
      </c>
      <c r="X21" s="9">
        <f>-IF(C21=1,LN(W21),LN(1-W21))</f>
        <v/>
      </c>
      <c r="Y21" s="8">
        <f>'1 prepared data'!V14</f>
        <v/>
      </c>
      <c r="Z21" s="9">
        <f>Y21*X21</f>
        <v/>
      </c>
      <c r="AA21" s="10">
        <f>IF(W21&gt;$AE$33,1,0)</f>
        <v/>
      </c>
      <c r="AB21">
        <f>IF(AA21=C21,1,0)</f>
        <v/>
      </c>
      <c r="AD21" t="inlineStr">
        <is>
          <t>hist_delays</t>
        </is>
      </c>
      <c r="AE21" s="11" t="n">
        <v>-0.04019551911120235</v>
      </c>
      <c r="AF21" s="12" t="n">
        <v>0.4588232940585449</v>
      </c>
      <c r="AI21" s="3" t="inlineStr">
        <is>
          <t>accuracy</t>
        </is>
      </c>
      <c r="AL21" s="14">
        <f>(AL15+AK14)/AM16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$AE$12+D22*$AE$13+E22*$AE$14+F22*$AE$15+G22*$AE$16+H22*$AE$17+I22*$AE$18+J22*$AE$19+K22*$AE$20+L22*$AE$21+M22*$AE$22+N22*$AE$23+O22*$AE$24+P22*$AE$25+Q22*$AE$26+R22*$AE$27+S22*$AE$28+T22*$AE$29+U22*$AE$30</f>
        <v/>
      </c>
      <c r="W22" s="8">
        <f>1/(1+EXP(-V22))</f>
        <v/>
      </c>
      <c r="X22" s="9">
        <f>-IF(C22=1,LN(W22),LN(1-W22))</f>
        <v/>
      </c>
      <c r="Y22" s="8">
        <f>'1 prepared data'!V15</f>
        <v/>
      </c>
      <c r="Z22" s="9">
        <f>Y22*X22</f>
        <v/>
      </c>
      <c r="AA22" s="10">
        <f>IF(W22&gt;$AE$33,1,0)</f>
        <v/>
      </c>
      <c r="AB22">
        <f>IF(AA22=C22,1,0)</f>
        <v/>
      </c>
      <c r="AD22" t="inlineStr">
        <is>
          <t>hist_no_credits</t>
        </is>
      </c>
      <c r="AE22" s="11" t="n">
        <v>0.6690656278784681</v>
      </c>
      <c r="AF22" s="12" t="n">
        <v>0.4326142211717907</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$AE$12+D23*$AE$13+E23*$AE$14+F23*$AE$15+G23*$AE$16+H23*$AE$17+I23*$AE$18+J23*$AE$19+K23*$AE$20+L23*$AE$21+M23*$AE$22+N23*$AE$23+O23*$AE$24+P23*$AE$25+Q23*$AE$26+R23*$AE$27+S23*$AE$28+T23*$AE$29+U23*$AE$30</f>
        <v/>
      </c>
      <c r="W23" s="8">
        <f>1/(1+EXP(-V23))</f>
        <v/>
      </c>
      <c r="X23" s="9">
        <f>-IF(C23=1,LN(W23),LN(1-W23))</f>
        <v/>
      </c>
      <c r="Y23" s="8">
        <f>'1 prepared data'!V16</f>
        <v/>
      </c>
      <c r="Z23" s="9">
        <f>Y23*X23</f>
        <v/>
      </c>
      <c r="AA23" s="10">
        <f>IF(W23&gt;$AE$33,1,0)</f>
        <v/>
      </c>
      <c r="AB23">
        <f>IF(AA23=C23,1,0)</f>
        <v/>
      </c>
      <c r="AD23" t="inlineStr">
        <is>
          <t>sav_100_1000</t>
        </is>
      </c>
      <c r="AE23" s="11" t="n">
        <v>-0.3895834298458181</v>
      </c>
      <c r="AF23" s="12" t="n">
        <v>-0.3133509048456745</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$AE$12+D24*$AE$13+E24*$AE$14+F24*$AE$15+G24*$AE$16+H24*$AE$17+I24*$AE$18+J24*$AE$19+K24*$AE$20+L24*$AE$21+M24*$AE$22+N24*$AE$23+O24*$AE$24+P24*$AE$25+Q24*$AE$26+R24*$AE$27+S24*$AE$28+T24*$AE$29+U24*$AE$30</f>
        <v/>
      </c>
      <c r="W24" s="8">
        <f>1/(1+EXP(-V24))</f>
        <v/>
      </c>
      <c r="X24" s="9">
        <f>-IF(C24=1,LN(W24),LN(1-W24))</f>
        <v/>
      </c>
      <c r="Y24" s="8">
        <f>'1 prepared data'!V17</f>
        <v/>
      </c>
      <c r="Z24" s="9">
        <f>Y24*X24</f>
        <v/>
      </c>
      <c r="AA24" s="10">
        <f>IF(W24&gt;$AE$33,1,0)</f>
        <v/>
      </c>
      <c r="AB24">
        <f>IF(AA24=C24,1,0)</f>
        <v/>
      </c>
      <c r="AD24" t="inlineStr">
        <is>
          <t>sav_over_1000</t>
        </is>
      </c>
      <c r="AE24" s="11" t="n">
        <v>-0.8892238593761824</v>
      </c>
      <c r="AF24" s="12" t="n">
        <v>-1.068363869508016</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$AE$12+D25*$AE$13+E25*$AE$14+F25*$AE$15+G25*$AE$16+H25*$AE$17+I25*$AE$18+J25*$AE$19+K25*$AE$20+L25*$AE$21+M25*$AE$22+N25*$AE$23+O25*$AE$24+P25*$AE$25+Q25*$AE$26+R25*$AE$27+S25*$AE$28+T25*$AE$29+U25*$AE$30</f>
        <v/>
      </c>
      <c r="W25" s="8">
        <f>1/(1+EXP(-V25))</f>
        <v/>
      </c>
      <c r="X25" s="9">
        <f>-IF(C25=1,LN(W25),LN(1-W25))</f>
        <v/>
      </c>
      <c r="Y25" s="8">
        <f>'1 prepared data'!V18</f>
        <v/>
      </c>
      <c r="Z25" s="9">
        <f>Y25*X25</f>
        <v/>
      </c>
      <c r="AA25" s="10">
        <f>IF(W25&gt;$AE$33,1,0)</f>
        <v/>
      </c>
      <c r="AB25">
        <f>IF(AA25=C25,1,0)</f>
        <v/>
      </c>
      <c r="AD25" t="inlineStr">
        <is>
          <t>sav_unknown</t>
        </is>
      </c>
      <c r="AE25" s="11" t="n">
        <v>-1.076092926242446</v>
      </c>
      <c r="AF25" s="12" t="n">
        <v>-0.9849601470765355</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$AE$12+D26*$AE$13+E26*$AE$14+F26*$AE$15+G26*$AE$16+H26*$AE$17+I26*$AE$18+J26*$AE$19+K26*$AE$20+L26*$AE$21+M26*$AE$22+N26*$AE$23+O26*$AE$24+P26*$AE$25+Q26*$AE$26+R26*$AE$27+S26*$AE$28+T26*$AE$29+U26*$AE$30</f>
        <v/>
      </c>
      <c r="W26" s="8">
        <f>1/(1+EXP(-V26))</f>
        <v/>
      </c>
      <c r="X26" s="9">
        <f>-IF(C26=1,LN(W26),LN(1-W26))</f>
        <v/>
      </c>
      <c r="Y26" s="8">
        <f>'1 prepared data'!V19</f>
        <v/>
      </c>
      <c r="Z26" s="9">
        <f>Y26*X26</f>
        <v/>
      </c>
      <c r="AA26" s="10">
        <f>IF(W26&gt;$AE$33,1,0)</f>
        <v/>
      </c>
      <c r="AB26">
        <f>IF(AA26=C26,1,0)</f>
        <v/>
      </c>
      <c r="AD26" t="inlineStr">
        <is>
          <t>housing_rent</t>
        </is>
      </c>
      <c r="AE26" s="11" t="n">
        <v>0.6538371780658356</v>
      </c>
      <c r="AF26" s="12" t="n">
        <v>0.7279798719952931</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$AE$12+D27*$AE$13+E27*$AE$14+F27*$AE$15+G27*$AE$16+H27*$AE$17+I27*$AE$18+J27*$AE$19+K27*$AE$20+L27*$AE$21+M27*$AE$22+N27*$AE$23+O27*$AE$24+P27*$AE$25+Q27*$AE$26+R27*$AE$27+S27*$AE$28+T27*$AE$29+U27*$AE$30</f>
        <v/>
      </c>
      <c r="W27" s="8">
        <f>1/(1+EXP(-V27))</f>
        <v/>
      </c>
      <c r="X27" s="9">
        <f>-IF(C27=1,LN(W27),LN(1-W27))</f>
        <v/>
      </c>
      <c r="Y27" s="8">
        <f>'1 prepared data'!V20</f>
        <v/>
      </c>
      <c r="Z27" s="9">
        <f>Y27*X27</f>
        <v/>
      </c>
      <c r="AA27" s="10">
        <f>IF(W27&gt;$AE$33,1,0)</f>
        <v/>
      </c>
      <c r="AB27">
        <f>IF(AA27=C27,1,0)</f>
        <v/>
      </c>
      <c r="AD27" t="inlineStr">
        <is>
          <t>housing_free</t>
        </is>
      </c>
      <c r="AE27" s="11" t="n">
        <v>0.1953653579159878</v>
      </c>
      <c r="AF27" s="12" t="n">
        <v>0.4189934638176402</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$AE$12+D28*$AE$13+E28*$AE$14+F28*$AE$15+G28*$AE$16+H28*$AE$17+I28*$AE$18+J28*$AE$19+K28*$AE$20+L28*$AE$21+M28*$AE$22+N28*$AE$23+O28*$AE$24+P28*$AE$25+Q28*$AE$26+R28*$AE$27+S28*$AE$28+T28*$AE$29+U28*$AE$30</f>
        <v/>
      </c>
      <c r="W28" s="8">
        <f>1/(1+EXP(-V28))</f>
        <v/>
      </c>
      <c r="X28" s="9">
        <f>-IF(C28=1,LN(W28),LN(1-W28))</f>
        <v/>
      </c>
      <c r="Y28" s="8">
        <f>'1 prepared data'!V21</f>
        <v/>
      </c>
      <c r="Z28" s="9">
        <f>Y28*X28</f>
        <v/>
      </c>
      <c r="AA28" s="10">
        <f>IF(W28&gt;$AE$33,1,0)</f>
        <v/>
      </c>
      <c r="AB28">
        <f>IF(AA28=C28,1,0)</f>
        <v/>
      </c>
      <c r="AD28" t="inlineStr">
        <is>
          <t>purpose_car</t>
        </is>
      </c>
      <c r="AE28" s="11" t="n">
        <v>-0.08016547581790479</v>
      </c>
      <c r="AF28" s="12" t="n">
        <v>-0.2854666015371011</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$AE$12+D29*$AE$13+E29*$AE$14+F29*$AE$15+G29*$AE$16+H29*$AE$17+I29*$AE$18+J29*$AE$19+K29*$AE$20+L29*$AE$21+M29*$AE$22+N29*$AE$23+O29*$AE$24+P29*$AE$25+Q29*$AE$26+R29*$AE$27+S29*$AE$28+T29*$AE$29+U29*$AE$30</f>
        <v/>
      </c>
      <c r="W29" s="8">
        <f>1/(1+EXP(-V29))</f>
        <v/>
      </c>
      <c r="X29" s="9">
        <f>-IF(C29=1,LN(W29),LN(1-W29))</f>
        <v/>
      </c>
      <c r="Y29" s="8">
        <f>'1 prepared data'!V22</f>
        <v/>
      </c>
      <c r="Z29" s="9">
        <f>Y29*X29</f>
        <v/>
      </c>
      <c r="AA29" s="10">
        <f>IF(W29&gt;$AE$33,1,0)</f>
        <v/>
      </c>
      <c r="AB29">
        <f>IF(AA29=C29,1,0)</f>
        <v/>
      </c>
      <c r="AD29" t="inlineStr">
        <is>
          <t>purpose_radio_tv</t>
        </is>
      </c>
      <c r="AE29" s="11" t="n">
        <v>-0.5202106472417524</v>
      </c>
      <c r="AF29" s="12" t="n">
        <v>-0.5203338804909247</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$AE$12+D30*$AE$13+E30*$AE$14+F30*$AE$15+G30*$AE$16+H30*$AE$17+I30*$AE$18+J30*$AE$19+K30*$AE$20+L30*$AE$21+M30*$AE$22+N30*$AE$23+O30*$AE$24+P30*$AE$25+Q30*$AE$26+R30*$AE$27+S30*$AE$28+T30*$AE$29+U30*$AE$30</f>
        <v/>
      </c>
      <c r="W30" s="8">
        <f>1/(1+EXP(-V30))</f>
        <v/>
      </c>
      <c r="X30" s="9">
        <f>-IF(C30=1,LN(W30),LN(1-W30))</f>
        <v/>
      </c>
      <c r="Y30" s="8">
        <f>'1 prepared data'!V23</f>
        <v/>
      </c>
      <c r="Z30" s="9">
        <f>Y30*X30</f>
        <v/>
      </c>
      <c r="AA30" s="10">
        <f>IF(W30&gt;$AE$33,1,0)</f>
        <v/>
      </c>
      <c r="AB30">
        <f>IF(AA30=C30,1,0)</f>
        <v/>
      </c>
      <c r="AD30" t="inlineStr">
        <is>
          <t>purpose_furniture</t>
        </is>
      </c>
      <c r="AE30" s="11" t="n">
        <v>-0.2818027438096851</v>
      </c>
      <c r="AF30" s="12" t="n">
        <v>-0.2049613749789518</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$AE$12+D31*$AE$13+E31*$AE$14+F31*$AE$15+G31*$AE$16+H31*$AE$17+I31*$AE$18+J31*$AE$19+K31*$AE$20+L31*$AE$21+M31*$AE$22+N31*$AE$23+O31*$AE$24+P31*$AE$25+Q31*$AE$26+R31*$AE$27+S31*$AE$28+T31*$AE$29+U31*$AE$30</f>
        <v/>
      </c>
      <c r="W31" s="8">
        <f>1/(1+EXP(-V31))</f>
        <v/>
      </c>
      <c r="X31" s="9">
        <f>-IF(C31=1,LN(W31),LN(1-W31))</f>
        <v/>
      </c>
      <c r="Y31" s="8">
        <f>'1 prepared data'!V24</f>
        <v/>
      </c>
      <c r="Z31" s="9">
        <f>Y31*X31</f>
        <v/>
      </c>
      <c r="AA31" s="10">
        <f>IF(W31&gt;$AE$33,1,0)</f>
        <v/>
      </c>
      <c r="AB31">
        <f>IF(AA31=C31,1,0)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$AE$12+D32*$AE$13+E32*$AE$14+F32*$AE$15+G32*$AE$16+H32*$AE$17+I32*$AE$18+J32*$AE$19+K32*$AE$20+L32*$AE$21+M32*$AE$22+N32*$AE$23+O32*$AE$24+P32*$AE$25+Q32*$AE$26+R32*$AE$27+S32*$AE$28+T32*$AE$29+U32*$AE$30</f>
        <v/>
      </c>
      <c r="W32" s="8">
        <f>1/(1+EXP(-V32))</f>
        <v/>
      </c>
      <c r="X32" s="9">
        <f>-IF(C32=1,LN(W32),LN(1-W32))</f>
        <v/>
      </c>
      <c r="Y32" s="8">
        <f>'1 prepared data'!V25</f>
        <v/>
      </c>
      <c r="Z32" s="9">
        <f>Y32*X32</f>
        <v/>
      </c>
      <c r="AA32" s="10">
        <f>IF(W32&gt;$AE$33,1,0)</f>
        <v/>
      </c>
      <c r="AB32">
        <f>IF(AA32=C32,1,0)</f>
        <v/>
      </c>
      <c r="AD32" s="3" t="inlineStr">
        <is>
          <t>training rows used (use = 1)</t>
        </is>
      </c>
      <c r="AE32" s="10">
        <f>COUNTIFS('1 prepared data'!$U$5:$U$1004,"training",'1 prepared data'!$V$5:$V$1004,1)</f>
        <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$AE$12+D33*$AE$13+E33*$AE$14+F33*$AE$15+G33*$AE$16+H33*$AE$17+I33*$AE$18+J33*$AE$19+K33*$AE$20+L33*$AE$21+M33*$AE$22+N33*$AE$23+O33*$AE$24+P33*$AE$25+Q33*$AE$26+R33*$AE$27+S33*$AE$28+T33*$AE$29+U33*$AE$30</f>
        <v/>
      </c>
      <c r="W33" s="8">
        <f>1/(1+EXP(-V33))</f>
        <v/>
      </c>
      <c r="X33" s="9">
        <f>-IF(C33=1,LN(W33),LN(1-W33))</f>
        <v/>
      </c>
      <c r="Y33" s="8">
        <f>'1 prepared data'!V26</f>
        <v/>
      </c>
      <c r="Z33" s="9">
        <f>Y33*X33</f>
        <v/>
      </c>
      <c r="AA33" s="10">
        <f>IF(W33&gt;$AE$33,1,0)</f>
        <v/>
      </c>
      <c r="AB33">
        <f>IF(AA33=C33,1,0)</f>
        <v/>
      </c>
      <c r="AD33" s="3" t="inlineStr">
        <is>
          <t>threshold</t>
        </is>
      </c>
      <c r="AE33" s="15" t="n">
        <v>0.5</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$AE$12+D34*$AE$13+E34*$AE$14+F34*$AE$15+G34*$AE$16+H34*$AE$17+I34*$AE$18+J34*$AE$19+K34*$AE$20+L34*$AE$21+M34*$AE$22+N34*$AE$23+O34*$AE$24+P34*$AE$25+Q34*$AE$26+R34*$AE$27+S34*$AE$28+T34*$AE$29+U34*$AE$30</f>
        <v/>
      </c>
      <c r="W34" s="8">
        <f>1/(1+EXP(-V34))</f>
        <v/>
      </c>
      <c r="X34" s="9">
        <f>-IF(C34=1,LN(W34),LN(1-W34))</f>
        <v/>
      </c>
      <c r="Y34" s="8">
        <f>'1 prepared data'!V27</f>
        <v/>
      </c>
      <c r="Z34" s="9">
        <f>Y34*X34</f>
        <v/>
      </c>
      <c r="AA34" s="10">
        <f>IF(W34&gt;$AE$33,1,0)</f>
        <v/>
      </c>
      <c r="AB34">
        <f>IF(AA34=C34,1,0)</f>
        <v/>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$AE$12+D35*$AE$13+E35*$AE$14+F35*$AE$15+G35*$AE$16+H35*$AE$17+I35*$AE$18+J35*$AE$19+K35*$AE$20+L35*$AE$21+M35*$AE$22+N35*$AE$23+O35*$AE$24+P35*$AE$25+Q35*$AE$26+R35*$AE$27+S35*$AE$28+T35*$AE$29+U35*$AE$30</f>
        <v/>
      </c>
      <c r="W35" s="8">
        <f>1/(1+EXP(-V35))</f>
        <v/>
      </c>
      <c r="X35" s="9">
        <f>-IF(C35=1,LN(W35),LN(1-W35))</f>
        <v/>
      </c>
      <c r="Y35" s="8">
        <f>'1 prepared data'!V28</f>
        <v/>
      </c>
      <c r="Z35" s="9">
        <f>Y35*X35</f>
        <v/>
      </c>
      <c r="AA35" s="10">
        <f>IF(W35&gt;$AE$33,1,0)</f>
        <v/>
      </c>
      <c r="AB35">
        <f>IF(AA35=C35,1,0)</f>
        <v/>
      </c>
      <c r="AD35" s="3" t="inlineStr">
        <is>
          <t>RESULTS</t>
        </is>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$AE$12+D36*$AE$13+E36*$AE$14+F36*$AE$15+G36*$AE$16+H36*$AE$17+I36*$AE$18+J36*$AE$19+K36*$AE$20+L36*$AE$21+M36*$AE$22+N36*$AE$23+O36*$AE$24+P36*$AE$25+Q36*$AE$26+R36*$AE$27+S36*$AE$28+T36*$AE$29+U36*$AE$30</f>
        <v/>
      </c>
      <c r="W36" s="8">
        <f>1/(1+EXP(-V36))</f>
        <v/>
      </c>
      <c r="X36" s="9">
        <f>-IF(C36=1,LN(W36),LN(1-W36))</f>
        <v/>
      </c>
      <c r="Y36" s="8">
        <f>'1 prepared data'!V29</f>
        <v/>
      </c>
      <c r="Z36" s="9">
        <f>Y36*X36</f>
        <v/>
      </c>
      <c r="AA36" s="10">
        <f>IF(W36&gt;$AE$33,1,0)</f>
        <v/>
      </c>
      <c r="AB36">
        <f>IF(AA36=C36,1,0)</f>
        <v/>
      </c>
      <c r="AD36" t="inlineStr">
        <is>
          <t>J = sum of weighted training losses (SOLVER OBJECTIVE)</t>
        </is>
      </c>
      <c r="AE36" s="16">
        <f>SUMPRODUCT(($B$12:$B$1011="training")*$Z$12:$Z$1011)</f>
        <v/>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$AE$12+D37*$AE$13+E37*$AE$14+F37*$AE$15+G37*$AE$16+H37*$AE$17+I37*$AE$18+J37*$AE$19+K37*$AE$20+L37*$AE$21+M37*$AE$22+N37*$AE$23+O37*$AE$24+P37*$AE$25+Q37*$AE$26+R37*$AE$27+S37*$AE$28+T37*$AE$29+U37*$AE$30</f>
        <v/>
      </c>
      <c r="W37" s="8">
        <f>1/(1+EXP(-V37))</f>
        <v/>
      </c>
      <c r="X37" s="9">
        <f>-IF(C37=1,LN(W37),LN(1-W37))</f>
        <v/>
      </c>
      <c r="Y37" s="8">
        <f>'1 prepared data'!V30</f>
        <v/>
      </c>
      <c r="Z37" s="9">
        <f>Y37*X37</f>
        <v/>
      </c>
      <c r="AA37" s="10">
        <f>IF(W37&gt;$AE$33,1,0)</f>
        <v/>
      </c>
      <c r="AB37">
        <f>IF(AA37=C37,1,0)</f>
        <v/>
      </c>
      <c r="AD37" t="inlineStr">
        <is>
          <t>sum of row weights in training</t>
        </is>
      </c>
      <c r="AE37" s="17">
        <f>SUMPRODUCT(($B$12:$B$1011="training")*$Y$12:$Y$1011)</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$AE$12+D38*$AE$13+E38*$AE$14+F38*$AE$15+G38*$AE$16+H38*$AE$17+I38*$AE$18+J38*$AE$19+K38*$AE$20+L38*$AE$21+M38*$AE$22+N38*$AE$23+O38*$AE$24+P38*$AE$25+Q38*$AE$26+R38*$AE$27+S38*$AE$28+T38*$AE$29+U38*$AE$30</f>
        <v/>
      </c>
      <c r="W38" s="8">
        <f>1/(1+EXP(-V38))</f>
        <v/>
      </c>
      <c r="X38" s="9">
        <f>-IF(C38=1,LN(W38),LN(1-W38))</f>
        <v/>
      </c>
      <c r="Y38" s="8">
        <f>'1 prepared data'!V31</f>
        <v/>
      </c>
      <c r="Z38" s="9">
        <f>Y38*X38</f>
        <v/>
      </c>
      <c r="AA38" s="10">
        <f>IF(W38&gt;$AE$33,1,0)</f>
        <v/>
      </c>
      <c r="AB38">
        <f>IF(AA38=C38,1,0)</f>
        <v/>
      </c>
      <c r="AD38" t="inlineStr">
        <is>
          <t>of which, class 1</t>
        </is>
      </c>
      <c r="AE38" s="17">
        <f>SUMPRODUCT(($B$12:$B$1011="training")*($C$12:$C$1011=1)*$Y$12:$Y$1011)</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$AE$12+D39*$AE$13+E39*$AE$14+F39*$AE$15+G39*$AE$16+H39*$AE$17+I39*$AE$18+J39*$AE$19+K39*$AE$20+L39*$AE$21+M39*$AE$22+N39*$AE$23+O39*$AE$24+P39*$AE$25+Q39*$AE$26+R39*$AE$27+S39*$AE$28+T39*$AE$29+U39*$AE$30</f>
        <v/>
      </c>
      <c r="W39" s="8">
        <f>1/(1+EXP(-V39))</f>
        <v/>
      </c>
      <c r="X39" s="9">
        <f>-IF(C39=1,LN(W39),LN(1-W39))</f>
        <v/>
      </c>
      <c r="Y39" s="8">
        <f>'1 prepared data'!V32</f>
        <v/>
      </c>
      <c r="Z39" s="9">
        <f>Y39*X39</f>
        <v/>
      </c>
      <c r="AA39" s="10">
        <f>IF(W39&gt;$AE$33,1,0)</f>
        <v/>
      </c>
      <c r="AB39">
        <f>IF(AA39=C39,1,0)</f>
        <v/>
      </c>
      <c r="AD39" t="inlineStr">
        <is>
          <t>of which, class 0</t>
        </is>
      </c>
      <c r="AE39" s="17">
        <f>SUMPRODUCT(($B$12:$B$1011="training")*($C$12:$C$1011=0)*$Y$12:$Y$1011)</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$AE$12+D40*$AE$13+E40*$AE$14+F40*$AE$15+G40*$AE$16+H40*$AE$17+I40*$AE$18+J40*$AE$19+K40*$AE$20+L40*$AE$21+M40*$AE$22+N40*$AE$23+O40*$AE$24+P40*$AE$25+Q40*$AE$26+R40*$AE$27+S40*$AE$28+T40*$AE$29+U40*$AE$30</f>
        <v/>
      </c>
      <c r="W40" s="8">
        <f>1/(1+EXP(-V40))</f>
        <v/>
      </c>
      <c r="X40" s="9">
        <f>-IF(C40=1,LN(W40),LN(1-W40))</f>
        <v/>
      </c>
      <c r="Y40" s="8">
        <f>'1 prepared data'!V33</f>
        <v/>
      </c>
      <c r="Z40" s="9">
        <f>Y40*X40</f>
        <v/>
      </c>
      <c r="AA40" s="10">
        <f>IF(W40&gt;$AE$33,1,0)</f>
        <v/>
      </c>
      <c r="AB40">
        <f>IF(AA40=C40,1,0)</f>
        <v/>
      </c>
      <c r="AD40" t="inlineStr">
        <is>
          <t>average testing loss (unweighted)</t>
        </is>
      </c>
      <c r="AE40" s="18">
        <f>SUMPRODUCT(($B$12:$B$1011="testing")*$X$12:$X$1011)/COUNTIF($B$12:$B$1011,"testing")</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$AE$12+D41*$AE$13+E41*$AE$14+F41*$AE$15+G41*$AE$16+H41*$AE$17+I41*$AE$18+J41*$AE$19+K41*$AE$20+L41*$AE$21+M41*$AE$22+N41*$AE$23+O41*$AE$24+P41*$AE$25+Q41*$AE$26+R41*$AE$27+S41*$AE$28+T41*$AE$29+U41*$AE$30</f>
        <v/>
      </c>
      <c r="W41" s="8">
        <f>1/(1+EXP(-V41))</f>
        <v/>
      </c>
      <c r="X41" s="9">
        <f>-IF(C41=1,LN(W41),LN(1-W41))</f>
        <v/>
      </c>
      <c r="Y41" s="8">
        <f>'1 prepared data'!V34</f>
        <v/>
      </c>
      <c r="Z41" s="9">
        <f>Y41*X41</f>
        <v/>
      </c>
      <c r="AA41" s="10">
        <f>IF(W41&gt;$AE$33,1,0)</f>
        <v/>
      </c>
      <c r="AB41">
        <f>IF(AA41=C41,1,0)</f>
        <v/>
      </c>
      <c r="AD41" t="inlineStr">
        <is>
          <t>average p on testing (the actual rate is 0.300)</t>
        </is>
      </c>
      <c r="AE41" s="14">
        <f>SUMPRODUCT(($B$12:$B$1011="testing")*$W$12:$W$1011)/COUNTIF($B$12:$B$1011,"testing")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$AE$12+D42*$AE$13+E42*$AE$14+F42*$AE$15+G42*$AE$16+H42*$AE$17+I42*$AE$18+J42*$AE$19+K42*$AE$20+L42*$AE$21+M42*$AE$22+N42*$AE$23+O42*$AE$24+P42*$AE$25+Q42*$AE$26+R42*$AE$27+S42*$AE$28+T42*$AE$29+U42*$AE$30</f>
        <v/>
      </c>
      <c r="W42" s="8">
        <f>1/(1+EXP(-V42))</f>
        <v/>
      </c>
      <c r="X42" s="9">
        <f>-IF(C42=1,LN(W42),LN(1-W42))</f>
        <v/>
      </c>
      <c r="Y42" s="8">
        <f>'1 prepared data'!V35</f>
        <v/>
      </c>
      <c r="Z42" s="9">
        <f>Y42*X42</f>
        <v/>
      </c>
      <c r="AA42" s="10">
        <f>IF(W42&gt;$AE$33,1,0)</f>
        <v/>
      </c>
      <c r="AB42">
        <f>IF(AA42=C42,1,0)</f>
        <v/>
      </c>
      <c r="AD42" t="inlineStr">
        <is>
          <t>testing accuracy</t>
        </is>
      </c>
      <c r="AE42" s="19">
        <f>SUMPRODUCT(($B$12:$B$1011="testing")*$AB$12:$AB$1011)/COUNTIF($B$12:$B$1011,"testing")</f>
        <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$AE$12+D43*$AE$13+E43*$AE$14+F43*$AE$15+G43*$AE$16+H43*$AE$17+I43*$AE$18+J43*$AE$19+K43*$AE$20+L43*$AE$21+M43*$AE$22+N43*$AE$23+O43*$AE$24+P43*$AE$25+Q43*$AE$26+R43*$AE$27+S43*$AE$28+T43*$AE$29+U43*$AE$30</f>
        <v/>
      </c>
      <c r="W43" s="8">
        <f>1/(1+EXP(-V43))</f>
        <v/>
      </c>
      <c r="X43" s="9">
        <f>-IF(C43=1,LN(W43),LN(1-W43))</f>
        <v/>
      </c>
      <c r="Y43" s="8">
        <f>'1 prepared data'!V36</f>
        <v/>
      </c>
      <c r="Z43" s="9">
        <f>Y43*X43</f>
        <v/>
      </c>
      <c r="AA43" s="10">
        <f>IF(W43&gt;$AE$33,1,0)</f>
        <v/>
      </c>
      <c r="AB43">
        <f>IF(AA43=C43,1,0)</f>
        <v/>
      </c>
      <c r="AD43" t="inlineStr">
        <is>
          <t>scikit-learn reference: class 1 recall on testing (threshold 0.5)</t>
        </is>
      </c>
      <c r="AE43" s="6" t="n">
        <v>0.8666666666666667</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$AE$12+D44*$AE$13+E44*$AE$14+F44*$AE$15+G44*$AE$16+H44*$AE$17+I44*$AE$18+J44*$AE$19+K44*$AE$20+L44*$AE$21+M44*$AE$22+N44*$AE$23+O44*$AE$24+P44*$AE$25+Q44*$AE$26+R44*$AE$27+S44*$AE$28+T44*$AE$29+U44*$AE$30</f>
        <v/>
      </c>
      <c r="W44" s="8">
        <f>1/(1+EXP(-V44))</f>
        <v/>
      </c>
      <c r="X44" s="9">
        <f>-IF(C44=1,LN(W44),LN(1-W44))</f>
        <v/>
      </c>
      <c r="Y44" s="8">
        <f>'1 prepared data'!V37</f>
        <v/>
      </c>
      <c r="Z44" s="9">
        <f>Y44*X44</f>
        <v/>
      </c>
      <c r="AA44" s="10">
        <f>IF(W44&gt;$AE$33,1,0)</f>
        <v/>
      </c>
      <c r="AB44">
        <f>IF(AA44=C44,1,0)</f>
        <v/>
      </c>
      <c r="AD44" t="inlineStr">
        <is>
          <t>scikit-learn reference: class 1 precision on testing</t>
        </is>
      </c>
      <c r="AE44" s="6" t="n">
        <v>0.5</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$AE$12+D45*$AE$13+E45*$AE$14+F45*$AE$15+G45*$AE$16+H45*$AE$17+I45*$AE$18+J45*$AE$19+K45*$AE$20+L45*$AE$21+M45*$AE$22+N45*$AE$23+O45*$AE$24+P45*$AE$25+Q45*$AE$26+R45*$AE$27+S45*$AE$28+T45*$AE$29+U45*$AE$30</f>
        <v/>
      </c>
      <c r="W45" s="8">
        <f>1/(1+EXP(-V45))</f>
        <v/>
      </c>
      <c r="X45" s="9">
        <f>-IF(C45=1,LN(W45),LN(1-W45))</f>
        <v/>
      </c>
      <c r="Y45" s="8">
        <f>'1 prepared data'!V38</f>
        <v/>
      </c>
      <c r="Z45" s="9">
        <f>Y45*X45</f>
        <v/>
      </c>
      <c r="AA45" s="10">
        <f>IF(W45&gt;$AE$33,1,0)</f>
        <v/>
      </c>
      <c r="AB45">
        <f>IF(AA45=C45,1,0)</f>
        <v/>
      </c>
      <c r="AD45" t="inlineStr">
        <is>
          <t>scikit-learn reference: testing AUC</t>
        </is>
      </c>
      <c r="AE45" s="6" t="n">
        <v>0.8133862433862435</v>
      </c>
    </row>
    <row r="46">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$AE$12+D46*$AE$13+E46*$AE$14+F46*$AE$15+G46*$AE$16+H46*$AE$17+I46*$AE$18+J46*$AE$19+K46*$AE$20+L46*$AE$21+M46*$AE$22+N46*$AE$23+O46*$AE$24+P46*$AE$25+Q46*$AE$26+R46*$AE$27+S46*$AE$28+T46*$AE$29+U46*$AE$30</f>
        <v/>
      </c>
      <c r="W46" s="8">
        <f>1/(1+EXP(-V46))</f>
        <v/>
      </c>
      <c r="X46" s="9">
        <f>-IF(C46=1,LN(W46),LN(1-W46))</f>
        <v/>
      </c>
      <c r="Y46" s="8">
        <f>'1 prepared data'!V39</f>
        <v/>
      </c>
      <c r="Z46" s="9">
        <f>Y46*X46</f>
        <v/>
      </c>
      <c r="AA46" s="10">
        <f>IF(W46&gt;$AE$33,1,0)</f>
        <v/>
      </c>
      <c r="AB46">
        <f>IF(AA46=C46,1,0)</f>
        <v/>
      </c>
    </row>
    <row r="47" ht="62" customHeight="1">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$AE$12+D47*$AE$13+E47*$AE$14+F47*$AE$15+G47*$AE$16+H47*$AE$17+I47*$AE$18+J47*$AE$19+K47*$AE$20+L47*$AE$21+M47*$AE$22+N47*$AE$23+O47*$AE$24+P47*$AE$25+Q47*$AE$26+R47*$AE$27+S47*$AE$28+T47*$AE$29+U47*$AE$30</f>
        <v/>
      </c>
      <c r="W47" s="8">
        <f>1/(1+EXP(-V47))</f>
        <v/>
      </c>
      <c r="X47" s="9">
        <f>-IF(C47=1,LN(W47),LN(1-W47))</f>
        <v/>
      </c>
      <c r="Y47" s="8">
        <f>'1 prepared data'!V40</f>
        <v/>
      </c>
      <c r="Z47" s="9">
        <f>Y47*X47</f>
        <v/>
      </c>
      <c r="AA47" s="10">
        <f>IF(W47&gt;$AE$33,1,0)</f>
        <v/>
      </c>
      <c r="AB47">
        <f>IF(AA47=C47,1,0)</f>
        <v/>
      </c>
      <c r="AD47" s="2" t="inlineStr">
        <is>
          <t>Solver: minimize J by changing the light blue model weight cells (not the class weight cells), GRG Nonlinear, central derivatives, convergence 0.000001, no constraints and with 'Make Unconstrained Variables Non-Negative' UNTICKED. Run twice if it stops early.</t>
        </is>
      </c>
    </row>
    <row r="48">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$AE$12+D48*$AE$13+E48*$AE$14+F48*$AE$15+G48*$AE$16+H48*$AE$17+I48*$AE$18+J48*$AE$19+K48*$AE$20+L48*$AE$21+M48*$AE$22+N48*$AE$23+O48*$AE$24+P48*$AE$25+Q48*$AE$26+R48*$AE$27+S48*$AE$28+T48*$AE$29+U48*$AE$30</f>
        <v/>
      </c>
      <c r="W48" s="8">
        <f>1/(1+EXP(-V48))</f>
        <v/>
      </c>
      <c r="X48" s="9">
        <f>-IF(C48=1,LN(W48),LN(1-W48))</f>
        <v/>
      </c>
      <c r="Y48" s="8">
        <f>'1 prepared data'!V41</f>
        <v/>
      </c>
      <c r="Z48" s="9">
        <f>Y48*X48</f>
        <v/>
      </c>
      <c r="AA48" s="10">
        <f>IF(W48&gt;$AE$33,1,0)</f>
        <v/>
      </c>
      <c r="AB48">
        <f>IF(AA48=C48,1,0)</f>
        <v/>
      </c>
    </row>
    <row r="49">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$AE$12+D49*$AE$13+E49*$AE$14+F49*$AE$15+G49*$AE$16+H49*$AE$17+I49*$AE$18+J49*$AE$19+K49*$AE$20+L49*$AE$21+M49*$AE$22+N49*$AE$23+O49*$AE$24+P49*$AE$25+Q49*$AE$26+R49*$AE$27+S49*$AE$28+T49*$AE$29+U49*$AE$30</f>
        <v/>
      </c>
      <c r="W49" s="8">
        <f>1/(1+EXP(-V49))</f>
        <v/>
      </c>
      <c r="X49" s="9">
        <f>-IF(C49=1,LN(W49),LN(1-W49))</f>
        <v/>
      </c>
      <c r="Y49" s="8">
        <f>'1 prepared data'!V42</f>
        <v/>
      </c>
      <c r="Z49" s="9">
        <f>Y49*X49</f>
        <v/>
      </c>
      <c r="AA49" s="10">
        <f>IF(W49&gt;$AE$33,1,0)</f>
        <v/>
      </c>
      <c r="AB49">
        <f>IF(AA49=C49,1,0)</f>
        <v/>
      </c>
    </row>
    <row r="50">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$AE$12+D50*$AE$13+E50*$AE$14+F50*$AE$15+G50*$AE$16+H50*$AE$17+I50*$AE$18+J50*$AE$19+K50*$AE$20+L50*$AE$21+M50*$AE$22+N50*$AE$23+O50*$AE$24+P50*$AE$25+Q50*$AE$26+R50*$AE$27+S50*$AE$28+T50*$AE$29+U50*$AE$30</f>
        <v/>
      </c>
      <c r="W50" s="8">
        <f>1/(1+EXP(-V50))</f>
        <v/>
      </c>
      <c r="X50" s="9">
        <f>-IF(C50=1,LN(W50),LN(1-W50))</f>
        <v/>
      </c>
      <c r="Y50" s="8">
        <f>'1 prepared data'!V43</f>
        <v/>
      </c>
      <c r="Z50" s="9">
        <f>Y50*X50</f>
        <v/>
      </c>
      <c r="AA50" s="10">
        <f>IF(W50&gt;$AE$33,1,0)</f>
        <v/>
      </c>
      <c r="AB50">
        <f>IF(AA50=C50,1,0)</f>
        <v/>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$AE$12+D51*$AE$13+E51*$AE$14+F51*$AE$15+G51*$AE$16+H51*$AE$17+I51*$AE$18+J51*$AE$19+K51*$AE$20+L51*$AE$21+M51*$AE$22+N51*$AE$23+O51*$AE$24+P51*$AE$25+Q51*$AE$26+R51*$AE$27+S51*$AE$28+T51*$AE$29+U51*$AE$30</f>
        <v/>
      </c>
      <c r="W51" s="8">
        <f>1/(1+EXP(-V51))</f>
        <v/>
      </c>
      <c r="X51" s="9">
        <f>-IF(C51=1,LN(W51),LN(1-W51))</f>
        <v/>
      </c>
      <c r="Y51" s="8">
        <f>'1 prepared data'!V44</f>
        <v/>
      </c>
      <c r="Z51" s="9">
        <f>Y51*X51</f>
        <v/>
      </c>
      <c r="AA51" s="10">
        <f>IF(W51&gt;$AE$33,1,0)</f>
        <v/>
      </c>
      <c r="AB51">
        <f>IF(AA51=C51,1,0)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$AE$12+D52*$AE$13+E52*$AE$14+F52*$AE$15+G52*$AE$16+H52*$AE$17+I52*$AE$18+J52*$AE$19+K52*$AE$20+L52*$AE$21+M52*$AE$22+N52*$AE$23+O52*$AE$24+P52*$AE$25+Q52*$AE$26+R52*$AE$27+S52*$AE$28+T52*$AE$29+U52*$AE$30</f>
        <v/>
      </c>
      <c r="W52" s="8">
        <f>1/(1+EXP(-V52))</f>
        <v/>
      </c>
      <c r="X52" s="9">
        <f>-IF(C52=1,LN(W52),LN(1-W52))</f>
        <v/>
      </c>
      <c r="Y52" s="8">
        <f>'1 prepared data'!V45</f>
        <v/>
      </c>
      <c r="Z52" s="9">
        <f>Y52*X52</f>
        <v/>
      </c>
      <c r="AA52" s="10">
        <f>IF(W52&gt;$AE$33,1,0)</f>
        <v/>
      </c>
      <c r="AB52">
        <f>IF(AA52=C52,1,0)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$AE$12+D53*$AE$13+E53*$AE$14+F53*$AE$15+G53*$AE$16+H53*$AE$17+I53*$AE$18+J53*$AE$19+K53*$AE$20+L53*$AE$21+M53*$AE$22+N53*$AE$23+O53*$AE$24+P53*$AE$25+Q53*$AE$26+R53*$AE$27+S53*$AE$28+T53*$AE$29+U53*$AE$30</f>
        <v/>
      </c>
      <c r="W53" s="8">
        <f>1/(1+EXP(-V53))</f>
        <v/>
      </c>
      <c r="X53" s="9">
        <f>-IF(C53=1,LN(W53),LN(1-W53))</f>
        <v/>
      </c>
      <c r="Y53" s="8">
        <f>'1 prepared data'!V46</f>
        <v/>
      </c>
      <c r="Z53" s="9">
        <f>Y53*X53</f>
        <v/>
      </c>
      <c r="AA53" s="10">
        <f>IF(W53&gt;$AE$33,1,0)</f>
        <v/>
      </c>
      <c r="AB53">
        <f>IF(AA53=C53,1,0)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$AE$12+D54*$AE$13+E54*$AE$14+F54*$AE$15+G54*$AE$16+H54*$AE$17+I54*$AE$18+J54*$AE$19+K54*$AE$20+L54*$AE$21+M54*$AE$22+N54*$AE$23+O54*$AE$24+P54*$AE$25+Q54*$AE$26+R54*$AE$27+S54*$AE$28+T54*$AE$29+U54*$AE$30</f>
        <v/>
      </c>
      <c r="W54" s="8">
        <f>1/(1+EXP(-V54))</f>
        <v/>
      </c>
      <c r="X54" s="9">
        <f>-IF(C54=1,LN(W54),LN(1-W54))</f>
        <v/>
      </c>
      <c r="Y54" s="8">
        <f>'1 prepared data'!V47</f>
        <v/>
      </c>
      <c r="Z54" s="9">
        <f>Y54*X54</f>
        <v/>
      </c>
      <c r="AA54" s="10">
        <f>IF(W54&gt;$AE$33,1,0)</f>
        <v/>
      </c>
      <c r="AB54">
        <f>IF(AA54=C54,1,0)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$AE$12+D55*$AE$13+E55*$AE$14+F55*$AE$15+G55*$AE$16+H55*$AE$17+I55*$AE$18+J55*$AE$19+K55*$AE$20+L55*$AE$21+M55*$AE$22+N55*$AE$23+O55*$AE$24+P55*$AE$25+Q55*$AE$26+R55*$AE$27+S55*$AE$28+T55*$AE$29+U55*$AE$30</f>
        <v/>
      </c>
      <c r="W55" s="8">
        <f>1/(1+EXP(-V55))</f>
        <v/>
      </c>
      <c r="X55" s="9">
        <f>-IF(C55=1,LN(W55),LN(1-W55))</f>
        <v/>
      </c>
      <c r="Y55" s="8">
        <f>'1 prepared data'!V48</f>
        <v/>
      </c>
      <c r="Z55" s="9">
        <f>Y55*X55</f>
        <v/>
      </c>
      <c r="AA55" s="10">
        <f>IF(W55&gt;$AE$33,1,0)</f>
        <v/>
      </c>
      <c r="AB55">
        <f>IF(AA55=C55,1,0)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$AE$12+D56*$AE$13+E56*$AE$14+F56*$AE$15+G56*$AE$16+H56*$AE$17+I56*$AE$18+J56*$AE$19+K56*$AE$20+L56*$AE$21+M56*$AE$22+N56*$AE$23+O56*$AE$24+P56*$AE$25+Q56*$AE$26+R56*$AE$27+S56*$AE$28+T56*$AE$29+U56*$AE$30</f>
        <v/>
      </c>
      <c r="W56" s="8">
        <f>1/(1+EXP(-V56))</f>
        <v/>
      </c>
      <c r="X56" s="9">
        <f>-IF(C56=1,LN(W56),LN(1-W56))</f>
        <v/>
      </c>
      <c r="Y56" s="8">
        <f>'1 prepared data'!V49</f>
        <v/>
      </c>
      <c r="Z56" s="9">
        <f>Y56*X56</f>
        <v/>
      </c>
      <c r="AA56" s="10">
        <f>IF(W56&gt;$AE$33,1,0)</f>
        <v/>
      </c>
      <c r="AB56">
        <f>IF(AA56=C56,1,0)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$AE$12+D57*$AE$13+E57*$AE$14+F57*$AE$15+G57*$AE$16+H57*$AE$17+I57*$AE$18+J57*$AE$19+K57*$AE$20+L57*$AE$21+M57*$AE$22+N57*$AE$23+O57*$AE$24+P57*$AE$25+Q57*$AE$26+R57*$AE$27+S57*$AE$28+T57*$AE$29+U57*$AE$30</f>
        <v/>
      </c>
      <c r="W57" s="8">
        <f>1/(1+EXP(-V57))</f>
        <v/>
      </c>
      <c r="X57" s="9">
        <f>-IF(C57=1,LN(W57),LN(1-W57))</f>
        <v/>
      </c>
      <c r="Y57" s="8">
        <f>'1 prepared data'!V50</f>
        <v/>
      </c>
      <c r="Z57" s="9">
        <f>Y57*X57</f>
        <v/>
      </c>
      <c r="AA57" s="10">
        <f>IF(W57&gt;$AE$33,1,0)</f>
        <v/>
      </c>
      <c r="AB57">
        <f>IF(AA57=C57,1,0)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$AE$12+D58*$AE$13+E58*$AE$14+F58*$AE$15+G58*$AE$16+H58*$AE$17+I58*$AE$18+J58*$AE$19+K58*$AE$20+L58*$AE$21+M58*$AE$22+N58*$AE$23+O58*$AE$24+P58*$AE$25+Q58*$AE$26+R58*$AE$27+S58*$AE$28+T58*$AE$29+U58*$AE$30</f>
        <v/>
      </c>
      <c r="W58" s="8">
        <f>1/(1+EXP(-V58))</f>
        <v/>
      </c>
      <c r="X58" s="9">
        <f>-IF(C58=1,LN(W58),LN(1-W58))</f>
        <v/>
      </c>
      <c r="Y58" s="8">
        <f>'1 prepared data'!V51</f>
        <v/>
      </c>
      <c r="Z58" s="9">
        <f>Y58*X58</f>
        <v/>
      </c>
      <c r="AA58" s="10">
        <f>IF(W58&gt;$AE$33,1,0)</f>
        <v/>
      </c>
      <c r="AB58">
        <f>IF(AA58=C58,1,0)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$AE$12+D59*$AE$13+E59*$AE$14+F59*$AE$15+G59*$AE$16+H59*$AE$17+I59*$AE$18+J59*$AE$19+K59*$AE$20+L59*$AE$21+M59*$AE$22+N59*$AE$23+O59*$AE$24+P59*$AE$25+Q59*$AE$26+R59*$AE$27+S59*$AE$28+T59*$AE$29+U59*$AE$30</f>
        <v/>
      </c>
      <c r="W59" s="8">
        <f>1/(1+EXP(-V59))</f>
        <v/>
      </c>
      <c r="X59" s="9">
        <f>-IF(C59=1,LN(W59),LN(1-W59))</f>
        <v/>
      </c>
      <c r="Y59" s="8">
        <f>'1 prepared data'!V52</f>
        <v/>
      </c>
      <c r="Z59" s="9">
        <f>Y59*X59</f>
        <v/>
      </c>
      <c r="AA59" s="10">
        <f>IF(W59&gt;$AE$33,1,0)</f>
        <v/>
      </c>
      <c r="AB59">
        <f>IF(AA59=C59,1,0)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$AE$12+D60*$AE$13+E60*$AE$14+F60*$AE$15+G60*$AE$16+H60*$AE$17+I60*$AE$18+J60*$AE$19+K60*$AE$20+L60*$AE$21+M60*$AE$22+N60*$AE$23+O60*$AE$24+P60*$AE$25+Q60*$AE$26+R60*$AE$27+S60*$AE$28+T60*$AE$29+U60*$AE$30</f>
        <v/>
      </c>
      <c r="W60" s="8">
        <f>1/(1+EXP(-V60))</f>
        <v/>
      </c>
      <c r="X60" s="9">
        <f>-IF(C60=1,LN(W60),LN(1-W60))</f>
        <v/>
      </c>
      <c r="Y60" s="8">
        <f>'1 prepared data'!V53</f>
        <v/>
      </c>
      <c r="Z60" s="9">
        <f>Y60*X60</f>
        <v/>
      </c>
      <c r="AA60" s="10">
        <f>IF(W60&gt;$AE$33,1,0)</f>
        <v/>
      </c>
      <c r="AB60">
        <f>IF(AA60=C60,1,0)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$AE$12+D61*$AE$13+E61*$AE$14+F61*$AE$15+G61*$AE$16+H61*$AE$17+I61*$AE$18+J61*$AE$19+K61*$AE$20+L61*$AE$21+M61*$AE$22+N61*$AE$23+O61*$AE$24+P61*$AE$25+Q61*$AE$26+R61*$AE$27+S61*$AE$28+T61*$AE$29+U61*$AE$30</f>
        <v/>
      </c>
      <c r="W61" s="8">
        <f>1/(1+EXP(-V61))</f>
        <v/>
      </c>
      <c r="X61" s="9">
        <f>-IF(C61=1,LN(W61),LN(1-W61))</f>
        <v/>
      </c>
      <c r="Y61" s="8">
        <f>'1 prepared data'!V54</f>
        <v/>
      </c>
      <c r="Z61" s="9">
        <f>Y61*X61</f>
        <v/>
      </c>
      <c r="AA61" s="10">
        <f>IF(W61&gt;$AE$33,1,0)</f>
        <v/>
      </c>
      <c r="AB61">
        <f>IF(AA61=C61,1,0)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$AE$12+D62*$AE$13+E62*$AE$14+F62*$AE$15+G62*$AE$16+H62*$AE$17+I62*$AE$18+J62*$AE$19+K62*$AE$20+L62*$AE$21+M62*$AE$22+N62*$AE$23+O62*$AE$24+P62*$AE$25+Q62*$AE$26+R62*$AE$27+S62*$AE$28+T62*$AE$29+U62*$AE$30</f>
        <v/>
      </c>
      <c r="W62" s="8">
        <f>1/(1+EXP(-V62))</f>
        <v/>
      </c>
      <c r="X62" s="9">
        <f>-IF(C62=1,LN(W62),LN(1-W62))</f>
        <v/>
      </c>
      <c r="Y62" s="8">
        <f>'1 prepared data'!V55</f>
        <v/>
      </c>
      <c r="Z62" s="9">
        <f>Y62*X62</f>
        <v/>
      </c>
      <c r="AA62" s="10">
        <f>IF(W62&gt;$AE$33,1,0)</f>
        <v/>
      </c>
      <c r="AB62">
        <f>IF(AA62=C62,1,0)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$AE$12+D63*$AE$13+E63*$AE$14+F63*$AE$15+G63*$AE$16+H63*$AE$17+I63*$AE$18+J63*$AE$19+K63*$AE$20+L63*$AE$21+M63*$AE$22+N63*$AE$23+O63*$AE$24+P63*$AE$25+Q63*$AE$26+R63*$AE$27+S63*$AE$28+T63*$AE$29+U63*$AE$30</f>
        <v/>
      </c>
      <c r="W63" s="8">
        <f>1/(1+EXP(-V63))</f>
        <v/>
      </c>
      <c r="X63" s="9">
        <f>-IF(C63=1,LN(W63),LN(1-W63))</f>
        <v/>
      </c>
      <c r="Y63" s="8">
        <f>'1 prepared data'!V56</f>
        <v/>
      </c>
      <c r="Z63" s="9">
        <f>Y63*X63</f>
        <v/>
      </c>
      <c r="AA63" s="10">
        <f>IF(W63&gt;$AE$33,1,0)</f>
        <v/>
      </c>
      <c r="AB63">
        <f>IF(AA63=C63,1,0)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$AE$12+D64*$AE$13+E64*$AE$14+F64*$AE$15+G64*$AE$16+H64*$AE$17+I64*$AE$18+J64*$AE$19+K64*$AE$20+L64*$AE$21+M64*$AE$22+N64*$AE$23+O64*$AE$24+P64*$AE$25+Q64*$AE$26+R64*$AE$27+S64*$AE$28+T64*$AE$29+U64*$AE$30</f>
        <v/>
      </c>
      <c r="W64" s="8">
        <f>1/(1+EXP(-V64))</f>
        <v/>
      </c>
      <c r="X64" s="9">
        <f>-IF(C64=1,LN(W64),LN(1-W64))</f>
        <v/>
      </c>
      <c r="Y64" s="8">
        <f>'1 prepared data'!V57</f>
        <v/>
      </c>
      <c r="Z64" s="9">
        <f>Y64*X64</f>
        <v/>
      </c>
      <c r="AA64" s="10">
        <f>IF(W64&gt;$AE$33,1,0)</f>
        <v/>
      </c>
      <c r="AB64">
        <f>IF(AA64=C64,1,0)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$AE$12+D65*$AE$13+E65*$AE$14+F65*$AE$15+G65*$AE$16+H65*$AE$17+I65*$AE$18+J65*$AE$19+K65*$AE$20+L65*$AE$21+M65*$AE$22+N65*$AE$23+O65*$AE$24+P65*$AE$25+Q65*$AE$26+R65*$AE$27+S65*$AE$28+T65*$AE$29+U65*$AE$30</f>
        <v/>
      </c>
      <c r="W65" s="8">
        <f>1/(1+EXP(-V65))</f>
        <v/>
      </c>
      <c r="X65" s="9">
        <f>-IF(C65=1,LN(W65),LN(1-W65))</f>
        <v/>
      </c>
      <c r="Y65" s="8">
        <f>'1 prepared data'!V58</f>
        <v/>
      </c>
      <c r="Z65" s="9">
        <f>Y65*X65</f>
        <v/>
      </c>
      <c r="AA65" s="10">
        <f>IF(W65&gt;$AE$33,1,0)</f>
        <v/>
      </c>
      <c r="AB65">
        <f>IF(AA65=C65,1,0)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$AE$12+D66*$AE$13+E66*$AE$14+F66*$AE$15+G66*$AE$16+H66*$AE$17+I66*$AE$18+J66*$AE$19+K66*$AE$20+L66*$AE$21+M66*$AE$22+N66*$AE$23+O66*$AE$24+P66*$AE$25+Q66*$AE$26+R66*$AE$27+S66*$AE$28+T66*$AE$29+U66*$AE$30</f>
        <v/>
      </c>
      <c r="W66" s="8">
        <f>1/(1+EXP(-V66))</f>
        <v/>
      </c>
      <c r="X66" s="9">
        <f>-IF(C66=1,LN(W66),LN(1-W66))</f>
        <v/>
      </c>
      <c r="Y66" s="8">
        <f>'1 prepared data'!V59</f>
        <v/>
      </c>
      <c r="Z66" s="9">
        <f>Y66*X66</f>
        <v/>
      </c>
      <c r="AA66" s="10">
        <f>IF(W66&gt;$AE$33,1,0)</f>
        <v/>
      </c>
      <c r="AB66">
        <f>IF(AA66=C66,1,0)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$AE$12+D67*$AE$13+E67*$AE$14+F67*$AE$15+G67*$AE$16+H67*$AE$17+I67*$AE$18+J67*$AE$19+K67*$AE$20+L67*$AE$21+M67*$AE$22+N67*$AE$23+O67*$AE$24+P67*$AE$25+Q67*$AE$26+R67*$AE$27+S67*$AE$28+T67*$AE$29+U67*$AE$30</f>
        <v/>
      </c>
      <c r="W67" s="8">
        <f>1/(1+EXP(-V67))</f>
        <v/>
      </c>
      <c r="X67" s="9">
        <f>-IF(C67=1,LN(W67),LN(1-W67))</f>
        <v/>
      </c>
      <c r="Y67" s="8">
        <f>'1 prepared data'!V60</f>
        <v/>
      </c>
      <c r="Z67" s="9">
        <f>Y67*X67</f>
        <v/>
      </c>
      <c r="AA67" s="10">
        <f>IF(W67&gt;$AE$33,1,0)</f>
        <v/>
      </c>
      <c r="AB67">
        <f>IF(AA67=C67,1,0)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$AE$12+D68*$AE$13+E68*$AE$14+F68*$AE$15+G68*$AE$16+H68*$AE$17+I68*$AE$18+J68*$AE$19+K68*$AE$20+L68*$AE$21+M68*$AE$22+N68*$AE$23+O68*$AE$24+P68*$AE$25+Q68*$AE$26+R68*$AE$27+S68*$AE$28+T68*$AE$29+U68*$AE$30</f>
        <v/>
      </c>
      <c r="W68" s="8">
        <f>1/(1+EXP(-V68))</f>
        <v/>
      </c>
      <c r="X68" s="9">
        <f>-IF(C68=1,LN(W68),LN(1-W68))</f>
        <v/>
      </c>
      <c r="Y68" s="8">
        <f>'1 prepared data'!V61</f>
        <v/>
      </c>
      <c r="Z68" s="9">
        <f>Y68*X68</f>
        <v/>
      </c>
      <c r="AA68" s="10">
        <f>IF(W68&gt;$AE$33,1,0)</f>
        <v/>
      </c>
      <c r="AB68">
        <f>IF(AA68=C68,1,0)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$AE$12+D69*$AE$13+E69*$AE$14+F69*$AE$15+G69*$AE$16+H69*$AE$17+I69*$AE$18+J69*$AE$19+K69*$AE$20+L69*$AE$21+M69*$AE$22+N69*$AE$23+O69*$AE$24+P69*$AE$25+Q69*$AE$26+R69*$AE$27+S69*$AE$28+T69*$AE$29+U69*$AE$30</f>
        <v/>
      </c>
      <c r="W69" s="8">
        <f>1/(1+EXP(-V69))</f>
        <v/>
      </c>
      <c r="X69" s="9">
        <f>-IF(C69=1,LN(W69),LN(1-W69))</f>
        <v/>
      </c>
      <c r="Y69" s="8">
        <f>'1 prepared data'!V62</f>
        <v/>
      </c>
      <c r="Z69" s="9">
        <f>Y69*X69</f>
        <v/>
      </c>
      <c r="AA69" s="10">
        <f>IF(W69&gt;$AE$33,1,0)</f>
        <v/>
      </c>
      <c r="AB69">
        <f>IF(AA69=C69,1,0)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$AE$12+D70*$AE$13+E70*$AE$14+F70*$AE$15+G70*$AE$16+H70*$AE$17+I70*$AE$18+J70*$AE$19+K70*$AE$20+L70*$AE$21+M70*$AE$22+N70*$AE$23+O70*$AE$24+P70*$AE$25+Q70*$AE$26+R70*$AE$27+S70*$AE$28+T70*$AE$29+U70*$AE$30</f>
        <v/>
      </c>
      <c r="W70" s="8">
        <f>1/(1+EXP(-V70))</f>
        <v/>
      </c>
      <c r="X70" s="9">
        <f>-IF(C70=1,LN(W70),LN(1-W70))</f>
        <v/>
      </c>
      <c r="Y70" s="8">
        <f>'1 prepared data'!V63</f>
        <v/>
      </c>
      <c r="Z70" s="9">
        <f>Y70*X70</f>
        <v/>
      </c>
      <c r="AA70" s="10">
        <f>IF(W70&gt;$AE$33,1,0)</f>
        <v/>
      </c>
      <c r="AB70">
        <f>IF(AA70=C70,1,0)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$AE$12+D71*$AE$13+E71*$AE$14+F71*$AE$15+G71*$AE$16+H71*$AE$17+I71*$AE$18+J71*$AE$19+K71*$AE$20+L71*$AE$21+M71*$AE$22+N71*$AE$23+O71*$AE$24+P71*$AE$25+Q71*$AE$26+R71*$AE$27+S71*$AE$28+T71*$AE$29+U71*$AE$30</f>
        <v/>
      </c>
      <c r="W71" s="8">
        <f>1/(1+EXP(-V71))</f>
        <v/>
      </c>
      <c r="X71" s="9">
        <f>-IF(C71=1,LN(W71),LN(1-W71))</f>
        <v/>
      </c>
      <c r="Y71" s="8">
        <f>'1 prepared data'!V64</f>
        <v/>
      </c>
      <c r="Z71" s="9">
        <f>Y71*X71</f>
        <v/>
      </c>
      <c r="AA71" s="10">
        <f>IF(W71&gt;$AE$33,1,0)</f>
        <v/>
      </c>
      <c r="AB71">
        <f>IF(AA71=C71,1,0)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$AE$12+D72*$AE$13+E72*$AE$14+F72*$AE$15+G72*$AE$16+H72*$AE$17+I72*$AE$18+J72*$AE$19+K72*$AE$20+L72*$AE$21+M72*$AE$22+N72*$AE$23+O72*$AE$24+P72*$AE$25+Q72*$AE$26+R72*$AE$27+S72*$AE$28+T72*$AE$29+U72*$AE$30</f>
        <v/>
      </c>
      <c r="W72" s="8">
        <f>1/(1+EXP(-V72))</f>
        <v/>
      </c>
      <c r="X72" s="9">
        <f>-IF(C72=1,LN(W72),LN(1-W72))</f>
        <v/>
      </c>
      <c r="Y72" s="8">
        <f>'1 prepared data'!V65</f>
        <v/>
      </c>
      <c r="Z72" s="9">
        <f>Y72*X72</f>
        <v/>
      </c>
      <c r="AA72" s="10">
        <f>IF(W72&gt;$AE$33,1,0)</f>
        <v/>
      </c>
      <c r="AB72">
        <f>IF(AA72=C72,1,0)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$AE$12+D73*$AE$13+E73*$AE$14+F73*$AE$15+G73*$AE$16+H73*$AE$17+I73*$AE$18+J73*$AE$19+K73*$AE$20+L73*$AE$21+M73*$AE$22+N73*$AE$23+O73*$AE$24+P73*$AE$25+Q73*$AE$26+R73*$AE$27+S73*$AE$28+T73*$AE$29+U73*$AE$30</f>
        <v/>
      </c>
      <c r="W73" s="8">
        <f>1/(1+EXP(-V73))</f>
        <v/>
      </c>
      <c r="X73" s="9">
        <f>-IF(C73=1,LN(W73),LN(1-W73))</f>
        <v/>
      </c>
      <c r="Y73" s="8">
        <f>'1 prepared data'!V66</f>
        <v/>
      </c>
      <c r="Z73" s="9">
        <f>Y73*X73</f>
        <v/>
      </c>
      <c r="AA73" s="10">
        <f>IF(W73&gt;$AE$33,1,0)</f>
        <v/>
      </c>
      <c r="AB73">
        <f>IF(AA73=C73,1,0)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$AE$12+D74*$AE$13+E74*$AE$14+F74*$AE$15+G74*$AE$16+H74*$AE$17+I74*$AE$18+J74*$AE$19+K74*$AE$20+L74*$AE$21+M74*$AE$22+N74*$AE$23+O74*$AE$24+P74*$AE$25+Q74*$AE$26+R74*$AE$27+S74*$AE$28+T74*$AE$29+U74*$AE$30</f>
        <v/>
      </c>
      <c r="W74" s="8">
        <f>1/(1+EXP(-V74))</f>
        <v/>
      </c>
      <c r="X74" s="9">
        <f>-IF(C74=1,LN(W74),LN(1-W74))</f>
        <v/>
      </c>
      <c r="Y74" s="8">
        <f>'1 prepared data'!V67</f>
        <v/>
      </c>
      <c r="Z74" s="9">
        <f>Y74*X74</f>
        <v/>
      </c>
      <c r="AA74" s="10">
        <f>IF(W74&gt;$AE$33,1,0)</f>
        <v/>
      </c>
      <c r="AB74">
        <f>IF(AA74=C74,1,0)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$AE$12+D75*$AE$13+E75*$AE$14+F75*$AE$15+G75*$AE$16+H75*$AE$17+I75*$AE$18+J75*$AE$19+K75*$AE$20+L75*$AE$21+M75*$AE$22+N75*$AE$23+O75*$AE$24+P75*$AE$25+Q75*$AE$26+R75*$AE$27+S75*$AE$28+T75*$AE$29+U75*$AE$30</f>
        <v/>
      </c>
      <c r="W75" s="8">
        <f>1/(1+EXP(-V75))</f>
        <v/>
      </c>
      <c r="X75" s="9">
        <f>-IF(C75=1,LN(W75),LN(1-W75))</f>
        <v/>
      </c>
      <c r="Y75" s="8">
        <f>'1 prepared data'!V68</f>
        <v/>
      </c>
      <c r="Z75" s="9">
        <f>Y75*X75</f>
        <v/>
      </c>
      <c r="AA75" s="10">
        <f>IF(W75&gt;$AE$33,1,0)</f>
        <v/>
      </c>
      <c r="AB75">
        <f>IF(AA75=C75,1,0)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$AE$12+D76*$AE$13+E76*$AE$14+F76*$AE$15+G76*$AE$16+H76*$AE$17+I76*$AE$18+J76*$AE$19+K76*$AE$20+L76*$AE$21+M76*$AE$22+N76*$AE$23+O76*$AE$24+P76*$AE$25+Q76*$AE$26+R76*$AE$27+S76*$AE$28+T76*$AE$29+U76*$AE$30</f>
        <v/>
      </c>
      <c r="W76" s="8">
        <f>1/(1+EXP(-V76))</f>
        <v/>
      </c>
      <c r="X76" s="9">
        <f>-IF(C76=1,LN(W76),LN(1-W76))</f>
        <v/>
      </c>
      <c r="Y76" s="8">
        <f>'1 prepared data'!V69</f>
        <v/>
      </c>
      <c r="Z76" s="9">
        <f>Y76*X76</f>
        <v/>
      </c>
      <c r="AA76" s="10">
        <f>IF(W76&gt;$AE$33,1,0)</f>
        <v/>
      </c>
      <c r="AB76">
        <f>IF(AA76=C76,1,0)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$AE$12+D77*$AE$13+E77*$AE$14+F77*$AE$15+G77*$AE$16+H77*$AE$17+I77*$AE$18+J77*$AE$19+K77*$AE$20+L77*$AE$21+M77*$AE$22+N77*$AE$23+O77*$AE$24+P77*$AE$25+Q77*$AE$26+R77*$AE$27+S77*$AE$28+T77*$AE$29+U77*$AE$30</f>
        <v/>
      </c>
      <c r="W77" s="8">
        <f>1/(1+EXP(-V77))</f>
        <v/>
      </c>
      <c r="X77" s="9">
        <f>-IF(C77=1,LN(W77),LN(1-W77))</f>
        <v/>
      </c>
      <c r="Y77" s="8">
        <f>'1 prepared data'!V70</f>
        <v/>
      </c>
      <c r="Z77" s="9">
        <f>Y77*X77</f>
        <v/>
      </c>
      <c r="AA77" s="10">
        <f>IF(W77&gt;$AE$33,1,0)</f>
        <v/>
      </c>
      <c r="AB77">
        <f>IF(AA77=C77,1,0)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$AE$12+D78*$AE$13+E78*$AE$14+F78*$AE$15+G78*$AE$16+H78*$AE$17+I78*$AE$18+J78*$AE$19+K78*$AE$20+L78*$AE$21+M78*$AE$22+N78*$AE$23+O78*$AE$24+P78*$AE$25+Q78*$AE$26+R78*$AE$27+S78*$AE$28+T78*$AE$29+U78*$AE$30</f>
        <v/>
      </c>
      <c r="W78" s="8">
        <f>1/(1+EXP(-V78))</f>
        <v/>
      </c>
      <c r="X78" s="9">
        <f>-IF(C78=1,LN(W78),LN(1-W78))</f>
        <v/>
      </c>
      <c r="Y78" s="8">
        <f>'1 prepared data'!V71</f>
        <v/>
      </c>
      <c r="Z78" s="9">
        <f>Y78*X78</f>
        <v/>
      </c>
      <c r="AA78" s="10">
        <f>IF(W78&gt;$AE$33,1,0)</f>
        <v/>
      </c>
      <c r="AB78">
        <f>IF(AA78=C78,1,0)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$AE$12+D79*$AE$13+E79*$AE$14+F79*$AE$15+G79*$AE$16+H79*$AE$17+I79*$AE$18+J79*$AE$19+K79*$AE$20+L79*$AE$21+M79*$AE$22+N79*$AE$23+O79*$AE$24+P79*$AE$25+Q79*$AE$26+R79*$AE$27+S79*$AE$28+T79*$AE$29+U79*$AE$30</f>
        <v/>
      </c>
      <c r="W79" s="8">
        <f>1/(1+EXP(-V79))</f>
        <v/>
      </c>
      <c r="X79" s="9">
        <f>-IF(C79=1,LN(W79),LN(1-W79))</f>
        <v/>
      </c>
      <c r="Y79" s="8">
        <f>'1 prepared data'!V72</f>
        <v/>
      </c>
      <c r="Z79" s="9">
        <f>Y79*X79</f>
        <v/>
      </c>
      <c r="AA79" s="10">
        <f>IF(W79&gt;$AE$33,1,0)</f>
        <v/>
      </c>
      <c r="AB79">
        <f>IF(AA79=C79,1,0)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$AE$12+D80*$AE$13+E80*$AE$14+F80*$AE$15+G80*$AE$16+H80*$AE$17+I80*$AE$18+J80*$AE$19+K80*$AE$20+L80*$AE$21+M80*$AE$22+N80*$AE$23+O80*$AE$24+P80*$AE$25+Q80*$AE$26+R80*$AE$27+S80*$AE$28+T80*$AE$29+U80*$AE$30</f>
        <v/>
      </c>
      <c r="W80" s="8">
        <f>1/(1+EXP(-V80))</f>
        <v/>
      </c>
      <c r="X80" s="9">
        <f>-IF(C80=1,LN(W80),LN(1-W80))</f>
        <v/>
      </c>
      <c r="Y80" s="8">
        <f>'1 prepared data'!V73</f>
        <v/>
      </c>
      <c r="Z80" s="9">
        <f>Y80*X80</f>
        <v/>
      </c>
      <c r="AA80" s="10">
        <f>IF(W80&gt;$AE$33,1,0)</f>
        <v/>
      </c>
      <c r="AB80">
        <f>IF(AA80=C80,1,0)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$AE$12+D81*$AE$13+E81*$AE$14+F81*$AE$15+G81*$AE$16+H81*$AE$17+I81*$AE$18+J81*$AE$19+K81*$AE$20+L81*$AE$21+M81*$AE$22+N81*$AE$23+O81*$AE$24+P81*$AE$25+Q81*$AE$26+R81*$AE$27+S81*$AE$28+T81*$AE$29+U81*$AE$30</f>
        <v/>
      </c>
      <c r="W81" s="8">
        <f>1/(1+EXP(-V81))</f>
        <v/>
      </c>
      <c r="X81" s="9">
        <f>-IF(C81=1,LN(W81),LN(1-W81))</f>
        <v/>
      </c>
      <c r="Y81" s="8">
        <f>'1 prepared data'!V74</f>
        <v/>
      </c>
      <c r="Z81" s="9">
        <f>Y81*X81</f>
        <v/>
      </c>
      <c r="AA81" s="10">
        <f>IF(W81&gt;$AE$33,1,0)</f>
        <v/>
      </c>
      <c r="AB81">
        <f>IF(AA81=C81,1,0)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$AE$12+D82*$AE$13+E82*$AE$14+F82*$AE$15+G82*$AE$16+H82*$AE$17+I82*$AE$18+J82*$AE$19+K82*$AE$20+L82*$AE$21+M82*$AE$22+N82*$AE$23+O82*$AE$24+P82*$AE$25+Q82*$AE$26+R82*$AE$27+S82*$AE$28+T82*$AE$29+U82*$AE$30</f>
        <v/>
      </c>
      <c r="W82" s="8">
        <f>1/(1+EXP(-V82))</f>
        <v/>
      </c>
      <c r="X82" s="9">
        <f>-IF(C82=1,LN(W82),LN(1-W82))</f>
        <v/>
      </c>
      <c r="Y82" s="8">
        <f>'1 prepared data'!V75</f>
        <v/>
      </c>
      <c r="Z82" s="9">
        <f>Y82*X82</f>
        <v/>
      </c>
      <c r="AA82" s="10">
        <f>IF(W82&gt;$AE$33,1,0)</f>
        <v/>
      </c>
      <c r="AB82">
        <f>IF(AA82=C82,1,0)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$AE$12+D83*$AE$13+E83*$AE$14+F83*$AE$15+G83*$AE$16+H83*$AE$17+I83*$AE$18+J83*$AE$19+K83*$AE$20+L83*$AE$21+M83*$AE$22+N83*$AE$23+O83*$AE$24+P83*$AE$25+Q83*$AE$26+R83*$AE$27+S83*$AE$28+T83*$AE$29+U83*$AE$30</f>
        <v/>
      </c>
      <c r="W83" s="8">
        <f>1/(1+EXP(-V83))</f>
        <v/>
      </c>
      <c r="X83" s="9">
        <f>-IF(C83=1,LN(W83),LN(1-W83))</f>
        <v/>
      </c>
      <c r="Y83" s="8">
        <f>'1 prepared data'!V76</f>
        <v/>
      </c>
      <c r="Z83" s="9">
        <f>Y83*X83</f>
        <v/>
      </c>
      <c r="AA83" s="10">
        <f>IF(W83&gt;$AE$33,1,0)</f>
        <v/>
      </c>
      <c r="AB83">
        <f>IF(AA83=C83,1,0)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$AE$12+D84*$AE$13+E84*$AE$14+F84*$AE$15+G84*$AE$16+H84*$AE$17+I84*$AE$18+J84*$AE$19+K84*$AE$20+L84*$AE$21+M84*$AE$22+N84*$AE$23+O84*$AE$24+P84*$AE$25+Q84*$AE$26+R84*$AE$27+S84*$AE$28+T84*$AE$29+U84*$AE$30</f>
        <v/>
      </c>
      <c r="W84" s="8">
        <f>1/(1+EXP(-V84))</f>
        <v/>
      </c>
      <c r="X84" s="9">
        <f>-IF(C84=1,LN(W84),LN(1-W84))</f>
        <v/>
      </c>
      <c r="Y84" s="8">
        <f>'1 prepared data'!V77</f>
        <v/>
      </c>
      <c r="Z84" s="9">
        <f>Y84*X84</f>
        <v/>
      </c>
      <c r="AA84" s="10">
        <f>IF(W84&gt;$AE$33,1,0)</f>
        <v/>
      </c>
      <c r="AB84">
        <f>IF(AA84=C84,1,0)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$AE$12+D85*$AE$13+E85*$AE$14+F85*$AE$15+G85*$AE$16+H85*$AE$17+I85*$AE$18+J85*$AE$19+K85*$AE$20+L85*$AE$21+M85*$AE$22+N85*$AE$23+O85*$AE$24+P85*$AE$25+Q85*$AE$26+R85*$AE$27+S85*$AE$28+T85*$AE$29+U85*$AE$30</f>
        <v/>
      </c>
      <c r="W85" s="8">
        <f>1/(1+EXP(-V85))</f>
        <v/>
      </c>
      <c r="X85" s="9">
        <f>-IF(C85=1,LN(W85),LN(1-W85))</f>
        <v/>
      </c>
      <c r="Y85" s="8">
        <f>'1 prepared data'!V78</f>
        <v/>
      </c>
      <c r="Z85" s="9">
        <f>Y85*X85</f>
        <v/>
      </c>
      <c r="AA85" s="10">
        <f>IF(W85&gt;$AE$33,1,0)</f>
        <v/>
      </c>
      <c r="AB85">
        <f>IF(AA85=C85,1,0)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$AE$12+D86*$AE$13+E86*$AE$14+F86*$AE$15+G86*$AE$16+H86*$AE$17+I86*$AE$18+J86*$AE$19+K86*$AE$20+L86*$AE$21+M86*$AE$22+N86*$AE$23+O86*$AE$24+P86*$AE$25+Q86*$AE$26+R86*$AE$27+S86*$AE$28+T86*$AE$29+U86*$AE$30</f>
        <v/>
      </c>
      <c r="W86" s="8">
        <f>1/(1+EXP(-V86))</f>
        <v/>
      </c>
      <c r="X86" s="9">
        <f>-IF(C86=1,LN(W86),LN(1-W86))</f>
        <v/>
      </c>
      <c r="Y86" s="8">
        <f>'1 prepared data'!V79</f>
        <v/>
      </c>
      <c r="Z86" s="9">
        <f>Y86*X86</f>
        <v/>
      </c>
      <c r="AA86" s="10">
        <f>IF(W86&gt;$AE$33,1,0)</f>
        <v/>
      </c>
      <c r="AB86">
        <f>IF(AA86=C86,1,0)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$AE$12+D87*$AE$13+E87*$AE$14+F87*$AE$15+G87*$AE$16+H87*$AE$17+I87*$AE$18+J87*$AE$19+K87*$AE$20+L87*$AE$21+M87*$AE$22+N87*$AE$23+O87*$AE$24+P87*$AE$25+Q87*$AE$26+R87*$AE$27+S87*$AE$28+T87*$AE$29+U87*$AE$30</f>
        <v/>
      </c>
      <c r="W87" s="8">
        <f>1/(1+EXP(-V87))</f>
        <v/>
      </c>
      <c r="X87" s="9">
        <f>-IF(C87=1,LN(W87),LN(1-W87))</f>
        <v/>
      </c>
      <c r="Y87" s="8">
        <f>'1 prepared data'!V80</f>
        <v/>
      </c>
      <c r="Z87" s="9">
        <f>Y87*X87</f>
        <v/>
      </c>
      <c r="AA87" s="10">
        <f>IF(W87&gt;$AE$33,1,0)</f>
        <v/>
      </c>
      <c r="AB87">
        <f>IF(AA87=C87,1,0)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$AE$12+D88*$AE$13+E88*$AE$14+F88*$AE$15+G88*$AE$16+H88*$AE$17+I88*$AE$18+J88*$AE$19+K88*$AE$20+L88*$AE$21+M88*$AE$22+N88*$AE$23+O88*$AE$24+P88*$AE$25+Q88*$AE$26+R88*$AE$27+S88*$AE$28+T88*$AE$29+U88*$AE$30</f>
        <v/>
      </c>
      <c r="W88" s="8">
        <f>1/(1+EXP(-V88))</f>
        <v/>
      </c>
      <c r="X88" s="9">
        <f>-IF(C88=1,LN(W88),LN(1-W88))</f>
        <v/>
      </c>
      <c r="Y88" s="8">
        <f>'1 prepared data'!V81</f>
        <v/>
      </c>
      <c r="Z88" s="9">
        <f>Y88*X88</f>
        <v/>
      </c>
      <c r="AA88" s="10">
        <f>IF(W88&gt;$AE$33,1,0)</f>
        <v/>
      </c>
      <c r="AB88">
        <f>IF(AA88=C88,1,0)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$AE$12+D89*$AE$13+E89*$AE$14+F89*$AE$15+G89*$AE$16+H89*$AE$17+I89*$AE$18+J89*$AE$19+K89*$AE$20+L89*$AE$21+M89*$AE$22+N89*$AE$23+O89*$AE$24+P89*$AE$25+Q89*$AE$26+R89*$AE$27+S89*$AE$28+T89*$AE$29+U89*$AE$30</f>
        <v/>
      </c>
      <c r="W89" s="8">
        <f>1/(1+EXP(-V89))</f>
        <v/>
      </c>
      <c r="X89" s="9">
        <f>-IF(C89=1,LN(W89),LN(1-W89))</f>
        <v/>
      </c>
      <c r="Y89" s="8">
        <f>'1 prepared data'!V82</f>
        <v/>
      </c>
      <c r="Z89" s="9">
        <f>Y89*X89</f>
        <v/>
      </c>
      <c r="AA89" s="10">
        <f>IF(W89&gt;$AE$33,1,0)</f>
        <v/>
      </c>
      <c r="AB89">
        <f>IF(AA89=C89,1,0)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$AE$12+D90*$AE$13+E90*$AE$14+F90*$AE$15+G90*$AE$16+H90*$AE$17+I90*$AE$18+J90*$AE$19+K90*$AE$20+L90*$AE$21+M90*$AE$22+N90*$AE$23+O90*$AE$24+P90*$AE$25+Q90*$AE$26+R90*$AE$27+S90*$AE$28+T90*$AE$29+U90*$AE$30</f>
        <v/>
      </c>
      <c r="W90" s="8">
        <f>1/(1+EXP(-V90))</f>
        <v/>
      </c>
      <c r="X90" s="9">
        <f>-IF(C90=1,LN(W90),LN(1-W90))</f>
        <v/>
      </c>
      <c r="Y90" s="8">
        <f>'1 prepared data'!V83</f>
        <v/>
      </c>
      <c r="Z90" s="9">
        <f>Y90*X90</f>
        <v/>
      </c>
      <c r="AA90" s="10">
        <f>IF(W90&gt;$AE$33,1,0)</f>
        <v/>
      </c>
      <c r="AB90">
        <f>IF(AA90=C90,1,0)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$AE$12+D91*$AE$13+E91*$AE$14+F91*$AE$15+G91*$AE$16+H91*$AE$17+I91*$AE$18+J91*$AE$19+K91*$AE$20+L91*$AE$21+M91*$AE$22+N91*$AE$23+O91*$AE$24+P91*$AE$25+Q91*$AE$26+R91*$AE$27+S91*$AE$28+T91*$AE$29+U91*$AE$30</f>
        <v/>
      </c>
      <c r="W91" s="8">
        <f>1/(1+EXP(-V91))</f>
        <v/>
      </c>
      <c r="X91" s="9">
        <f>-IF(C91=1,LN(W91),LN(1-W91))</f>
        <v/>
      </c>
      <c r="Y91" s="8">
        <f>'1 prepared data'!V84</f>
        <v/>
      </c>
      <c r="Z91" s="9">
        <f>Y91*X91</f>
        <v/>
      </c>
      <c r="AA91" s="10">
        <f>IF(W91&gt;$AE$33,1,0)</f>
        <v/>
      </c>
      <c r="AB91">
        <f>IF(AA91=C91,1,0)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$AE$12+D92*$AE$13+E92*$AE$14+F92*$AE$15+G92*$AE$16+H92*$AE$17+I92*$AE$18+J92*$AE$19+K92*$AE$20+L92*$AE$21+M92*$AE$22+N92*$AE$23+O92*$AE$24+P92*$AE$25+Q92*$AE$26+R92*$AE$27+S92*$AE$28+T92*$AE$29+U92*$AE$30</f>
        <v/>
      </c>
      <c r="W92" s="8">
        <f>1/(1+EXP(-V92))</f>
        <v/>
      </c>
      <c r="X92" s="9">
        <f>-IF(C92=1,LN(W92),LN(1-W92))</f>
        <v/>
      </c>
      <c r="Y92" s="8">
        <f>'1 prepared data'!V85</f>
        <v/>
      </c>
      <c r="Z92" s="9">
        <f>Y92*X92</f>
        <v/>
      </c>
      <c r="AA92" s="10">
        <f>IF(W92&gt;$AE$33,1,0)</f>
        <v/>
      </c>
      <c r="AB92">
        <f>IF(AA92=C92,1,0)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$AE$12+D93*$AE$13+E93*$AE$14+F93*$AE$15+G93*$AE$16+H93*$AE$17+I93*$AE$18+J93*$AE$19+K93*$AE$20+L93*$AE$21+M93*$AE$22+N93*$AE$23+O93*$AE$24+P93*$AE$25+Q93*$AE$26+R93*$AE$27+S93*$AE$28+T93*$AE$29+U93*$AE$30</f>
        <v/>
      </c>
      <c r="W93" s="8">
        <f>1/(1+EXP(-V93))</f>
        <v/>
      </c>
      <c r="X93" s="9">
        <f>-IF(C93=1,LN(W93),LN(1-W93))</f>
        <v/>
      </c>
      <c r="Y93" s="8">
        <f>'1 prepared data'!V86</f>
        <v/>
      </c>
      <c r="Z93" s="9">
        <f>Y93*X93</f>
        <v/>
      </c>
      <c r="AA93" s="10">
        <f>IF(W93&gt;$AE$33,1,0)</f>
        <v/>
      </c>
      <c r="AB93">
        <f>IF(AA93=C93,1,0)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$AE$12+D94*$AE$13+E94*$AE$14+F94*$AE$15+G94*$AE$16+H94*$AE$17+I94*$AE$18+J94*$AE$19+K94*$AE$20+L94*$AE$21+M94*$AE$22+N94*$AE$23+O94*$AE$24+P94*$AE$25+Q94*$AE$26+R94*$AE$27+S94*$AE$28+T94*$AE$29+U94*$AE$30</f>
        <v/>
      </c>
      <c r="W94" s="8">
        <f>1/(1+EXP(-V94))</f>
        <v/>
      </c>
      <c r="X94" s="9">
        <f>-IF(C94=1,LN(W94),LN(1-W94))</f>
        <v/>
      </c>
      <c r="Y94" s="8">
        <f>'1 prepared data'!V87</f>
        <v/>
      </c>
      <c r="Z94" s="9">
        <f>Y94*X94</f>
        <v/>
      </c>
      <c r="AA94" s="10">
        <f>IF(W94&gt;$AE$33,1,0)</f>
        <v/>
      </c>
      <c r="AB94">
        <f>IF(AA94=C94,1,0)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$AE$12+D95*$AE$13+E95*$AE$14+F95*$AE$15+G95*$AE$16+H95*$AE$17+I95*$AE$18+J95*$AE$19+K95*$AE$20+L95*$AE$21+M95*$AE$22+N95*$AE$23+O95*$AE$24+P95*$AE$25+Q95*$AE$26+R95*$AE$27+S95*$AE$28+T95*$AE$29+U95*$AE$30</f>
        <v/>
      </c>
      <c r="W95" s="8">
        <f>1/(1+EXP(-V95))</f>
        <v/>
      </c>
      <c r="X95" s="9">
        <f>-IF(C95=1,LN(W95),LN(1-W95))</f>
        <v/>
      </c>
      <c r="Y95" s="8">
        <f>'1 prepared data'!V88</f>
        <v/>
      </c>
      <c r="Z95" s="9">
        <f>Y95*X95</f>
        <v/>
      </c>
      <c r="AA95" s="10">
        <f>IF(W95&gt;$AE$33,1,0)</f>
        <v/>
      </c>
      <c r="AB95">
        <f>IF(AA95=C95,1,0)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$AE$12+D96*$AE$13+E96*$AE$14+F96*$AE$15+G96*$AE$16+H96*$AE$17+I96*$AE$18+J96*$AE$19+K96*$AE$20+L96*$AE$21+M96*$AE$22+N96*$AE$23+O96*$AE$24+P96*$AE$25+Q96*$AE$26+R96*$AE$27+S96*$AE$28+T96*$AE$29+U96*$AE$30</f>
        <v/>
      </c>
      <c r="W96" s="8">
        <f>1/(1+EXP(-V96))</f>
        <v/>
      </c>
      <c r="X96" s="9">
        <f>-IF(C96=1,LN(W96),LN(1-W96))</f>
        <v/>
      </c>
      <c r="Y96" s="8">
        <f>'1 prepared data'!V89</f>
        <v/>
      </c>
      <c r="Z96" s="9">
        <f>Y96*X96</f>
        <v/>
      </c>
      <c r="AA96" s="10">
        <f>IF(W96&gt;$AE$33,1,0)</f>
        <v/>
      </c>
      <c r="AB96">
        <f>IF(AA96=C96,1,0)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$AE$12+D97*$AE$13+E97*$AE$14+F97*$AE$15+G97*$AE$16+H97*$AE$17+I97*$AE$18+J97*$AE$19+K97*$AE$20+L97*$AE$21+M97*$AE$22+N97*$AE$23+O97*$AE$24+P97*$AE$25+Q97*$AE$26+R97*$AE$27+S97*$AE$28+T97*$AE$29+U97*$AE$30</f>
        <v/>
      </c>
      <c r="W97" s="8">
        <f>1/(1+EXP(-V97))</f>
        <v/>
      </c>
      <c r="X97" s="9">
        <f>-IF(C97=1,LN(W97),LN(1-W97))</f>
        <v/>
      </c>
      <c r="Y97" s="8">
        <f>'1 prepared data'!V90</f>
        <v/>
      </c>
      <c r="Z97" s="9">
        <f>Y97*X97</f>
        <v/>
      </c>
      <c r="AA97" s="10">
        <f>IF(W97&gt;$AE$33,1,0)</f>
        <v/>
      </c>
      <c r="AB97">
        <f>IF(AA97=C97,1,0)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$AE$12+D98*$AE$13+E98*$AE$14+F98*$AE$15+G98*$AE$16+H98*$AE$17+I98*$AE$18+J98*$AE$19+K98*$AE$20+L98*$AE$21+M98*$AE$22+N98*$AE$23+O98*$AE$24+P98*$AE$25+Q98*$AE$26+R98*$AE$27+S98*$AE$28+T98*$AE$29+U98*$AE$30</f>
        <v/>
      </c>
      <c r="W98" s="8">
        <f>1/(1+EXP(-V98))</f>
        <v/>
      </c>
      <c r="X98" s="9">
        <f>-IF(C98=1,LN(W98),LN(1-W98))</f>
        <v/>
      </c>
      <c r="Y98" s="8">
        <f>'1 prepared data'!V91</f>
        <v/>
      </c>
      <c r="Z98" s="9">
        <f>Y98*X98</f>
        <v/>
      </c>
      <c r="AA98" s="10">
        <f>IF(W98&gt;$AE$33,1,0)</f>
        <v/>
      </c>
      <c r="AB98">
        <f>IF(AA98=C98,1,0)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$AE$12+D99*$AE$13+E99*$AE$14+F99*$AE$15+G99*$AE$16+H99*$AE$17+I99*$AE$18+J99*$AE$19+K99*$AE$20+L99*$AE$21+M99*$AE$22+N99*$AE$23+O99*$AE$24+P99*$AE$25+Q99*$AE$26+R99*$AE$27+S99*$AE$28+T99*$AE$29+U99*$AE$30</f>
        <v/>
      </c>
      <c r="W99" s="8">
        <f>1/(1+EXP(-V99))</f>
        <v/>
      </c>
      <c r="X99" s="9">
        <f>-IF(C99=1,LN(W99),LN(1-W99))</f>
        <v/>
      </c>
      <c r="Y99" s="8">
        <f>'1 prepared data'!V92</f>
        <v/>
      </c>
      <c r="Z99" s="9">
        <f>Y99*X99</f>
        <v/>
      </c>
      <c r="AA99" s="10">
        <f>IF(W99&gt;$AE$33,1,0)</f>
        <v/>
      </c>
      <c r="AB99">
        <f>IF(AA99=C99,1,0)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$AE$12+D100*$AE$13+E100*$AE$14+F100*$AE$15+G100*$AE$16+H100*$AE$17+I100*$AE$18+J100*$AE$19+K100*$AE$20+L100*$AE$21+M100*$AE$22+N100*$AE$23+O100*$AE$24+P100*$AE$25+Q100*$AE$26+R100*$AE$27+S100*$AE$28+T100*$AE$29+U100*$AE$30</f>
        <v/>
      </c>
      <c r="W100" s="8">
        <f>1/(1+EXP(-V100))</f>
        <v/>
      </c>
      <c r="X100" s="9">
        <f>-IF(C100=1,LN(W100),LN(1-W100))</f>
        <v/>
      </c>
      <c r="Y100" s="8">
        <f>'1 prepared data'!V93</f>
        <v/>
      </c>
      <c r="Z100" s="9">
        <f>Y100*X100</f>
        <v/>
      </c>
      <c r="AA100" s="10">
        <f>IF(W100&gt;$AE$33,1,0)</f>
        <v/>
      </c>
      <c r="AB100">
        <f>IF(AA100=C100,1,0)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$AE$12+D101*$AE$13+E101*$AE$14+F101*$AE$15+G101*$AE$16+H101*$AE$17+I101*$AE$18+J101*$AE$19+K101*$AE$20+L101*$AE$21+M101*$AE$22+N101*$AE$23+O101*$AE$24+P101*$AE$25+Q101*$AE$26+R101*$AE$27+S101*$AE$28+T101*$AE$29+U101*$AE$30</f>
        <v/>
      </c>
      <c r="W101" s="8">
        <f>1/(1+EXP(-V101))</f>
        <v/>
      </c>
      <c r="X101" s="9">
        <f>-IF(C101=1,LN(W101),LN(1-W101))</f>
        <v/>
      </c>
      <c r="Y101" s="8">
        <f>'1 prepared data'!V94</f>
        <v/>
      </c>
      <c r="Z101" s="9">
        <f>Y101*X101</f>
        <v/>
      </c>
      <c r="AA101" s="10">
        <f>IF(W101&gt;$AE$33,1,0)</f>
        <v/>
      </c>
      <c r="AB101">
        <f>IF(AA101=C101,1,0)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$AE$12+D102*$AE$13+E102*$AE$14+F102*$AE$15+G102*$AE$16+H102*$AE$17+I102*$AE$18+J102*$AE$19+K102*$AE$20+L102*$AE$21+M102*$AE$22+N102*$AE$23+O102*$AE$24+P102*$AE$25+Q102*$AE$26+R102*$AE$27+S102*$AE$28+T102*$AE$29+U102*$AE$30</f>
        <v/>
      </c>
      <c r="W102" s="8">
        <f>1/(1+EXP(-V102))</f>
        <v/>
      </c>
      <c r="X102" s="9">
        <f>-IF(C102=1,LN(W102),LN(1-W102))</f>
        <v/>
      </c>
      <c r="Y102" s="8">
        <f>'1 prepared data'!V95</f>
        <v/>
      </c>
      <c r="Z102" s="9">
        <f>Y102*X102</f>
        <v/>
      </c>
      <c r="AA102" s="10">
        <f>IF(W102&gt;$AE$33,1,0)</f>
        <v/>
      </c>
      <c r="AB102">
        <f>IF(AA102=C102,1,0)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$AE$12+D103*$AE$13+E103*$AE$14+F103*$AE$15+G103*$AE$16+H103*$AE$17+I103*$AE$18+J103*$AE$19+K103*$AE$20+L103*$AE$21+M103*$AE$22+N103*$AE$23+O103*$AE$24+P103*$AE$25+Q103*$AE$26+R103*$AE$27+S103*$AE$28+T103*$AE$29+U103*$AE$30</f>
        <v/>
      </c>
      <c r="W103" s="8">
        <f>1/(1+EXP(-V103))</f>
        <v/>
      </c>
      <c r="X103" s="9">
        <f>-IF(C103=1,LN(W103),LN(1-W103))</f>
        <v/>
      </c>
      <c r="Y103" s="8">
        <f>'1 prepared data'!V96</f>
        <v/>
      </c>
      <c r="Z103" s="9">
        <f>Y103*X103</f>
        <v/>
      </c>
      <c r="AA103" s="10">
        <f>IF(W103&gt;$AE$33,1,0)</f>
        <v/>
      </c>
      <c r="AB103">
        <f>IF(AA103=C103,1,0)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$AE$12+D104*$AE$13+E104*$AE$14+F104*$AE$15+G104*$AE$16+H104*$AE$17+I104*$AE$18+J104*$AE$19+K104*$AE$20+L104*$AE$21+M104*$AE$22+N104*$AE$23+O104*$AE$24+P104*$AE$25+Q104*$AE$26+R104*$AE$27+S104*$AE$28+T104*$AE$29+U104*$AE$30</f>
        <v/>
      </c>
      <c r="W104" s="8">
        <f>1/(1+EXP(-V104))</f>
        <v/>
      </c>
      <c r="X104" s="9">
        <f>-IF(C104=1,LN(W104),LN(1-W104))</f>
        <v/>
      </c>
      <c r="Y104" s="8">
        <f>'1 prepared data'!V97</f>
        <v/>
      </c>
      <c r="Z104" s="9">
        <f>Y104*X104</f>
        <v/>
      </c>
      <c r="AA104" s="10">
        <f>IF(W104&gt;$AE$33,1,0)</f>
        <v/>
      </c>
      <c r="AB104">
        <f>IF(AA104=C104,1,0)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$AE$12+D105*$AE$13+E105*$AE$14+F105*$AE$15+G105*$AE$16+H105*$AE$17+I105*$AE$18+J105*$AE$19+K105*$AE$20+L105*$AE$21+M105*$AE$22+N105*$AE$23+O105*$AE$24+P105*$AE$25+Q105*$AE$26+R105*$AE$27+S105*$AE$28+T105*$AE$29+U105*$AE$30</f>
        <v/>
      </c>
      <c r="W105" s="8">
        <f>1/(1+EXP(-V105))</f>
        <v/>
      </c>
      <c r="X105" s="9">
        <f>-IF(C105=1,LN(W105),LN(1-W105))</f>
        <v/>
      </c>
      <c r="Y105" s="8">
        <f>'1 prepared data'!V98</f>
        <v/>
      </c>
      <c r="Z105" s="9">
        <f>Y105*X105</f>
        <v/>
      </c>
      <c r="AA105" s="10">
        <f>IF(W105&gt;$AE$33,1,0)</f>
        <v/>
      </c>
      <c r="AB105">
        <f>IF(AA105=C105,1,0)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$AE$12+D106*$AE$13+E106*$AE$14+F106*$AE$15+G106*$AE$16+H106*$AE$17+I106*$AE$18+J106*$AE$19+K106*$AE$20+L106*$AE$21+M106*$AE$22+N106*$AE$23+O106*$AE$24+P106*$AE$25+Q106*$AE$26+R106*$AE$27+S106*$AE$28+T106*$AE$29+U106*$AE$30</f>
        <v/>
      </c>
      <c r="W106" s="8">
        <f>1/(1+EXP(-V106))</f>
        <v/>
      </c>
      <c r="X106" s="9">
        <f>-IF(C106=1,LN(W106),LN(1-W106))</f>
        <v/>
      </c>
      <c r="Y106" s="8">
        <f>'1 prepared data'!V99</f>
        <v/>
      </c>
      <c r="Z106" s="9">
        <f>Y106*X106</f>
        <v/>
      </c>
      <c r="AA106" s="10">
        <f>IF(W106&gt;$AE$33,1,0)</f>
        <v/>
      </c>
      <c r="AB106">
        <f>IF(AA106=C106,1,0)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$AE$12+D107*$AE$13+E107*$AE$14+F107*$AE$15+G107*$AE$16+H107*$AE$17+I107*$AE$18+J107*$AE$19+K107*$AE$20+L107*$AE$21+M107*$AE$22+N107*$AE$23+O107*$AE$24+P107*$AE$25+Q107*$AE$26+R107*$AE$27+S107*$AE$28+T107*$AE$29+U107*$AE$30</f>
        <v/>
      </c>
      <c r="W107" s="8">
        <f>1/(1+EXP(-V107))</f>
        <v/>
      </c>
      <c r="X107" s="9">
        <f>-IF(C107=1,LN(W107),LN(1-W107))</f>
        <v/>
      </c>
      <c r="Y107" s="8">
        <f>'1 prepared data'!V100</f>
        <v/>
      </c>
      <c r="Z107" s="9">
        <f>Y107*X107</f>
        <v/>
      </c>
      <c r="AA107" s="10">
        <f>IF(W107&gt;$AE$33,1,0)</f>
        <v/>
      </c>
      <c r="AB107">
        <f>IF(AA107=C107,1,0)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$AE$12+D108*$AE$13+E108*$AE$14+F108*$AE$15+G108*$AE$16+H108*$AE$17+I108*$AE$18+J108*$AE$19+K108*$AE$20+L108*$AE$21+M108*$AE$22+N108*$AE$23+O108*$AE$24+P108*$AE$25+Q108*$AE$26+R108*$AE$27+S108*$AE$28+T108*$AE$29+U108*$AE$30</f>
        <v/>
      </c>
      <c r="W108" s="8">
        <f>1/(1+EXP(-V108))</f>
        <v/>
      </c>
      <c r="X108" s="9">
        <f>-IF(C108=1,LN(W108),LN(1-W108))</f>
        <v/>
      </c>
      <c r="Y108" s="8">
        <f>'1 prepared data'!V101</f>
        <v/>
      </c>
      <c r="Z108" s="9">
        <f>Y108*X108</f>
        <v/>
      </c>
      <c r="AA108" s="10">
        <f>IF(W108&gt;$AE$33,1,0)</f>
        <v/>
      </c>
      <c r="AB108">
        <f>IF(AA108=C108,1,0)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$AE$12+D109*$AE$13+E109*$AE$14+F109*$AE$15+G109*$AE$16+H109*$AE$17+I109*$AE$18+J109*$AE$19+K109*$AE$20+L109*$AE$21+M109*$AE$22+N109*$AE$23+O109*$AE$24+P109*$AE$25+Q109*$AE$26+R109*$AE$27+S109*$AE$28+T109*$AE$29+U109*$AE$30</f>
        <v/>
      </c>
      <c r="W109" s="8">
        <f>1/(1+EXP(-V109))</f>
        <v/>
      </c>
      <c r="X109" s="9">
        <f>-IF(C109=1,LN(W109),LN(1-W109))</f>
        <v/>
      </c>
      <c r="Y109" s="8">
        <f>'1 prepared data'!V102</f>
        <v/>
      </c>
      <c r="Z109" s="9">
        <f>Y109*X109</f>
        <v/>
      </c>
      <c r="AA109" s="10">
        <f>IF(W109&gt;$AE$33,1,0)</f>
        <v/>
      </c>
      <c r="AB109">
        <f>IF(AA109=C109,1,0)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$AE$12+D110*$AE$13+E110*$AE$14+F110*$AE$15+G110*$AE$16+H110*$AE$17+I110*$AE$18+J110*$AE$19+K110*$AE$20+L110*$AE$21+M110*$AE$22+N110*$AE$23+O110*$AE$24+P110*$AE$25+Q110*$AE$26+R110*$AE$27+S110*$AE$28+T110*$AE$29+U110*$AE$30</f>
        <v/>
      </c>
      <c r="W110" s="8">
        <f>1/(1+EXP(-V110))</f>
        <v/>
      </c>
      <c r="X110" s="9">
        <f>-IF(C110=1,LN(W110),LN(1-W110))</f>
        <v/>
      </c>
      <c r="Y110" s="8">
        <f>'1 prepared data'!V103</f>
        <v/>
      </c>
      <c r="Z110" s="9">
        <f>Y110*X110</f>
        <v/>
      </c>
      <c r="AA110" s="10">
        <f>IF(W110&gt;$AE$33,1,0)</f>
        <v/>
      </c>
      <c r="AB110">
        <f>IF(AA110=C110,1,0)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$AE$12+D111*$AE$13+E111*$AE$14+F111*$AE$15+G111*$AE$16+H111*$AE$17+I111*$AE$18+J111*$AE$19+K111*$AE$20+L111*$AE$21+M111*$AE$22+N111*$AE$23+O111*$AE$24+P111*$AE$25+Q111*$AE$26+R111*$AE$27+S111*$AE$28+T111*$AE$29+U111*$AE$30</f>
        <v/>
      </c>
      <c r="W111" s="8">
        <f>1/(1+EXP(-V111))</f>
        <v/>
      </c>
      <c r="X111" s="9">
        <f>-IF(C111=1,LN(W111),LN(1-W111))</f>
        <v/>
      </c>
      <c r="Y111" s="8">
        <f>'1 prepared data'!V104</f>
        <v/>
      </c>
      <c r="Z111" s="9">
        <f>Y111*X111</f>
        <v/>
      </c>
      <c r="AA111" s="10">
        <f>IF(W111&gt;$AE$33,1,0)</f>
        <v/>
      </c>
      <c r="AB111">
        <f>IF(AA111=C111,1,0)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$AE$12+D112*$AE$13+E112*$AE$14+F112*$AE$15+G112*$AE$16+H112*$AE$17+I112*$AE$18+J112*$AE$19+K112*$AE$20+L112*$AE$21+M112*$AE$22+N112*$AE$23+O112*$AE$24+P112*$AE$25+Q112*$AE$26+R112*$AE$27+S112*$AE$28+T112*$AE$29+U112*$AE$30</f>
        <v/>
      </c>
      <c r="W112" s="8">
        <f>1/(1+EXP(-V112))</f>
        <v/>
      </c>
      <c r="X112" s="9">
        <f>-IF(C112=1,LN(W112),LN(1-W112))</f>
        <v/>
      </c>
      <c r="Y112" s="8">
        <f>'1 prepared data'!V105</f>
        <v/>
      </c>
      <c r="Z112" s="9">
        <f>Y112*X112</f>
        <v/>
      </c>
      <c r="AA112" s="10">
        <f>IF(W112&gt;$AE$33,1,0)</f>
        <v/>
      </c>
      <c r="AB112">
        <f>IF(AA112=C112,1,0)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$AE$12+D113*$AE$13+E113*$AE$14+F113*$AE$15+G113*$AE$16+H113*$AE$17+I113*$AE$18+J113*$AE$19+K113*$AE$20+L113*$AE$21+M113*$AE$22+N113*$AE$23+O113*$AE$24+P113*$AE$25+Q113*$AE$26+R113*$AE$27+S113*$AE$28+T113*$AE$29+U113*$AE$30</f>
        <v/>
      </c>
      <c r="W113" s="8">
        <f>1/(1+EXP(-V113))</f>
        <v/>
      </c>
      <c r="X113" s="9">
        <f>-IF(C113=1,LN(W113),LN(1-W113))</f>
        <v/>
      </c>
      <c r="Y113" s="8">
        <f>'1 prepared data'!V106</f>
        <v/>
      </c>
      <c r="Z113" s="9">
        <f>Y113*X113</f>
        <v/>
      </c>
      <c r="AA113" s="10">
        <f>IF(W113&gt;$AE$33,1,0)</f>
        <v/>
      </c>
      <c r="AB113">
        <f>IF(AA113=C113,1,0)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$AE$12+D114*$AE$13+E114*$AE$14+F114*$AE$15+G114*$AE$16+H114*$AE$17+I114*$AE$18+J114*$AE$19+K114*$AE$20+L114*$AE$21+M114*$AE$22+N114*$AE$23+O114*$AE$24+P114*$AE$25+Q114*$AE$26+R114*$AE$27+S114*$AE$28+T114*$AE$29+U114*$AE$30</f>
        <v/>
      </c>
      <c r="W114" s="8">
        <f>1/(1+EXP(-V114))</f>
        <v/>
      </c>
      <c r="X114" s="9">
        <f>-IF(C114=1,LN(W114),LN(1-W114))</f>
        <v/>
      </c>
      <c r="Y114" s="8">
        <f>'1 prepared data'!V107</f>
        <v/>
      </c>
      <c r="Z114" s="9">
        <f>Y114*X114</f>
        <v/>
      </c>
      <c r="AA114" s="10">
        <f>IF(W114&gt;$AE$33,1,0)</f>
        <v/>
      </c>
      <c r="AB114">
        <f>IF(AA114=C114,1,0)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$AE$12+D115*$AE$13+E115*$AE$14+F115*$AE$15+G115*$AE$16+H115*$AE$17+I115*$AE$18+J115*$AE$19+K115*$AE$20+L115*$AE$21+M115*$AE$22+N115*$AE$23+O115*$AE$24+P115*$AE$25+Q115*$AE$26+R115*$AE$27+S115*$AE$28+T115*$AE$29+U115*$AE$30</f>
        <v/>
      </c>
      <c r="W115" s="8">
        <f>1/(1+EXP(-V115))</f>
        <v/>
      </c>
      <c r="X115" s="9">
        <f>-IF(C115=1,LN(W115),LN(1-W115))</f>
        <v/>
      </c>
      <c r="Y115" s="8">
        <f>'1 prepared data'!V108</f>
        <v/>
      </c>
      <c r="Z115" s="9">
        <f>Y115*X115</f>
        <v/>
      </c>
      <c r="AA115" s="10">
        <f>IF(W115&gt;$AE$33,1,0)</f>
        <v/>
      </c>
      <c r="AB115">
        <f>IF(AA115=C115,1,0)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$AE$12+D116*$AE$13+E116*$AE$14+F116*$AE$15+G116*$AE$16+H116*$AE$17+I116*$AE$18+J116*$AE$19+K116*$AE$20+L116*$AE$21+M116*$AE$22+N116*$AE$23+O116*$AE$24+P116*$AE$25+Q116*$AE$26+R116*$AE$27+S116*$AE$28+T116*$AE$29+U116*$AE$30</f>
        <v/>
      </c>
      <c r="W116" s="8">
        <f>1/(1+EXP(-V116))</f>
        <v/>
      </c>
      <c r="X116" s="9">
        <f>-IF(C116=1,LN(W116),LN(1-W116))</f>
        <v/>
      </c>
      <c r="Y116" s="8">
        <f>'1 prepared data'!V109</f>
        <v/>
      </c>
      <c r="Z116" s="9">
        <f>Y116*X116</f>
        <v/>
      </c>
      <c r="AA116" s="10">
        <f>IF(W116&gt;$AE$33,1,0)</f>
        <v/>
      </c>
      <c r="AB116">
        <f>IF(AA116=C116,1,0)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$AE$12+D117*$AE$13+E117*$AE$14+F117*$AE$15+G117*$AE$16+H117*$AE$17+I117*$AE$18+J117*$AE$19+K117*$AE$20+L117*$AE$21+M117*$AE$22+N117*$AE$23+O117*$AE$24+P117*$AE$25+Q117*$AE$26+R117*$AE$27+S117*$AE$28+T117*$AE$29+U117*$AE$30</f>
        <v/>
      </c>
      <c r="W117" s="8">
        <f>1/(1+EXP(-V117))</f>
        <v/>
      </c>
      <c r="X117" s="9">
        <f>-IF(C117=1,LN(W117),LN(1-W117))</f>
        <v/>
      </c>
      <c r="Y117" s="8">
        <f>'1 prepared data'!V110</f>
        <v/>
      </c>
      <c r="Z117" s="9">
        <f>Y117*X117</f>
        <v/>
      </c>
      <c r="AA117" s="10">
        <f>IF(W117&gt;$AE$33,1,0)</f>
        <v/>
      </c>
      <c r="AB117">
        <f>IF(AA117=C117,1,0)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$AE$12+D118*$AE$13+E118*$AE$14+F118*$AE$15+G118*$AE$16+H118*$AE$17+I118*$AE$18+J118*$AE$19+K118*$AE$20+L118*$AE$21+M118*$AE$22+N118*$AE$23+O118*$AE$24+P118*$AE$25+Q118*$AE$26+R118*$AE$27+S118*$AE$28+T118*$AE$29+U118*$AE$30</f>
        <v/>
      </c>
      <c r="W118" s="8">
        <f>1/(1+EXP(-V118))</f>
        <v/>
      </c>
      <c r="X118" s="9">
        <f>-IF(C118=1,LN(W118),LN(1-W118))</f>
        <v/>
      </c>
      <c r="Y118" s="8">
        <f>'1 prepared data'!V111</f>
        <v/>
      </c>
      <c r="Z118" s="9">
        <f>Y118*X118</f>
        <v/>
      </c>
      <c r="AA118" s="10">
        <f>IF(W118&gt;$AE$33,1,0)</f>
        <v/>
      </c>
      <c r="AB118">
        <f>IF(AA118=C118,1,0)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$AE$12+D119*$AE$13+E119*$AE$14+F119*$AE$15+G119*$AE$16+H119*$AE$17+I119*$AE$18+J119*$AE$19+K119*$AE$20+L119*$AE$21+M119*$AE$22+N119*$AE$23+O119*$AE$24+P119*$AE$25+Q119*$AE$26+R119*$AE$27+S119*$AE$28+T119*$AE$29+U119*$AE$30</f>
        <v/>
      </c>
      <c r="W119" s="8">
        <f>1/(1+EXP(-V119))</f>
        <v/>
      </c>
      <c r="X119" s="9">
        <f>-IF(C119=1,LN(W119),LN(1-W119))</f>
        <v/>
      </c>
      <c r="Y119" s="8">
        <f>'1 prepared data'!V112</f>
        <v/>
      </c>
      <c r="Z119" s="9">
        <f>Y119*X119</f>
        <v/>
      </c>
      <c r="AA119" s="10">
        <f>IF(W119&gt;$AE$33,1,0)</f>
        <v/>
      </c>
      <c r="AB119">
        <f>IF(AA119=C119,1,0)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$AE$12+D120*$AE$13+E120*$AE$14+F120*$AE$15+G120*$AE$16+H120*$AE$17+I120*$AE$18+J120*$AE$19+K120*$AE$20+L120*$AE$21+M120*$AE$22+N120*$AE$23+O120*$AE$24+P120*$AE$25+Q120*$AE$26+R120*$AE$27+S120*$AE$28+T120*$AE$29+U120*$AE$30</f>
        <v/>
      </c>
      <c r="W120" s="8">
        <f>1/(1+EXP(-V120))</f>
        <v/>
      </c>
      <c r="X120" s="9">
        <f>-IF(C120=1,LN(W120),LN(1-W120))</f>
        <v/>
      </c>
      <c r="Y120" s="8">
        <f>'1 prepared data'!V113</f>
        <v/>
      </c>
      <c r="Z120" s="9">
        <f>Y120*X120</f>
        <v/>
      </c>
      <c r="AA120" s="10">
        <f>IF(W120&gt;$AE$33,1,0)</f>
        <v/>
      </c>
      <c r="AB120">
        <f>IF(AA120=C120,1,0)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$AE$12+D121*$AE$13+E121*$AE$14+F121*$AE$15+G121*$AE$16+H121*$AE$17+I121*$AE$18+J121*$AE$19+K121*$AE$20+L121*$AE$21+M121*$AE$22+N121*$AE$23+O121*$AE$24+P121*$AE$25+Q121*$AE$26+R121*$AE$27+S121*$AE$28+T121*$AE$29+U121*$AE$30</f>
        <v/>
      </c>
      <c r="W121" s="8">
        <f>1/(1+EXP(-V121))</f>
        <v/>
      </c>
      <c r="X121" s="9">
        <f>-IF(C121=1,LN(W121),LN(1-W121))</f>
        <v/>
      </c>
      <c r="Y121" s="8">
        <f>'1 prepared data'!V114</f>
        <v/>
      </c>
      <c r="Z121" s="9">
        <f>Y121*X121</f>
        <v/>
      </c>
      <c r="AA121" s="10">
        <f>IF(W121&gt;$AE$33,1,0)</f>
        <v/>
      </c>
      <c r="AB121">
        <f>IF(AA121=C121,1,0)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$AE$12+D122*$AE$13+E122*$AE$14+F122*$AE$15+G122*$AE$16+H122*$AE$17+I122*$AE$18+J122*$AE$19+K122*$AE$20+L122*$AE$21+M122*$AE$22+N122*$AE$23+O122*$AE$24+P122*$AE$25+Q122*$AE$26+R122*$AE$27+S122*$AE$28+T122*$AE$29+U122*$AE$30</f>
        <v/>
      </c>
      <c r="W122" s="8">
        <f>1/(1+EXP(-V122))</f>
        <v/>
      </c>
      <c r="X122" s="9">
        <f>-IF(C122=1,LN(W122),LN(1-W122))</f>
        <v/>
      </c>
      <c r="Y122" s="8">
        <f>'1 prepared data'!V115</f>
        <v/>
      </c>
      <c r="Z122" s="9">
        <f>Y122*X122</f>
        <v/>
      </c>
      <c r="AA122" s="10">
        <f>IF(W122&gt;$AE$33,1,0)</f>
        <v/>
      </c>
      <c r="AB122">
        <f>IF(AA122=C122,1,0)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$AE$12+D123*$AE$13+E123*$AE$14+F123*$AE$15+G123*$AE$16+H123*$AE$17+I123*$AE$18+J123*$AE$19+K123*$AE$20+L123*$AE$21+M123*$AE$22+N123*$AE$23+O123*$AE$24+P123*$AE$25+Q123*$AE$26+R123*$AE$27+S123*$AE$28+T123*$AE$29+U123*$AE$30</f>
        <v/>
      </c>
      <c r="W123" s="8">
        <f>1/(1+EXP(-V123))</f>
        <v/>
      </c>
      <c r="X123" s="9">
        <f>-IF(C123=1,LN(W123),LN(1-W123))</f>
        <v/>
      </c>
      <c r="Y123" s="8">
        <f>'1 prepared data'!V116</f>
        <v/>
      </c>
      <c r="Z123" s="9">
        <f>Y123*X123</f>
        <v/>
      </c>
      <c r="AA123" s="10">
        <f>IF(W123&gt;$AE$33,1,0)</f>
        <v/>
      </c>
      <c r="AB123">
        <f>IF(AA123=C123,1,0)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$AE$12+D124*$AE$13+E124*$AE$14+F124*$AE$15+G124*$AE$16+H124*$AE$17+I124*$AE$18+J124*$AE$19+K124*$AE$20+L124*$AE$21+M124*$AE$22+N124*$AE$23+O124*$AE$24+P124*$AE$25+Q124*$AE$26+R124*$AE$27+S124*$AE$28+T124*$AE$29+U124*$AE$30</f>
        <v/>
      </c>
      <c r="W124" s="8">
        <f>1/(1+EXP(-V124))</f>
        <v/>
      </c>
      <c r="X124" s="9">
        <f>-IF(C124=1,LN(W124),LN(1-W124))</f>
        <v/>
      </c>
      <c r="Y124" s="8">
        <f>'1 prepared data'!V117</f>
        <v/>
      </c>
      <c r="Z124" s="9">
        <f>Y124*X124</f>
        <v/>
      </c>
      <c r="AA124" s="10">
        <f>IF(W124&gt;$AE$33,1,0)</f>
        <v/>
      </c>
      <c r="AB124">
        <f>IF(AA124=C124,1,0)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$AE$12+D125*$AE$13+E125*$AE$14+F125*$AE$15+G125*$AE$16+H125*$AE$17+I125*$AE$18+J125*$AE$19+K125*$AE$20+L125*$AE$21+M125*$AE$22+N125*$AE$23+O125*$AE$24+P125*$AE$25+Q125*$AE$26+R125*$AE$27+S125*$AE$28+T125*$AE$29+U125*$AE$30</f>
        <v/>
      </c>
      <c r="W125" s="8">
        <f>1/(1+EXP(-V125))</f>
        <v/>
      </c>
      <c r="X125" s="9">
        <f>-IF(C125=1,LN(W125),LN(1-W125))</f>
        <v/>
      </c>
      <c r="Y125" s="8">
        <f>'1 prepared data'!V118</f>
        <v/>
      </c>
      <c r="Z125" s="9">
        <f>Y125*X125</f>
        <v/>
      </c>
      <c r="AA125" s="10">
        <f>IF(W125&gt;$AE$33,1,0)</f>
        <v/>
      </c>
      <c r="AB125">
        <f>IF(AA125=C125,1,0)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$AE$12+D126*$AE$13+E126*$AE$14+F126*$AE$15+G126*$AE$16+H126*$AE$17+I126*$AE$18+J126*$AE$19+K126*$AE$20+L126*$AE$21+M126*$AE$22+N126*$AE$23+O126*$AE$24+P126*$AE$25+Q126*$AE$26+R126*$AE$27+S126*$AE$28+T126*$AE$29+U126*$AE$30</f>
        <v/>
      </c>
      <c r="W126" s="8">
        <f>1/(1+EXP(-V126))</f>
        <v/>
      </c>
      <c r="X126" s="9">
        <f>-IF(C126=1,LN(W126),LN(1-W126))</f>
        <v/>
      </c>
      <c r="Y126" s="8">
        <f>'1 prepared data'!V119</f>
        <v/>
      </c>
      <c r="Z126" s="9">
        <f>Y126*X126</f>
        <v/>
      </c>
      <c r="AA126" s="10">
        <f>IF(W126&gt;$AE$33,1,0)</f>
        <v/>
      </c>
      <c r="AB126">
        <f>IF(AA126=C126,1,0)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$AE$12+D127*$AE$13+E127*$AE$14+F127*$AE$15+G127*$AE$16+H127*$AE$17+I127*$AE$18+J127*$AE$19+K127*$AE$20+L127*$AE$21+M127*$AE$22+N127*$AE$23+O127*$AE$24+P127*$AE$25+Q127*$AE$26+R127*$AE$27+S127*$AE$28+T127*$AE$29+U127*$AE$30</f>
        <v/>
      </c>
      <c r="W127" s="8">
        <f>1/(1+EXP(-V127))</f>
        <v/>
      </c>
      <c r="X127" s="9">
        <f>-IF(C127=1,LN(W127),LN(1-W127))</f>
        <v/>
      </c>
      <c r="Y127" s="8">
        <f>'1 prepared data'!V120</f>
        <v/>
      </c>
      <c r="Z127" s="9">
        <f>Y127*X127</f>
        <v/>
      </c>
      <c r="AA127" s="10">
        <f>IF(W127&gt;$AE$33,1,0)</f>
        <v/>
      </c>
      <c r="AB127">
        <f>IF(AA127=C127,1,0)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$AE$12+D128*$AE$13+E128*$AE$14+F128*$AE$15+G128*$AE$16+H128*$AE$17+I128*$AE$18+J128*$AE$19+K128*$AE$20+L128*$AE$21+M128*$AE$22+N128*$AE$23+O128*$AE$24+P128*$AE$25+Q128*$AE$26+R128*$AE$27+S128*$AE$28+T128*$AE$29+U128*$AE$30</f>
        <v/>
      </c>
      <c r="W128" s="8">
        <f>1/(1+EXP(-V128))</f>
        <v/>
      </c>
      <c r="X128" s="9">
        <f>-IF(C128=1,LN(W128),LN(1-W128))</f>
        <v/>
      </c>
      <c r="Y128" s="8">
        <f>'1 prepared data'!V121</f>
        <v/>
      </c>
      <c r="Z128" s="9">
        <f>Y128*X128</f>
        <v/>
      </c>
      <c r="AA128" s="10">
        <f>IF(W128&gt;$AE$33,1,0)</f>
        <v/>
      </c>
      <c r="AB128">
        <f>IF(AA128=C128,1,0)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$AE$12+D129*$AE$13+E129*$AE$14+F129*$AE$15+G129*$AE$16+H129*$AE$17+I129*$AE$18+J129*$AE$19+K129*$AE$20+L129*$AE$21+M129*$AE$22+N129*$AE$23+O129*$AE$24+P129*$AE$25+Q129*$AE$26+R129*$AE$27+S129*$AE$28+T129*$AE$29+U129*$AE$30</f>
        <v/>
      </c>
      <c r="W129" s="8">
        <f>1/(1+EXP(-V129))</f>
        <v/>
      </c>
      <c r="X129" s="9">
        <f>-IF(C129=1,LN(W129),LN(1-W129))</f>
        <v/>
      </c>
      <c r="Y129" s="8">
        <f>'1 prepared data'!V122</f>
        <v/>
      </c>
      <c r="Z129" s="9">
        <f>Y129*X129</f>
        <v/>
      </c>
      <c r="AA129" s="10">
        <f>IF(W129&gt;$AE$33,1,0)</f>
        <v/>
      </c>
      <c r="AB129">
        <f>IF(AA129=C129,1,0)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$AE$12+D130*$AE$13+E130*$AE$14+F130*$AE$15+G130*$AE$16+H130*$AE$17+I130*$AE$18+J130*$AE$19+K130*$AE$20+L130*$AE$21+M130*$AE$22+N130*$AE$23+O130*$AE$24+P130*$AE$25+Q130*$AE$26+R130*$AE$27+S130*$AE$28+T130*$AE$29+U130*$AE$30</f>
        <v/>
      </c>
      <c r="W130" s="8">
        <f>1/(1+EXP(-V130))</f>
        <v/>
      </c>
      <c r="X130" s="9">
        <f>-IF(C130=1,LN(W130),LN(1-W130))</f>
        <v/>
      </c>
      <c r="Y130" s="8">
        <f>'1 prepared data'!V123</f>
        <v/>
      </c>
      <c r="Z130" s="9">
        <f>Y130*X130</f>
        <v/>
      </c>
      <c r="AA130" s="10">
        <f>IF(W130&gt;$AE$33,1,0)</f>
        <v/>
      </c>
      <c r="AB130">
        <f>IF(AA130=C130,1,0)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$AE$12+D131*$AE$13+E131*$AE$14+F131*$AE$15+G131*$AE$16+H131*$AE$17+I131*$AE$18+J131*$AE$19+K131*$AE$20+L131*$AE$21+M131*$AE$22+N131*$AE$23+O131*$AE$24+P131*$AE$25+Q131*$AE$26+R131*$AE$27+S131*$AE$28+T131*$AE$29+U131*$AE$30</f>
        <v/>
      </c>
      <c r="W131" s="8">
        <f>1/(1+EXP(-V131))</f>
        <v/>
      </c>
      <c r="X131" s="9">
        <f>-IF(C131=1,LN(W131),LN(1-W131))</f>
        <v/>
      </c>
      <c r="Y131" s="8">
        <f>'1 prepared data'!V124</f>
        <v/>
      </c>
      <c r="Z131" s="9">
        <f>Y131*X131</f>
        <v/>
      </c>
      <c r="AA131" s="10">
        <f>IF(W131&gt;$AE$33,1,0)</f>
        <v/>
      </c>
      <c r="AB131">
        <f>IF(AA131=C131,1,0)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$AE$12+D132*$AE$13+E132*$AE$14+F132*$AE$15+G132*$AE$16+H132*$AE$17+I132*$AE$18+J132*$AE$19+K132*$AE$20+L132*$AE$21+M132*$AE$22+N132*$AE$23+O132*$AE$24+P132*$AE$25+Q132*$AE$26+R132*$AE$27+S132*$AE$28+T132*$AE$29+U132*$AE$30</f>
        <v/>
      </c>
      <c r="W132" s="8">
        <f>1/(1+EXP(-V132))</f>
        <v/>
      </c>
      <c r="X132" s="9">
        <f>-IF(C132=1,LN(W132),LN(1-W132))</f>
        <v/>
      </c>
      <c r="Y132" s="8">
        <f>'1 prepared data'!V125</f>
        <v/>
      </c>
      <c r="Z132" s="9">
        <f>Y132*X132</f>
        <v/>
      </c>
      <c r="AA132" s="10">
        <f>IF(W132&gt;$AE$33,1,0)</f>
        <v/>
      </c>
      <c r="AB132">
        <f>IF(AA132=C132,1,0)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$AE$12+D133*$AE$13+E133*$AE$14+F133*$AE$15+G133*$AE$16+H133*$AE$17+I133*$AE$18+J133*$AE$19+K133*$AE$20+L133*$AE$21+M133*$AE$22+N133*$AE$23+O133*$AE$24+P133*$AE$25+Q133*$AE$26+R133*$AE$27+S133*$AE$28+T133*$AE$29+U133*$AE$30</f>
        <v/>
      </c>
      <c r="W133" s="8">
        <f>1/(1+EXP(-V133))</f>
        <v/>
      </c>
      <c r="X133" s="9">
        <f>-IF(C133=1,LN(W133),LN(1-W133))</f>
        <v/>
      </c>
      <c r="Y133" s="8">
        <f>'1 prepared data'!V126</f>
        <v/>
      </c>
      <c r="Z133" s="9">
        <f>Y133*X133</f>
        <v/>
      </c>
      <c r="AA133" s="10">
        <f>IF(W133&gt;$AE$33,1,0)</f>
        <v/>
      </c>
      <c r="AB133">
        <f>IF(AA133=C133,1,0)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$AE$12+D134*$AE$13+E134*$AE$14+F134*$AE$15+G134*$AE$16+H134*$AE$17+I134*$AE$18+J134*$AE$19+K134*$AE$20+L134*$AE$21+M134*$AE$22+N134*$AE$23+O134*$AE$24+P134*$AE$25+Q134*$AE$26+R134*$AE$27+S134*$AE$28+T134*$AE$29+U134*$AE$30</f>
        <v/>
      </c>
      <c r="W134" s="8">
        <f>1/(1+EXP(-V134))</f>
        <v/>
      </c>
      <c r="X134" s="9">
        <f>-IF(C134=1,LN(W134),LN(1-W134))</f>
        <v/>
      </c>
      <c r="Y134" s="8">
        <f>'1 prepared data'!V127</f>
        <v/>
      </c>
      <c r="Z134" s="9">
        <f>Y134*X134</f>
        <v/>
      </c>
      <c r="AA134" s="10">
        <f>IF(W134&gt;$AE$33,1,0)</f>
        <v/>
      </c>
      <c r="AB134">
        <f>IF(AA134=C134,1,0)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$AE$12+D135*$AE$13+E135*$AE$14+F135*$AE$15+G135*$AE$16+H135*$AE$17+I135*$AE$18+J135*$AE$19+K135*$AE$20+L135*$AE$21+M135*$AE$22+N135*$AE$23+O135*$AE$24+P135*$AE$25+Q135*$AE$26+R135*$AE$27+S135*$AE$28+T135*$AE$29+U135*$AE$30</f>
        <v/>
      </c>
      <c r="W135" s="8">
        <f>1/(1+EXP(-V135))</f>
        <v/>
      </c>
      <c r="X135" s="9">
        <f>-IF(C135=1,LN(W135),LN(1-W135))</f>
        <v/>
      </c>
      <c r="Y135" s="8">
        <f>'1 prepared data'!V128</f>
        <v/>
      </c>
      <c r="Z135" s="9">
        <f>Y135*X135</f>
        <v/>
      </c>
      <c r="AA135" s="10">
        <f>IF(W135&gt;$AE$33,1,0)</f>
        <v/>
      </c>
      <c r="AB135">
        <f>IF(AA135=C135,1,0)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$AE$12+D136*$AE$13+E136*$AE$14+F136*$AE$15+G136*$AE$16+H136*$AE$17+I136*$AE$18+J136*$AE$19+K136*$AE$20+L136*$AE$21+M136*$AE$22+N136*$AE$23+O136*$AE$24+P136*$AE$25+Q136*$AE$26+R136*$AE$27+S136*$AE$28+T136*$AE$29+U136*$AE$30</f>
        <v/>
      </c>
      <c r="W136" s="8">
        <f>1/(1+EXP(-V136))</f>
        <v/>
      </c>
      <c r="X136" s="9">
        <f>-IF(C136=1,LN(W136),LN(1-W136))</f>
        <v/>
      </c>
      <c r="Y136" s="8">
        <f>'1 prepared data'!V129</f>
        <v/>
      </c>
      <c r="Z136" s="9">
        <f>Y136*X136</f>
        <v/>
      </c>
      <c r="AA136" s="10">
        <f>IF(W136&gt;$AE$33,1,0)</f>
        <v/>
      </c>
      <c r="AB136">
        <f>IF(AA136=C136,1,0)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$AE$12+D137*$AE$13+E137*$AE$14+F137*$AE$15+G137*$AE$16+H137*$AE$17+I137*$AE$18+J137*$AE$19+K137*$AE$20+L137*$AE$21+M137*$AE$22+N137*$AE$23+O137*$AE$24+P137*$AE$25+Q137*$AE$26+R137*$AE$27+S137*$AE$28+T137*$AE$29+U137*$AE$30</f>
        <v/>
      </c>
      <c r="W137" s="8">
        <f>1/(1+EXP(-V137))</f>
        <v/>
      </c>
      <c r="X137" s="9">
        <f>-IF(C137=1,LN(W137),LN(1-W137))</f>
        <v/>
      </c>
      <c r="Y137" s="8">
        <f>'1 prepared data'!V130</f>
        <v/>
      </c>
      <c r="Z137" s="9">
        <f>Y137*X137</f>
        <v/>
      </c>
      <c r="AA137" s="10">
        <f>IF(W137&gt;$AE$33,1,0)</f>
        <v/>
      </c>
      <c r="AB137">
        <f>IF(AA137=C137,1,0)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$AE$12+D138*$AE$13+E138*$AE$14+F138*$AE$15+G138*$AE$16+H138*$AE$17+I138*$AE$18+J138*$AE$19+K138*$AE$20+L138*$AE$21+M138*$AE$22+N138*$AE$23+O138*$AE$24+P138*$AE$25+Q138*$AE$26+R138*$AE$27+S138*$AE$28+T138*$AE$29+U138*$AE$30</f>
        <v/>
      </c>
      <c r="W138" s="8">
        <f>1/(1+EXP(-V138))</f>
        <v/>
      </c>
      <c r="X138" s="9">
        <f>-IF(C138=1,LN(W138),LN(1-W138))</f>
        <v/>
      </c>
      <c r="Y138" s="8">
        <f>'1 prepared data'!V131</f>
        <v/>
      </c>
      <c r="Z138" s="9">
        <f>Y138*X138</f>
        <v/>
      </c>
      <c r="AA138" s="10">
        <f>IF(W138&gt;$AE$33,1,0)</f>
        <v/>
      </c>
      <c r="AB138">
        <f>IF(AA138=C138,1,0)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$AE$12+D139*$AE$13+E139*$AE$14+F139*$AE$15+G139*$AE$16+H139*$AE$17+I139*$AE$18+J139*$AE$19+K139*$AE$20+L139*$AE$21+M139*$AE$22+N139*$AE$23+O139*$AE$24+P139*$AE$25+Q139*$AE$26+R139*$AE$27+S139*$AE$28+T139*$AE$29+U139*$AE$30</f>
        <v/>
      </c>
      <c r="W139" s="8">
        <f>1/(1+EXP(-V139))</f>
        <v/>
      </c>
      <c r="X139" s="9">
        <f>-IF(C139=1,LN(W139),LN(1-W139))</f>
        <v/>
      </c>
      <c r="Y139" s="8">
        <f>'1 prepared data'!V132</f>
        <v/>
      </c>
      <c r="Z139" s="9">
        <f>Y139*X139</f>
        <v/>
      </c>
      <c r="AA139" s="10">
        <f>IF(W139&gt;$AE$33,1,0)</f>
        <v/>
      </c>
      <c r="AB139">
        <f>IF(AA139=C139,1,0)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$AE$12+D140*$AE$13+E140*$AE$14+F140*$AE$15+G140*$AE$16+H140*$AE$17+I140*$AE$18+J140*$AE$19+K140*$AE$20+L140*$AE$21+M140*$AE$22+N140*$AE$23+O140*$AE$24+P140*$AE$25+Q140*$AE$26+R140*$AE$27+S140*$AE$28+T140*$AE$29+U140*$AE$30</f>
        <v/>
      </c>
      <c r="W140" s="8">
        <f>1/(1+EXP(-V140))</f>
        <v/>
      </c>
      <c r="X140" s="9">
        <f>-IF(C140=1,LN(W140),LN(1-W140))</f>
        <v/>
      </c>
      <c r="Y140" s="8">
        <f>'1 prepared data'!V133</f>
        <v/>
      </c>
      <c r="Z140" s="9">
        <f>Y140*X140</f>
        <v/>
      </c>
      <c r="AA140" s="10">
        <f>IF(W140&gt;$AE$33,1,0)</f>
        <v/>
      </c>
      <c r="AB140">
        <f>IF(AA140=C140,1,0)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$AE$12+D141*$AE$13+E141*$AE$14+F141*$AE$15+G141*$AE$16+H141*$AE$17+I141*$AE$18+J141*$AE$19+K141*$AE$20+L141*$AE$21+M141*$AE$22+N141*$AE$23+O141*$AE$24+P141*$AE$25+Q141*$AE$26+R141*$AE$27+S141*$AE$28+T141*$AE$29+U141*$AE$30</f>
        <v/>
      </c>
      <c r="W141" s="8">
        <f>1/(1+EXP(-V141))</f>
        <v/>
      </c>
      <c r="X141" s="9">
        <f>-IF(C141=1,LN(W141),LN(1-W141))</f>
        <v/>
      </c>
      <c r="Y141" s="8">
        <f>'1 prepared data'!V134</f>
        <v/>
      </c>
      <c r="Z141" s="9">
        <f>Y141*X141</f>
        <v/>
      </c>
      <c r="AA141" s="10">
        <f>IF(W141&gt;$AE$33,1,0)</f>
        <v/>
      </c>
      <c r="AB141">
        <f>IF(AA141=C141,1,0)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$AE$12+D142*$AE$13+E142*$AE$14+F142*$AE$15+G142*$AE$16+H142*$AE$17+I142*$AE$18+J142*$AE$19+K142*$AE$20+L142*$AE$21+M142*$AE$22+N142*$AE$23+O142*$AE$24+P142*$AE$25+Q142*$AE$26+R142*$AE$27+S142*$AE$28+T142*$AE$29+U142*$AE$30</f>
        <v/>
      </c>
      <c r="W142" s="8">
        <f>1/(1+EXP(-V142))</f>
        <v/>
      </c>
      <c r="X142" s="9">
        <f>-IF(C142=1,LN(W142),LN(1-W142))</f>
        <v/>
      </c>
      <c r="Y142" s="8">
        <f>'1 prepared data'!V135</f>
        <v/>
      </c>
      <c r="Z142" s="9">
        <f>Y142*X142</f>
        <v/>
      </c>
      <c r="AA142" s="10">
        <f>IF(W142&gt;$AE$33,1,0)</f>
        <v/>
      </c>
      <c r="AB142">
        <f>IF(AA142=C142,1,0)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$AE$12+D143*$AE$13+E143*$AE$14+F143*$AE$15+G143*$AE$16+H143*$AE$17+I143*$AE$18+J143*$AE$19+K143*$AE$20+L143*$AE$21+M143*$AE$22+N143*$AE$23+O143*$AE$24+P143*$AE$25+Q143*$AE$26+R143*$AE$27+S143*$AE$28+T143*$AE$29+U143*$AE$30</f>
        <v/>
      </c>
      <c r="W143" s="8">
        <f>1/(1+EXP(-V143))</f>
        <v/>
      </c>
      <c r="X143" s="9">
        <f>-IF(C143=1,LN(W143),LN(1-W143))</f>
        <v/>
      </c>
      <c r="Y143" s="8">
        <f>'1 prepared data'!V136</f>
        <v/>
      </c>
      <c r="Z143" s="9">
        <f>Y143*X143</f>
        <v/>
      </c>
      <c r="AA143" s="10">
        <f>IF(W143&gt;$AE$33,1,0)</f>
        <v/>
      </c>
      <c r="AB143">
        <f>IF(AA143=C143,1,0)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$AE$12+D144*$AE$13+E144*$AE$14+F144*$AE$15+G144*$AE$16+H144*$AE$17+I144*$AE$18+J144*$AE$19+K144*$AE$20+L144*$AE$21+M144*$AE$22+N144*$AE$23+O144*$AE$24+P144*$AE$25+Q144*$AE$26+R144*$AE$27+S144*$AE$28+T144*$AE$29+U144*$AE$30</f>
        <v/>
      </c>
      <c r="W144" s="8">
        <f>1/(1+EXP(-V144))</f>
        <v/>
      </c>
      <c r="X144" s="9">
        <f>-IF(C144=1,LN(W144),LN(1-W144))</f>
        <v/>
      </c>
      <c r="Y144" s="8">
        <f>'1 prepared data'!V137</f>
        <v/>
      </c>
      <c r="Z144" s="9">
        <f>Y144*X144</f>
        <v/>
      </c>
      <c r="AA144" s="10">
        <f>IF(W144&gt;$AE$33,1,0)</f>
        <v/>
      </c>
      <c r="AB144">
        <f>IF(AA144=C144,1,0)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$AE$12+D145*$AE$13+E145*$AE$14+F145*$AE$15+G145*$AE$16+H145*$AE$17+I145*$AE$18+J145*$AE$19+K145*$AE$20+L145*$AE$21+M145*$AE$22+N145*$AE$23+O145*$AE$24+P145*$AE$25+Q145*$AE$26+R145*$AE$27+S145*$AE$28+T145*$AE$29+U145*$AE$30</f>
        <v/>
      </c>
      <c r="W145" s="8">
        <f>1/(1+EXP(-V145))</f>
        <v/>
      </c>
      <c r="X145" s="9">
        <f>-IF(C145=1,LN(W145),LN(1-W145))</f>
        <v/>
      </c>
      <c r="Y145" s="8">
        <f>'1 prepared data'!V138</f>
        <v/>
      </c>
      <c r="Z145" s="9">
        <f>Y145*X145</f>
        <v/>
      </c>
      <c r="AA145" s="10">
        <f>IF(W145&gt;$AE$33,1,0)</f>
        <v/>
      </c>
      <c r="AB145">
        <f>IF(AA145=C145,1,0)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$AE$12+D146*$AE$13+E146*$AE$14+F146*$AE$15+G146*$AE$16+H146*$AE$17+I146*$AE$18+J146*$AE$19+K146*$AE$20+L146*$AE$21+M146*$AE$22+N146*$AE$23+O146*$AE$24+P146*$AE$25+Q146*$AE$26+R146*$AE$27+S146*$AE$28+T146*$AE$29+U146*$AE$30</f>
        <v/>
      </c>
      <c r="W146" s="8">
        <f>1/(1+EXP(-V146))</f>
        <v/>
      </c>
      <c r="X146" s="9">
        <f>-IF(C146=1,LN(W146),LN(1-W146))</f>
        <v/>
      </c>
      <c r="Y146" s="8">
        <f>'1 prepared data'!V139</f>
        <v/>
      </c>
      <c r="Z146" s="9">
        <f>Y146*X146</f>
        <v/>
      </c>
      <c r="AA146" s="10">
        <f>IF(W146&gt;$AE$33,1,0)</f>
        <v/>
      </c>
      <c r="AB146">
        <f>IF(AA146=C146,1,0)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$AE$12+D147*$AE$13+E147*$AE$14+F147*$AE$15+G147*$AE$16+H147*$AE$17+I147*$AE$18+J147*$AE$19+K147*$AE$20+L147*$AE$21+M147*$AE$22+N147*$AE$23+O147*$AE$24+P147*$AE$25+Q147*$AE$26+R147*$AE$27+S147*$AE$28+T147*$AE$29+U147*$AE$30</f>
        <v/>
      </c>
      <c r="W147" s="8">
        <f>1/(1+EXP(-V147))</f>
        <v/>
      </c>
      <c r="X147" s="9">
        <f>-IF(C147=1,LN(W147),LN(1-W147))</f>
        <v/>
      </c>
      <c r="Y147" s="8">
        <f>'1 prepared data'!V140</f>
        <v/>
      </c>
      <c r="Z147" s="9">
        <f>Y147*X147</f>
        <v/>
      </c>
      <c r="AA147" s="10">
        <f>IF(W147&gt;$AE$33,1,0)</f>
        <v/>
      </c>
      <c r="AB147">
        <f>IF(AA147=C147,1,0)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$AE$12+D148*$AE$13+E148*$AE$14+F148*$AE$15+G148*$AE$16+H148*$AE$17+I148*$AE$18+J148*$AE$19+K148*$AE$20+L148*$AE$21+M148*$AE$22+N148*$AE$23+O148*$AE$24+P148*$AE$25+Q148*$AE$26+R148*$AE$27+S148*$AE$28+T148*$AE$29+U148*$AE$30</f>
        <v/>
      </c>
      <c r="W148" s="8">
        <f>1/(1+EXP(-V148))</f>
        <v/>
      </c>
      <c r="X148" s="9">
        <f>-IF(C148=1,LN(W148),LN(1-W148))</f>
        <v/>
      </c>
      <c r="Y148" s="8">
        <f>'1 prepared data'!V141</f>
        <v/>
      </c>
      <c r="Z148" s="9">
        <f>Y148*X148</f>
        <v/>
      </c>
      <c r="AA148" s="10">
        <f>IF(W148&gt;$AE$33,1,0)</f>
        <v/>
      </c>
      <c r="AB148">
        <f>IF(AA148=C148,1,0)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$AE$12+D149*$AE$13+E149*$AE$14+F149*$AE$15+G149*$AE$16+H149*$AE$17+I149*$AE$18+J149*$AE$19+K149*$AE$20+L149*$AE$21+M149*$AE$22+N149*$AE$23+O149*$AE$24+P149*$AE$25+Q149*$AE$26+R149*$AE$27+S149*$AE$28+T149*$AE$29+U149*$AE$30</f>
        <v/>
      </c>
      <c r="W149" s="8">
        <f>1/(1+EXP(-V149))</f>
        <v/>
      </c>
      <c r="X149" s="9">
        <f>-IF(C149=1,LN(W149),LN(1-W149))</f>
        <v/>
      </c>
      <c r="Y149" s="8">
        <f>'1 prepared data'!V142</f>
        <v/>
      </c>
      <c r="Z149" s="9">
        <f>Y149*X149</f>
        <v/>
      </c>
      <c r="AA149" s="10">
        <f>IF(W149&gt;$AE$33,1,0)</f>
        <v/>
      </c>
      <c r="AB149">
        <f>IF(AA149=C149,1,0)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$AE$12+D150*$AE$13+E150*$AE$14+F150*$AE$15+G150*$AE$16+H150*$AE$17+I150*$AE$18+J150*$AE$19+K150*$AE$20+L150*$AE$21+M150*$AE$22+N150*$AE$23+O150*$AE$24+P150*$AE$25+Q150*$AE$26+R150*$AE$27+S150*$AE$28+T150*$AE$29+U150*$AE$30</f>
        <v/>
      </c>
      <c r="W150" s="8">
        <f>1/(1+EXP(-V150))</f>
        <v/>
      </c>
      <c r="X150" s="9">
        <f>-IF(C150=1,LN(W150),LN(1-W150))</f>
        <v/>
      </c>
      <c r="Y150" s="8">
        <f>'1 prepared data'!V143</f>
        <v/>
      </c>
      <c r="Z150" s="9">
        <f>Y150*X150</f>
        <v/>
      </c>
      <c r="AA150" s="10">
        <f>IF(W150&gt;$AE$33,1,0)</f>
        <v/>
      </c>
      <c r="AB150">
        <f>IF(AA150=C150,1,0)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$AE$12+D151*$AE$13+E151*$AE$14+F151*$AE$15+G151*$AE$16+H151*$AE$17+I151*$AE$18+J151*$AE$19+K151*$AE$20+L151*$AE$21+M151*$AE$22+N151*$AE$23+O151*$AE$24+P151*$AE$25+Q151*$AE$26+R151*$AE$27+S151*$AE$28+T151*$AE$29+U151*$AE$30</f>
        <v/>
      </c>
      <c r="W151" s="8">
        <f>1/(1+EXP(-V151))</f>
        <v/>
      </c>
      <c r="X151" s="9">
        <f>-IF(C151=1,LN(W151),LN(1-W151))</f>
        <v/>
      </c>
      <c r="Y151" s="8">
        <f>'1 prepared data'!V144</f>
        <v/>
      </c>
      <c r="Z151" s="9">
        <f>Y151*X151</f>
        <v/>
      </c>
      <c r="AA151" s="10">
        <f>IF(W151&gt;$AE$33,1,0)</f>
        <v/>
      </c>
      <c r="AB151">
        <f>IF(AA151=C151,1,0)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$AE$12+D152*$AE$13+E152*$AE$14+F152*$AE$15+G152*$AE$16+H152*$AE$17+I152*$AE$18+J152*$AE$19+K152*$AE$20+L152*$AE$21+M152*$AE$22+N152*$AE$23+O152*$AE$24+P152*$AE$25+Q152*$AE$26+R152*$AE$27+S152*$AE$28+T152*$AE$29+U152*$AE$30</f>
        <v/>
      </c>
      <c r="W152" s="8">
        <f>1/(1+EXP(-V152))</f>
        <v/>
      </c>
      <c r="X152" s="9">
        <f>-IF(C152=1,LN(W152),LN(1-W152))</f>
        <v/>
      </c>
      <c r="Y152" s="8">
        <f>'1 prepared data'!V145</f>
        <v/>
      </c>
      <c r="Z152" s="9">
        <f>Y152*X152</f>
        <v/>
      </c>
      <c r="AA152" s="10">
        <f>IF(W152&gt;$AE$33,1,0)</f>
        <v/>
      </c>
      <c r="AB152">
        <f>IF(AA152=C152,1,0)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$AE$12+D153*$AE$13+E153*$AE$14+F153*$AE$15+G153*$AE$16+H153*$AE$17+I153*$AE$18+J153*$AE$19+K153*$AE$20+L153*$AE$21+M153*$AE$22+N153*$AE$23+O153*$AE$24+P153*$AE$25+Q153*$AE$26+R153*$AE$27+S153*$AE$28+T153*$AE$29+U153*$AE$30</f>
        <v/>
      </c>
      <c r="W153" s="8">
        <f>1/(1+EXP(-V153))</f>
        <v/>
      </c>
      <c r="X153" s="9">
        <f>-IF(C153=1,LN(W153),LN(1-W153))</f>
        <v/>
      </c>
      <c r="Y153" s="8">
        <f>'1 prepared data'!V146</f>
        <v/>
      </c>
      <c r="Z153" s="9">
        <f>Y153*X153</f>
        <v/>
      </c>
      <c r="AA153" s="10">
        <f>IF(W153&gt;$AE$33,1,0)</f>
        <v/>
      </c>
      <c r="AB153">
        <f>IF(AA153=C153,1,0)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$AE$12+D154*$AE$13+E154*$AE$14+F154*$AE$15+G154*$AE$16+H154*$AE$17+I154*$AE$18+J154*$AE$19+K154*$AE$20+L154*$AE$21+M154*$AE$22+N154*$AE$23+O154*$AE$24+P154*$AE$25+Q154*$AE$26+R154*$AE$27+S154*$AE$28+T154*$AE$29+U154*$AE$30</f>
        <v/>
      </c>
      <c r="W154" s="8">
        <f>1/(1+EXP(-V154))</f>
        <v/>
      </c>
      <c r="X154" s="9">
        <f>-IF(C154=1,LN(W154),LN(1-W154))</f>
        <v/>
      </c>
      <c r="Y154" s="8">
        <f>'1 prepared data'!V147</f>
        <v/>
      </c>
      <c r="Z154" s="9">
        <f>Y154*X154</f>
        <v/>
      </c>
      <c r="AA154" s="10">
        <f>IF(W154&gt;$AE$33,1,0)</f>
        <v/>
      </c>
      <c r="AB154">
        <f>IF(AA154=C154,1,0)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$AE$12+D155*$AE$13+E155*$AE$14+F155*$AE$15+G155*$AE$16+H155*$AE$17+I155*$AE$18+J155*$AE$19+K155*$AE$20+L155*$AE$21+M155*$AE$22+N155*$AE$23+O155*$AE$24+P155*$AE$25+Q155*$AE$26+R155*$AE$27+S155*$AE$28+T155*$AE$29+U155*$AE$30</f>
        <v/>
      </c>
      <c r="W155" s="8">
        <f>1/(1+EXP(-V155))</f>
        <v/>
      </c>
      <c r="X155" s="9">
        <f>-IF(C155=1,LN(W155),LN(1-W155))</f>
        <v/>
      </c>
      <c r="Y155" s="8">
        <f>'1 prepared data'!V148</f>
        <v/>
      </c>
      <c r="Z155" s="9">
        <f>Y155*X155</f>
        <v/>
      </c>
      <c r="AA155" s="10">
        <f>IF(W155&gt;$AE$33,1,0)</f>
        <v/>
      </c>
      <c r="AB155">
        <f>IF(AA155=C155,1,0)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$AE$12+D156*$AE$13+E156*$AE$14+F156*$AE$15+G156*$AE$16+H156*$AE$17+I156*$AE$18+J156*$AE$19+K156*$AE$20+L156*$AE$21+M156*$AE$22+N156*$AE$23+O156*$AE$24+P156*$AE$25+Q156*$AE$26+R156*$AE$27+S156*$AE$28+T156*$AE$29+U156*$AE$30</f>
        <v/>
      </c>
      <c r="W156" s="8">
        <f>1/(1+EXP(-V156))</f>
        <v/>
      </c>
      <c r="X156" s="9">
        <f>-IF(C156=1,LN(W156),LN(1-W156))</f>
        <v/>
      </c>
      <c r="Y156" s="8">
        <f>'1 prepared data'!V149</f>
        <v/>
      </c>
      <c r="Z156" s="9">
        <f>Y156*X156</f>
        <v/>
      </c>
      <c r="AA156" s="10">
        <f>IF(W156&gt;$AE$33,1,0)</f>
        <v/>
      </c>
      <c r="AB156">
        <f>IF(AA156=C156,1,0)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$AE$12+D157*$AE$13+E157*$AE$14+F157*$AE$15+G157*$AE$16+H157*$AE$17+I157*$AE$18+J157*$AE$19+K157*$AE$20+L157*$AE$21+M157*$AE$22+N157*$AE$23+O157*$AE$24+P157*$AE$25+Q157*$AE$26+R157*$AE$27+S157*$AE$28+T157*$AE$29+U157*$AE$30</f>
        <v/>
      </c>
      <c r="W157" s="8">
        <f>1/(1+EXP(-V157))</f>
        <v/>
      </c>
      <c r="X157" s="9">
        <f>-IF(C157=1,LN(W157),LN(1-W157))</f>
        <v/>
      </c>
      <c r="Y157" s="8">
        <f>'1 prepared data'!V150</f>
        <v/>
      </c>
      <c r="Z157" s="9">
        <f>Y157*X157</f>
        <v/>
      </c>
      <c r="AA157" s="10">
        <f>IF(W157&gt;$AE$33,1,0)</f>
        <v/>
      </c>
      <c r="AB157">
        <f>IF(AA157=C157,1,0)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$AE$12+D158*$AE$13+E158*$AE$14+F158*$AE$15+G158*$AE$16+H158*$AE$17+I158*$AE$18+J158*$AE$19+K158*$AE$20+L158*$AE$21+M158*$AE$22+N158*$AE$23+O158*$AE$24+P158*$AE$25+Q158*$AE$26+R158*$AE$27+S158*$AE$28+T158*$AE$29+U158*$AE$30</f>
        <v/>
      </c>
      <c r="W158" s="8">
        <f>1/(1+EXP(-V158))</f>
        <v/>
      </c>
      <c r="X158" s="9">
        <f>-IF(C158=1,LN(W158),LN(1-W158))</f>
        <v/>
      </c>
      <c r="Y158" s="8">
        <f>'1 prepared data'!V151</f>
        <v/>
      </c>
      <c r="Z158" s="9">
        <f>Y158*X158</f>
        <v/>
      </c>
      <c r="AA158" s="10">
        <f>IF(W158&gt;$AE$33,1,0)</f>
        <v/>
      </c>
      <c r="AB158">
        <f>IF(AA158=C158,1,0)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$AE$12+D159*$AE$13+E159*$AE$14+F159*$AE$15+G159*$AE$16+H159*$AE$17+I159*$AE$18+J159*$AE$19+K159*$AE$20+L159*$AE$21+M159*$AE$22+N159*$AE$23+O159*$AE$24+P159*$AE$25+Q159*$AE$26+R159*$AE$27+S159*$AE$28+T159*$AE$29+U159*$AE$30</f>
        <v/>
      </c>
      <c r="W159" s="8">
        <f>1/(1+EXP(-V159))</f>
        <v/>
      </c>
      <c r="X159" s="9">
        <f>-IF(C159=1,LN(W159),LN(1-W159))</f>
        <v/>
      </c>
      <c r="Y159" s="8">
        <f>'1 prepared data'!V152</f>
        <v/>
      </c>
      <c r="Z159" s="9">
        <f>Y159*X159</f>
        <v/>
      </c>
      <c r="AA159" s="10">
        <f>IF(W159&gt;$AE$33,1,0)</f>
        <v/>
      </c>
      <c r="AB159">
        <f>IF(AA159=C159,1,0)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$AE$12+D160*$AE$13+E160*$AE$14+F160*$AE$15+G160*$AE$16+H160*$AE$17+I160*$AE$18+J160*$AE$19+K160*$AE$20+L160*$AE$21+M160*$AE$22+N160*$AE$23+O160*$AE$24+P160*$AE$25+Q160*$AE$26+R160*$AE$27+S160*$AE$28+T160*$AE$29+U160*$AE$30</f>
        <v/>
      </c>
      <c r="W160" s="8">
        <f>1/(1+EXP(-V160))</f>
        <v/>
      </c>
      <c r="X160" s="9">
        <f>-IF(C160=1,LN(W160),LN(1-W160))</f>
        <v/>
      </c>
      <c r="Y160" s="8">
        <f>'1 prepared data'!V153</f>
        <v/>
      </c>
      <c r="Z160" s="9">
        <f>Y160*X160</f>
        <v/>
      </c>
      <c r="AA160" s="10">
        <f>IF(W160&gt;$AE$33,1,0)</f>
        <v/>
      </c>
      <c r="AB160">
        <f>IF(AA160=C160,1,0)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$AE$12+D161*$AE$13+E161*$AE$14+F161*$AE$15+G161*$AE$16+H161*$AE$17+I161*$AE$18+J161*$AE$19+K161*$AE$20+L161*$AE$21+M161*$AE$22+N161*$AE$23+O161*$AE$24+P161*$AE$25+Q161*$AE$26+R161*$AE$27+S161*$AE$28+T161*$AE$29+U161*$AE$30</f>
        <v/>
      </c>
      <c r="W161" s="8">
        <f>1/(1+EXP(-V161))</f>
        <v/>
      </c>
      <c r="X161" s="9">
        <f>-IF(C161=1,LN(W161),LN(1-W161))</f>
        <v/>
      </c>
      <c r="Y161" s="8">
        <f>'1 prepared data'!V154</f>
        <v/>
      </c>
      <c r="Z161" s="9">
        <f>Y161*X161</f>
        <v/>
      </c>
      <c r="AA161" s="10">
        <f>IF(W161&gt;$AE$33,1,0)</f>
        <v/>
      </c>
      <c r="AB161">
        <f>IF(AA161=C161,1,0)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$AE$12+D162*$AE$13+E162*$AE$14+F162*$AE$15+G162*$AE$16+H162*$AE$17+I162*$AE$18+J162*$AE$19+K162*$AE$20+L162*$AE$21+M162*$AE$22+N162*$AE$23+O162*$AE$24+P162*$AE$25+Q162*$AE$26+R162*$AE$27+S162*$AE$28+T162*$AE$29+U162*$AE$30</f>
        <v/>
      </c>
      <c r="W162" s="8">
        <f>1/(1+EXP(-V162))</f>
        <v/>
      </c>
      <c r="X162" s="9">
        <f>-IF(C162=1,LN(W162),LN(1-W162))</f>
        <v/>
      </c>
      <c r="Y162" s="8">
        <f>'1 prepared data'!V155</f>
        <v/>
      </c>
      <c r="Z162" s="9">
        <f>Y162*X162</f>
        <v/>
      </c>
      <c r="AA162" s="10">
        <f>IF(W162&gt;$AE$33,1,0)</f>
        <v/>
      </c>
      <c r="AB162">
        <f>IF(AA162=C162,1,0)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$AE$12+D163*$AE$13+E163*$AE$14+F163*$AE$15+G163*$AE$16+H163*$AE$17+I163*$AE$18+J163*$AE$19+K163*$AE$20+L163*$AE$21+M163*$AE$22+N163*$AE$23+O163*$AE$24+P163*$AE$25+Q163*$AE$26+R163*$AE$27+S163*$AE$28+T163*$AE$29+U163*$AE$30</f>
        <v/>
      </c>
      <c r="W163" s="8">
        <f>1/(1+EXP(-V163))</f>
        <v/>
      </c>
      <c r="X163" s="9">
        <f>-IF(C163=1,LN(W163),LN(1-W163))</f>
        <v/>
      </c>
      <c r="Y163" s="8">
        <f>'1 prepared data'!V156</f>
        <v/>
      </c>
      <c r="Z163" s="9">
        <f>Y163*X163</f>
        <v/>
      </c>
      <c r="AA163" s="10">
        <f>IF(W163&gt;$AE$33,1,0)</f>
        <v/>
      </c>
      <c r="AB163">
        <f>IF(AA163=C163,1,0)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$AE$12+D164*$AE$13+E164*$AE$14+F164*$AE$15+G164*$AE$16+H164*$AE$17+I164*$AE$18+J164*$AE$19+K164*$AE$20+L164*$AE$21+M164*$AE$22+N164*$AE$23+O164*$AE$24+P164*$AE$25+Q164*$AE$26+R164*$AE$27+S164*$AE$28+T164*$AE$29+U164*$AE$30</f>
        <v/>
      </c>
      <c r="W164" s="8">
        <f>1/(1+EXP(-V164))</f>
        <v/>
      </c>
      <c r="X164" s="9">
        <f>-IF(C164=1,LN(W164),LN(1-W164))</f>
        <v/>
      </c>
      <c r="Y164" s="8">
        <f>'1 prepared data'!V157</f>
        <v/>
      </c>
      <c r="Z164" s="9">
        <f>Y164*X164</f>
        <v/>
      </c>
      <c r="AA164" s="10">
        <f>IF(W164&gt;$AE$33,1,0)</f>
        <v/>
      </c>
      <c r="AB164">
        <f>IF(AA164=C164,1,0)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$AE$12+D165*$AE$13+E165*$AE$14+F165*$AE$15+G165*$AE$16+H165*$AE$17+I165*$AE$18+J165*$AE$19+K165*$AE$20+L165*$AE$21+M165*$AE$22+N165*$AE$23+O165*$AE$24+P165*$AE$25+Q165*$AE$26+R165*$AE$27+S165*$AE$28+T165*$AE$29+U165*$AE$30</f>
        <v/>
      </c>
      <c r="W165" s="8">
        <f>1/(1+EXP(-V165))</f>
        <v/>
      </c>
      <c r="X165" s="9">
        <f>-IF(C165=1,LN(W165),LN(1-W165))</f>
        <v/>
      </c>
      <c r="Y165" s="8">
        <f>'1 prepared data'!V158</f>
        <v/>
      </c>
      <c r="Z165" s="9">
        <f>Y165*X165</f>
        <v/>
      </c>
      <c r="AA165" s="10">
        <f>IF(W165&gt;$AE$33,1,0)</f>
        <v/>
      </c>
      <c r="AB165">
        <f>IF(AA165=C165,1,0)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$AE$12+D166*$AE$13+E166*$AE$14+F166*$AE$15+G166*$AE$16+H166*$AE$17+I166*$AE$18+J166*$AE$19+K166*$AE$20+L166*$AE$21+M166*$AE$22+N166*$AE$23+O166*$AE$24+P166*$AE$25+Q166*$AE$26+R166*$AE$27+S166*$AE$28+T166*$AE$29+U166*$AE$30</f>
        <v/>
      </c>
      <c r="W166" s="8">
        <f>1/(1+EXP(-V166))</f>
        <v/>
      </c>
      <c r="X166" s="9">
        <f>-IF(C166=1,LN(W166),LN(1-W166))</f>
        <v/>
      </c>
      <c r="Y166" s="8">
        <f>'1 prepared data'!V159</f>
        <v/>
      </c>
      <c r="Z166" s="9">
        <f>Y166*X166</f>
        <v/>
      </c>
      <c r="AA166" s="10">
        <f>IF(W166&gt;$AE$33,1,0)</f>
        <v/>
      </c>
      <c r="AB166">
        <f>IF(AA166=C166,1,0)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$AE$12+D167*$AE$13+E167*$AE$14+F167*$AE$15+G167*$AE$16+H167*$AE$17+I167*$AE$18+J167*$AE$19+K167*$AE$20+L167*$AE$21+M167*$AE$22+N167*$AE$23+O167*$AE$24+P167*$AE$25+Q167*$AE$26+R167*$AE$27+S167*$AE$28+T167*$AE$29+U167*$AE$30</f>
        <v/>
      </c>
      <c r="W167" s="8">
        <f>1/(1+EXP(-V167))</f>
        <v/>
      </c>
      <c r="X167" s="9">
        <f>-IF(C167=1,LN(W167),LN(1-W167))</f>
        <v/>
      </c>
      <c r="Y167" s="8">
        <f>'1 prepared data'!V160</f>
        <v/>
      </c>
      <c r="Z167" s="9">
        <f>Y167*X167</f>
        <v/>
      </c>
      <c r="AA167" s="10">
        <f>IF(W167&gt;$AE$33,1,0)</f>
        <v/>
      </c>
      <c r="AB167">
        <f>IF(AA167=C167,1,0)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$AE$12+D168*$AE$13+E168*$AE$14+F168*$AE$15+G168*$AE$16+H168*$AE$17+I168*$AE$18+J168*$AE$19+K168*$AE$20+L168*$AE$21+M168*$AE$22+N168*$AE$23+O168*$AE$24+P168*$AE$25+Q168*$AE$26+R168*$AE$27+S168*$AE$28+T168*$AE$29+U168*$AE$30</f>
        <v/>
      </c>
      <c r="W168" s="8">
        <f>1/(1+EXP(-V168))</f>
        <v/>
      </c>
      <c r="X168" s="9">
        <f>-IF(C168=1,LN(W168),LN(1-W168))</f>
        <v/>
      </c>
      <c r="Y168" s="8">
        <f>'1 prepared data'!V161</f>
        <v/>
      </c>
      <c r="Z168" s="9">
        <f>Y168*X168</f>
        <v/>
      </c>
      <c r="AA168" s="10">
        <f>IF(W168&gt;$AE$33,1,0)</f>
        <v/>
      </c>
      <c r="AB168">
        <f>IF(AA168=C168,1,0)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$AE$12+D169*$AE$13+E169*$AE$14+F169*$AE$15+G169*$AE$16+H169*$AE$17+I169*$AE$18+J169*$AE$19+K169*$AE$20+L169*$AE$21+M169*$AE$22+N169*$AE$23+O169*$AE$24+P169*$AE$25+Q169*$AE$26+R169*$AE$27+S169*$AE$28+T169*$AE$29+U169*$AE$30</f>
        <v/>
      </c>
      <c r="W169" s="8">
        <f>1/(1+EXP(-V169))</f>
        <v/>
      </c>
      <c r="X169" s="9">
        <f>-IF(C169=1,LN(W169),LN(1-W169))</f>
        <v/>
      </c>
      <c r="Y169" s="8">
        <f>'1 prepared data'!V162</f>
        <v/>
      </c>
      <c r="Z169" s="9">
        <f>Y169*X169</f>
        <v/>
      </c>
      <c r="AA169" s="10">
        <f>IF(W169&gt;$AE$33,1,0)</f>
        <v/>
      </c>
      <c r="AB169">
        <f>IF(AA169=C169,1,0)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$AE$12+D170*$AE$13+E170*$AE$14+F170*$AE$15+G170*$AE$16+H170*$AE$17+I170*$AE$18+J170*$AE$19+K170*$AE$20+L170*$AE$21+M170*$AE$22+N170*$AE$23+O170*$AE$24+P170*$AE$25+Q170*$AE$26+R170*$AE$27+S170*$AE$28+T170*$AE$29+U170*$AE$30</f>
        <v/>
      </c>
      <c r="W170" s="8">
        <f>1/(1+EXP(-V170))</f>
        <v/>
      </c>
      <c r="X170" s="9">
        <f>-IF(C170=1,LN(W170),LN(1-W170))</f>
        <v/>
      </c>
      <c r="Y170" s="8">
        <f>'1 prepared data'!V163</f>
        <v/>
      </c>
      <c r="Z170" s="9">
        <f>Y170*X170</f>
        <v/>
      </c>
      <c r="AA170" s="10">
        <f>IF(W170&gt;$AE$33,1,0)</f>
        <v/>
      </c>
      <c r="AB170">
        <f>IF(AA170=C170,1,0)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$AE$12+D171*$AE$13+E171*$AE$14+F171*$AE$15+G171*$AE$16+H171*$AE$17+I171*$AE$18+J171*$AE$19+K171*$AE$20+L171*$AE$21+M171*$AE$22+N171*$AE$23+O171*$AE$24+P171*$AE$25+Q171*$AE$26+R171*$AE$27+S171*$AE$28+T171*$AE$29+U171*$AE$30</f>
        <v/>
      </c>
      <c r="W171" s="8">
        <f>1/(1+EXP(-V171))</f>
        <v/>
      </c>
      <c r="X171" s="9">
        <f>-IF(C171=1,LN(W171),LN(1-W171))</f>
        <v/>
      </c>
      <c r="Y171" s="8">
        <f>'1 prepared data'!V164</f>
        <v/>
      </c>
      <c r="Z171" s="9">
        <f>Y171*X171</f>
        <v/>
      </c>
      <c r="AA171" s="10">
        <f>IF(W171&gt;$AE$33,1,0)</f>
        <v/>
      </c>
      <c r="AB171">
        <f>IF(AA171=C171,1,0)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$AE$12+D172*$AE$13+E172*$AE$14+F172*$AE$15+G172*$AE$16+H172*$AE$17+I172*$AE$18+J172*$AE$19+K172*$AE$20+L172*$AE$21+M172*$AE$22+N172*$AE$23+O172*$AE$24+P172*$AE$25+Q172*$AE$26+R172*$AE$27+S172*$AE$28+T172*$AE$29+U172*$AE$30</f>
        <v/>
      </c>
      <c r="W172" s="8">
        <f>1/(1+EXP(-V172))</f>
        <v/>
      </c>
      <c r="X172" s="9">
        <f>-IF(C172=1,LN(W172),LN(1-W172))</f>
        <v/>
      </c>
      <c r="Y172" s="8">
        <f>'1 prepared data'!V165</f>
        <v/>
      </c>
      <c r="Z172" s="9">
        <f>Y172*X172</f>
        <v/>
      </c>
      <c r="AA172" s="10">
        <f>IF(W172&gt;$AE$33,1,0)</f>
        <v/>
      </c>
      <c r="AB172">
        <f>IF(AA172=C172,1,0)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$AE$12+D173*$AE$13+E173*$AE$14+F173*$AE$15+G173*$AE$16+H173*$AE$17+I173*$AE$18+J173*$AE$19+K173*$AE$20+L173*$AE$21+M173*$AE$22+N173*$AE$23+O173*$AE$24+P173*$AE$25+Q173*$AE$26+R173*$AE$27+S173*$AE$28+T173*$AE$29+U173*$AE$30</f>
        <v/>
      </c>
      <c r="W173" s="8">
        <f>1/(1+EXP(-V173))</f>
        <v/>
      </c>
      <c r="X173" s="9">
        <f>-IF(C173=1,LN(W173),LN(1-W173))</f>
        <v/>
      </c>
      <c r="Y173" s="8">
        <f>'1 prepared data'!V166</f>
        <v/>
      </c>
      <c r="Z173" s="9">
        <f>Y173*X173</f>
        <v/>
      </c>
      <c r="AA173" s="10">
        <f>IF(W173&gt;$AE$33,1,0)</f>
        <v/>
      </c>
      <c r="AB173">
        <f>IF(AA173=C173,1,0)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$AE$12+D174*$AE$13+E174*$AE$14+F174*$AE$15+G174*$AE$16+H174*$AE$17+I174*$AE$18+J174*$AE$19+K174*$AE$20+L174*$AE$21+M174*$AE$22+N174*$AE$23+O174*$AE$24+P174*$AE$25+Q174*$AE$26+R174*$AE$27+S174*$AE$28+T174*$AE$29+U174*$AE$30</f>
        <v/>
      </c>
      <c r="W174" s="8">
        <f>1/(1+EXP(-V174))</f>
        <v/>
      </c>
      <c r="X174" s="9">
        <f>-IF(C174=1,LN(W174),LN(1-W174))</f>
        <v/>
      </c>
      <c r="Y174" s="8">
        <f>'1 prepared data'!V167</f>
        <v/>
      </c>
      <c r="Z174" s="9">
        <f>Y174*X174</f>
        <v/>
      </c>
      <c r="AA174" s="10">
        <f>IF(W174&gt;$AE$33,1,0)</f>
        <v/>
      </c>
      <c r="AB174">
        <f>IF(AA174=C174,1,0)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$AE$12+D175*$AE$13+E175*$AE$14+F175*$AE$15+G175*$AE$16+H175*$AE$17+I175*$AE$18+J175*$AE$19+K175*$AE$20+L175*$AE$21+M175*$AE$22+N175*$AE$23+O175*$AE$24+P175*$AE$25+Q175*$AE$26+R175*$AE$27+S175*$AE$28+T175*$AE$29+U175*$AE$30</f>
        <v/>
      </c>
      <c r="W175" s="8">
        <f>1/(1+EXP(-V175))</f>
        <v/>
      </c>
      <c r="X175" s="9">
        <f>-IF(C175=1,LN(W175),LN(1-W175))</f>
        <v/>
      </c>
      <c r="Y175" s="8">
        <f>'1 prepared data'!V168</f>
        <v/>
      </c>
      <c r="Z175" s="9">
        <f>Y175*X175</f>
        <v/>
      </c>
      <c r="AA175" s="10">
        <f>IF(W175&gt;$AE$33,1,0)</f>
        <v/>
      </c>
      <c r="AB175">
        <f>IF(AA175=C175,1,0)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$AE$12+D176*$AE$13+E176*$AE$14+F176*$AE$15+G176*$AE$16+H176*$AE$17+I176*$AE$18+J176*$AE$19+K176*$AE$20+L176*$AE$21+M176*$AE$22+N176*$AE$23+O176*$AE$24+P176*$AE$25+Q176*$AE$26+R176*$AE$27+S176*$AE$28+T176*$AE$29+U176*$AE$30</f>
        <v/>
      </c>
      <c r="W176" s="8">
        <f>1/(1+EXP(-V176))</f>
        <v/>
      </c>
      <c r="X176" s="9">
        <f>-IF(C176=1,LN(W176),LN(1-W176))</f>
        <v/>
      </c>
      <c r="Y176" s="8">
        <f>'1 prepared data'!V169</f>
        <v/>
      </c>
      <c r="Z176" s="9">
        <f>Y176*X176</f>
        <v/>
      </c>
      <c r="AA176" s="10">
        <f>IF(W176&gt;$AE$33,1,0)</f>
        <v/>
      </c>
      <c r="AB176">
        <f>IF(AA176=C176,1,0)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$AE$12+D177*$AE$13+E177*$AE$14+F177*$AE$15+G177*$AE$16+H177*$AE$17+I177*$AE$18+J177*$AE$19+K177*$AE$20+L177*$AE$21+M177*$AE$22+N177*$AE$23+O177*$AE$24+P177*$AE$25+Q177*$AE$26+R177*$AE$27+S177*$AE$28+T177*$AE$29+U177*$AE$30</f>
        <v/>
      </c>
      <c r="W177" s="8">
        <f>1/(1+EXP(-V177))</f>
        <v/>
      </c>
      <c r="X177" s="9">
        <f>-IF(C177=1,LN(W177),LN(1-W177))</f>
        <v/>
      </c>
      <c r="Y177" s="8">
        <f>'1 prepared data'!V170</f>
        <v/>
      </c>
      <c r="Z177" s="9">
        <f>Y177*X177</f>
        <v/>
      </c>
      <c r="AA177" s="10">
        <f>IF(W177&gt;$AE$33,1,0)</f>
        <v/>
      </c>
      <c r="AB177">
        <f>IF(AA177=C177,1,0)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$AE$12+D178*$AE$13+E178*$AE$14+F178*$AE$15+G178*$AE$16+H178*$AE$17+I178*$AE$18+J178*$AE$19+K178*$AE$20+L178*$AE$21+M178*$AE$22+N178*$AE$23+O178*$AE$24+P178*$AE$25+Q178*$AE$26+R178*$AE$27+S178*$AE$28+T178*$AE$29+U178*$AE$30</f>
        <v/>
      </c>
      <c r="W178" s="8">
        <f>1/(1+EXP(-V178))</f>
        <v/>
      </c>
      <c r="X178" s="9">
        <f>-IF(C178=1,LN(W178),LN(1-W178))</f>
        <v/>
      </c>
      <c r="Y178" s="8">
        <f>'1 prepared data'!V171</f>
        <v/>
      </c>
      <c r="Z178" s="9">
        <f>Y178*X178</f>
        <v/>
      </c>
      <c r="AA178" s="10">
        <f>IF(W178&gt;$AE$33,1,0)</f>
        <v/>
      </c>
      <c r="AB178">
        <f>IF(AA178=C178,1,0)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$AE$12+D179*$AE$13+E179*$AE$14+F179*$AE$15+G179*$AE$16+H179*$AE$17+I179*$AE$18+J179*$AE$19+K179*$AE$20+L179*$AE$21+M179*$AE$22+N179*$AE$23+O179*$AE$24+P179*$AE$25+Q179*$AE$26+R179*$AE$27+S179*$AE$28+T179*$AE$29+U179*$AE$30</f>
        <v/>
      </c>
      <c r="W179" s="8">
        <f>1/(1+EXP(-V179))</f>
        <v/>
      </c>
      <c r="X179" s="9">
        <f>-IF(C179=1,LN(W179),LN(1-W179))</f>
        <v/>
      </c>
      <c r="Y179" s="8">
        <f>'1 prepared data'!V172</f>
        <v/>
      </c>
      <c r="Z179" s="9">
        <f>Y179*X179</f>
        <v/>
      </c>
      <c r="AA179" s="10">
        <f>IF(W179&gt;$AE$33,1,0)</f>
        <v/>
      </c>
      <c r="AB179">
        <f>IF(AA179=C179,1,0)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$AE$12+D180*$AE$13+E180*$AE$14+F180*$AE$15+G180*$AE$16+H180*$AE$17+I180*$AE$18+J180*$AE$19+K180*$AE$20+L180*$AE$21+M180*$AE$22+N180*$AE$23+O180*$AE$24+P180*$AE$25+Q180*$AE$26+R180*$AE$27+S180*$AE$28+T180*$AE$29+U180*$AE$30</f>
        <v/>
      </c>
      <c r="W180" s="8">
        <f>1/(1+EXP(-V180))</f>
        <v/>
      </c>
      <c r="X180" s="9">
        <f>-IF(C180=1,LN(W180),LN(1-W180))</f>
        <v/>
      </c>
      <c r="Y180" s="8">
        <f>'1 prepared data'!V173</f>
        <v/>
      </c>
      <c r="Z180" s="9">
        <f>Y180*X180</f>
        <v/>
      </c>
      <c r="AA180" s="10">
        <f>IF(W180&gt;$AE$33,1,0)</f>
        <v/>
      </c>
      <c r="AB180">
        <f>IF(AA180=C180,1,0)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$AE$12+D181*$AE$13+E181*$AE$14+F181*$AE$15+G181*$AE$16+H181*$AE$17+I181*$AE$18+J181*$AE$19+K181*$AE$20+L181*$AE$21+M181*$AE$22+N181*$AE$23+O181*$AE$24+P181*$AE$25+Q181*$AE$26+R181*$AE$27+S181*$AE$28+T181*$AE$29+U181*$AE$30</f>
        <v/>
      </c>
      <c r="W181" s="8">
        <f>1/(1+EXP(-V181))</f>
        <v/>
      </c>
      <c r="X181" s="9">
        <f>-IF(C181=1,LN(W181),LN(1-W181))</f>
        <v/>
      </c>
      <c r="Y181" s="8">
        <f>'1 prepared data'!V174</f>
        <v/>
      </c>
      <c r="Z181" s="9">
        <f>Y181*X181</f>
        <v/>
      </c>
      <c r="AA181" s="10">
        <f>IF(W181&gt;$AE$33,1,0)</f>
        <v/>
      </c>
      <c r="AB181">
        <f>IF(AA181=C181,1,0)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$AE$12+D182*$AE$13+E182*$AE$14+F182*$AE$15+G182*$AE$16+H182*$AE$17+I182*$AE$18+J182*$AE$19+K182*$AE$20+L182*$AE$21+M182*$AE$22+N182*$AE$23+O182*$AE$24+P182*$AE$25+Q182*$AE$26+R182*$AE$27+S182*$AE$28+T182*$AE$29+U182*$AE$30</f>
        <v/>
      </c>
      <c r="W182" s="8">
        <f>1/(1+EXP(-V182))</f>
        <v/>
      </c>
      <c r="X182" s="9">
        <f>-IF(C182=1,LN(W182),LN(1-W182))</f>
        <v/>
      </c>
      <c r="Y182" s="8">
        <f>'1 prepared data'!V175</f>
        <v/>
      </c>
      <c r="Z182" s="9">
        <f>Y182*X182</f>
        <v/>
      </c>
      <c r="AA182" s="10">
        <f>IF(W182&gt;$AE$33,1,0)</f>
        <v/>
      </c>
      <c r="AB182">
        <f>IF(AA182=C182,1,0)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$AE$12+D183*$AE$13+E183*$AE$14+F183*$AE$15+G183*$AE$16+H183*$AE$17+I183*$AE$18+J183*$AE$19+K183*$AE$20+L183*$AE$21+M183*$AE$22+N183*$AE$23+O183*$AE$24+P183*$AE$25+Q183*$AE$26+R183*$AE$27+S183*$AE$28+T183*$AE$29+U183*$AE$30</f>
        <v/>
      </c>
      <c r="W183" s="8">
        <f>1/(1+EXP(-V183))</f>
        <v/>
      </c>
      <c r="X183" s="9">
        <f>-IF(C183=1,LN(W183),LN(1-W183))</f>
        <v/>
      </c>
      <c r="Y183" s="8">
        <f>'1 prepared data'!V176</f>
        <v/>
      </c>
      <c r="Z183" s="9">
        <f>Y183*X183</f>
        <v/>
      </c>
      <c r="AA183" s="10">
        <f>IF(W183&gt;$AE$33,1,0)</f>
        <v/>
      </c>
      <c r="AB183">
        <f>IF(AA183=C183,1,0)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$AE$12+D184*$AE$13+E184*$AE$14+F184*$AE$15+G184*$AE$16+H184*$AE$17+I184*$AE$18+J184*$AE$19+K184*$AE$20+L184*$AE$21+M184*$AE$22+N184*$AE$23+O184*$AE$24+P184*$AE$25+Q184*$AE$26+R184*$AE$27+S184*$AE$28+T184*$AE$29+U184*$AE$30</f>
        <v/>
      </c>
      <c r="W184" s="8">
        <f>1/(1+EXP(-V184))</f>
        <v/>
      </c>
      <c r="X184" s="9">
        <f>-IF(C184=1,LN(W184),LN(1-W184))</f>
        <v/>
      </c>
      <c r="Y184" s="8">
        <f>'1 prepared data'!V177</f>
        <v/>
      </c>
      <c r="Z184" s="9">
        <f>Y184*X184</f>
        <v/>
      </c>
      <c r="AA184" s="10">
        <f>IF(W184&gt;$AE$33,1,0)</f>
        <v/>
      </c>
      <c r="AB184">
        <f>IF(AA184=C184,1,0)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$AE$12+D185*$AE$13+E185*$AE$14+F185*$AE$15+G185*$AE$16+H185*$AE$17+I185*$AE$18+J185*$AE$19+K185*$AE$20+L185*$AE$21+M185*$AE$22+N185*$AE$23+O185*$AE$24+P185*$AE$25+Q185*$AE$26+R185*$AE$27+S185*$AE$28+T185*$AE$29+U185*$AE$30</f>
        <v/>
      </c>
      <c r="W185" s="8">
        <f>1/(1+EXP(-V185))</f>
        <v/>
      </c>
      <c r="X185" s="9">
        <f>-IF(C185=1,LN(W185),LN(1-W185))</f>
        <v/>
      </c>
      <c r="Y185" s="8">
        <f>'1 prepared data'!V178</f>
        <v/>
      </c>
      <c r="Z185" s="9">
        <f>Y185*X185</f>
        <v/>
      </c>
      <c r="AA185" s="10">
        <f>IF(W185&gt;$AE$33,1,0)</f>
        <v/>
      </c>
      <c r="AB185">
        <f>IF(AA185=C185,1,0)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$AE$12+D186*$AE$13+E186*$AE$14+F186*$AE$15+G186*$AE$16+H186*$AE$17+I186*$AE$18+J186*$AE$19+K186*$AE$20+L186*$AE$21+M186*$AE$22+N186*$AE$23+O186*$AE$24+P186*$AE$25+Q186*$AE$26+R186*$AE$27+S186*$AE$28+T186*$AE$29+U186*$AE$30</f>
        <v/>
      </c>
      <c r="W186" s="8">
        <f>1/(1+EXP(-V186))</f>
        <v/>
      </c>
      <c r="X186" s="9">
        <f>-IF(C186=1,LN(W186),LN(1-W186))</f>
        <v/>
      </c>
      <c r="Y186" s="8">
        <f>'1 prepared data'!V179</f>
        <v/>
      </c>
      <c r="Z186" s="9">
        <f>Y186*X186</f>
        <v/>
      </c>
      <c r="AA186" s="10">
        <f>IF(W186&gt;$AE$33,1,0)</f>
        <v/>
      </c>
      <c r="AB186">
        <f>IF(AA186=C186,1,0)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$AE$12+D187*$AE$13+E187*$AE$14+F187*$AE$15+G187*$AE$16+H187*$AE$17+I187*$AE$18+J187*$AE$19+K187*$AE$20+L187*$AE$21+M187*$AE$22+N187*$AE$23+O187*$AE$24+P187*$AE$25+Q187*$AE$26+R187*$AE$27+S187*$AE$28+T187*$AE$29+U187*$AE$30</f>
        <v/>
      </c>
      <c r="W187" s="8">
        <f>1/(1+EXP(-V187))</f>
        <v/>
      </c>
      <c r="X187" s="9">
        <f>-IF(C187=1,LN(W187),LN(1-W187))</f>
        <v/>
      </c>
      <c r="Y187" s="8">
        <f>'1 prepared data'!V180</f>
        <v/>
      </c>
      <c r="Z187" s="9">
        <f>Y187*X187</f>
        <v/>
      </c>
      <c r="AA187" s="10">
        <f>IF(W187&gt;$AE$33,1,0)</f>
        <v/>
      </c>
      <c r="AB187">
        <f>IF(AA187=C187,1,0)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$AE$12+D188*$AE$13+E188*$AE$14+F188*$AE$15+G188*$AE$16+H188*$AE$17+I188*$AE$18+J188*$AE$19+K188*$AE$20+L188*$AE$21+M188*$AE$22+N188*$AE$23+O188*$AE$24+P188*$AE$25+Q188*$AE$26+R188*$AE$27+S188*$AE$28+T188*$AE$29+U188*$AE$30</f>
        <v/>
      </c>
      <c r="W188" s="8">
        <f>1/(1+EXP(-V188))</f>
        <v/>
      </c>
      <c r="X188" s="9">
        <f>-IF(C188=1,LN(W188),LN(1-W188))</f>
        <v/>
      </c>
      <c r="Y188" s="8">
        <f>'1 prepared data'!V181</f>
        <v/>
      </c>
      <c r="Z188" s="9">
        <f>Y188*X188</f>
        <v/>
      </c>
      <c r="AA188" s="10">
        <f>IF(W188&gt;$AE$33,1,0)</f>
        <v/>
      </c>
      <c r="AB188">
        <f>IF(AA188=C188,1,0)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$AE$12+D189*$AE$13+E189*$AE$14+F189*$AE$15+G189*$AE$16+H189*$AE$17+I189*$AE$18+J189*$AE$19+K189*$AE$20+L189*$AE$21+M189*$AE$22+N189*$AE$23+O189*$AE$24+P189*$AE$25+Q189*$AE$26+R189*$AE$27+S189*$AE$28+T189*$AE$29+U189*$AE$30</f>
        <v/>
      </c>
      <c r="W189" s="8">
        <f>1/(1+EXP(-V189))</f>
        <v/>
      </c>
      <c r="X189" s="9">
        <f>-IF(C189=1,LN(W189),LN(1-W189))</f>
        <v/>
      </c>
      <c r="Y189" s="8">
        <f>'1 prepared data'!V182</f>
        <v/>
      </c>
      <c r="Z189" s="9">
        <f>Y189*X189</f>
        <v/>
      </c>
      <c r="AA189" s="10">
        <f>IF(W189&gt;$AE$33,1,0)</f>
        <v/>
      </c>
      <c r="AB189">
        <f>IF(AA189=C189,1,0)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$AE$12+D190*$AE$13+E190*$AE$14+F190*$AE$15+G190*$AE$16+H190*$AE$17+I190*$AE$18+J190*$AE$19+K190*$AE$20+L190*$AE$21+M190*$AE$22+N190*$AE$23+O190*$AE$24+P190*$AE$25+Q190*$AE$26+R190*$AE$27+S190*$AE$28+T190*$AE$29+U190*$AE$30</f>
        <v/>
      </c>
      <c r="W190" s="8">
        <f>1/(1+EXP(-V190))</f>
        <v/>
      </c>
      <c r="X190" s="9">
        <f>-IF(C190=1,LN(W190),LN(1-W190))</f>
        <v/>
      </c>
      <c r="Y190" s="8">
        <f>'1 prepared data'!V183</f>
        <v/>
      </c>
      <c r="Z190" s="9">
        <f>Y190*X190</f>
        <v/>
      </c>
      <c r="AA190" s="10">
        <f>IF(W190&gt;$AE$33,1,0)</f>
        <v/>
      </c>
      <c r="AB190">
        <f>IF(AA190=C190,1,0)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$AE$12+D191*$AE$13+E191*$AE$14+F191*$AE$15+G191*$AE$16+H191*$AE$17+I191*$AE$18+J191*$AE$19+K191*$AE$20+L191*$AE$21+M191*$AE$22+N191*$AE$23+O191*$AE$24+P191*$AE$25+Q191*$AE$26+R191*$AE$27+S191*$AE$28+T191*$AE$29+U191*$AE$30</f>
        <v/>
      </c>
      <c r="W191" s="8">
        <f>1/(1+EXP(-V191))</f>
        <v/>
      </c>
      <c r="X191" s="9">
        <f>-IF(C191=1,LN(W191),LN(1-W191))</f>
        <v/>
      </c>
      <c r="Y191" s="8">
        <f>'1 prepared data'!V184</f>
        <v/>
      </c>
      <c r="Z191" s="9">
        <f>Y191*X191</f>
        <v/>
      </c>
      <c r="AA191" s="10">
        <f>IF(W191&gt;$AE$33,1,0)</f>
        <v/>
      </c>
      <c r="AB191">
        <f>IF(AA191=C191,1,0)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$AE$12+D192*$AE$13+E192*$AE$14+F192*$AE$15+G192*$AE$16+H192*$AE$17+I192*$AE$18+J192*$AE$19+K192*$AE$20+L192*$AE$21+M192*$AE$22+N192*$AE$23+O192*$AE$24+P192*$AE$25+Q192*$AE$26+R192*$AE$27+S192*$AE$28+T192*$AE$29+U192*$AE$30</f>
        <v/>
      </c>
      <c r="W192" s="8">
        <f>1/(1+EXP(-V192))</f>
        <v/>
      </c>
      <c r="X192" s="9">
        <f>-IF(C192=1,LN(W192),LN(1-W192))</f>
        <v/>
      </c>
      <c r="Y192" s="8">
        <f>'1 prepared data'!V185</f>
        <v/>
      </c>
      <c r="Z192" s="9">
        <f>Y192*X192</f>
        <v/>
      </c>
      <c r="AA192" s="10">
        <f>IF(W192&gt;$AE$33,1,0)</f>
        <v/>
      </c>
      <c r="AB192">
        <f>IF(AA192=C192,1,0)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$AE$12+D193*$AE$13+E193*$AE$14+F193*$AE$15+G193*$AE$16+H193*$AE$17+I193*$AE$18+J193*$AE$19+K193*$AE$20+L193*$AE$21+M193*$AE$22+N193*$AE$23+O193*$AE$24+P193*$AE$25+Q193*$AE$26+R193*$AE$27+S193*$AE$28+T193*$AE$29+U193*$AE$30</f>
        <v/>
      </c>
      <c r="W193" s="8">
        <f>1/(1+EXP(-V193))</f>
        <v/>
      </c>
      <c r="X193" s="9">
        <f>-IF(C193=1,LN(W193),LN(1-W193))</f>
        <v/>
      </c>
      <c r="Y193" s="8">
        <f>'1 prepared data'!V186</f>
        <v/>
      </c>
      <c r="Z193" s="9">
        <f>Y193*X193</f>
        <v/>
      </c>
      <c r="AA193" s="10">
        <f>IF(W193&gt;$AE$33,1,0)</f>
        <v/>
      </c>
      <c r="AB193">
        <f>IF(AA193=C193,1,0)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$AE$12+D194*$AE$13+E194*$AE$14+F194*$AE$15+G194*$AE$16+H194*$AE$17+I194*$AE$18+J194*$AE$19+K194*$AE$20+L194*$AE$21+M194*$AE$22+N194*$AE$23+O194*$AE$24+P194*$AE$25+Q194*$AE$26+R194*$AE$27+S194*$AE$28+T194*$AE$29+U194*$AE$30</f>
        <v/>
      </c>
      <c r="W194" s="8">
        <f>1/(1+EXP(-V194))</f>
        <v/>
      </c>
      <c r="X194" s="9">
        <f>-IF(C194=1,LN(W194),LN(1-W194))</f>
        <v/>
      </c>
      <c r="Y194" s="8">
        <f>'1 prepared data'!V187</f>
        <v/>
      </c>
      <c r="Z194" s="9">
        <f>Y194*X194</f>
        <v/>
      </c>
      <c r="AA194" s="10">
        <f>IF(W194&gt;$AE$33,1,0)</f>
        <v/>
      </c>
      <c r="AB194">
        <f>IF(AA194=C194,1,0)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$AE$12+D195*$AE$13+E195*$AE$14+F195*$AE$15+G195*$AE$16+H195*$AE$17+I195*$AE$18+J195*$AE$19+K195*$AE$20+L195*$AE$21+M195*$AE$22+N195*$AE$23+O195*$AE$24+P195*$AE$25+Q195*$AE$26+R195*$AE$27+S195*$AE$28+T195*$AE$29+U195*$AE$30</f>
        <v/>
      </c>
      <c r="W195" s="8">
        <f>1/(1+EXP(-V195))</f>
        <v/>
      </c>
      <c r="X195" s="9">
        <f>-IF(C195=1,LN(W195),LN(1-W195))</f>
        <v/>
      </c>
      <c r="Y195" s="8">
        <f>'1 prepared data'!V188</f>
        <v/>
      </c>
      <c r="Z195" s="9">
        <f>Y195*X195</f>
        <v/>
      </c>
      <c r="AA195" s="10">
        <f>IF(W195&gt;$AE$33,1,0)</f>
        <v/>
      </c>
      <c r="AB195">
        <f>IF(AA195=C195,1,0)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$AE$12+D196*$AE$13+E196*$AE$14+F196*$AE$15+G196*$AE$16+H196*$AE$17+I196*$AE$18+J196*$AE$19+K196*$AE$20+L196*$AE$21+M196*$AE$22+N196*$AE$23+O196*$AE$24+P196*$AE$25+Q196*$AE$26+R196*$AE$27+S196*$AE$28+T196*$AE$29+U196*$AE$30</f>
        <v/>
      </c>
      <c r="W196" s="8">
        <f>1/(1+EXP(-V196))</f>
        <v/>
      </c>
      <c r="X196" s="9">
        <f>-IF(C196=1,LN(W196),LN(1-W196))</f>
        <v/>
      </c>
      <c r="Y196" s="8">
        <f>'1 prepared data'!V189</f>
        <v/>
      </c>
      <c r="Z196" s="9">
        <f>Y196*X196</f>
        <v/>
      </c>
      <c r="AA196" s="10">
        <f>IF(W196&gt;$AE$33,1,0)</f>
        <v/>
      </c>
      <c r="AB196">
        <f>IF(AA196=C196,1,0)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$AE$12+D197*$AE$13+E197*$AE$14+F197*$AE$15+G197*$AE$16+H197*$AE$17+I197*$AE$18+J197*$AE$19+K197*$AE$20+L197*$AE$21+M197*$AE$22+N197*$AE$23+O197*$AE$24+P197*$AE$25+Q197*$AE$26+R197*$AE$27+S197*$AE$28+T197*$AE$29+U197*$AE$30</f>
        <v/>
      </c>
      <c r="W197" s="8">
        <f>1/(1+EXP(-V197))</f>
        <v/>
      </c>
      <c r="X197" s="9">
        <f>-IF(C197=1,LN(W197),LN(1-W197))</f>
        <v/>
      </c>
      <c r="Y197" s="8">
        <f>'1 prepared data'!V190</f>
        <v/>
      </c>
      <c r="Z197" s="9">
        <f>Y197*X197</f>
        <v/>
      </c>
      <c r="AA197" s="10">
        <f>IF(W197&gt;$AE$33,1,0)</f>
        <v/>
      </c>
      <c r="AB197">
        <f>IF(AA197=C197,1,0)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$AE$12+D198*$AE$13+E198*$AE$14+F198*$AE$15+G198*$AE$16+H198*$AE$17+I198*$AE$18+J198*$AE$19+K198*$AE$20+L198*$AE$21+M198*$AE$22+N198*$AE$23+O198*$AE$24+P198*$AE$25+Q198*$AE$26+R198*$AE$27+S198*$AE$28+T198*$AE$29+U198*$AE$30</f>
        <v/>
      </c>
      <c r="W198" s="8">
        <f>1/(1+EXP(-V198))</f>
        <v/>
      </c>
      <c r="X198" s="9">
        <f>-IF(C198=1,LN(W198),LN(1-W198))</f>
        <v/>
      </c>
      <c r="Y198" s="8">
        <f>'1 prepared data'!V191</f>
        <v/>
      </c>
      <c r="Z198" s="9">
        <f>Y198*X198</f>
        <v/>
      </c>
      <c r="AA198" s="10">
        <f>IF(W198&gt;$AE$33,1,0)</f>
        <v/>
      </c>
      <c r="AB198">
        <f>IF(AA198=C198,1,0)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$AE$12+D199*$AE$13+E199*$AE$14+F199*$AE$15+G199*$AE$16+H199*$AE$17+I199*$AE$18+J199*$AE$19+K199*$AE$20+L199*$AE$21+M199*$AE$22+N199*$AE$23+O199*$AE$24+P199*$AE$25+Q199*$AE$26+R199*$AE$27+S199*$AE$28+T199*$AE$29+U199*$AE$30</f>
        <v/>
      </c>
      <c r="W199" s="8">
        <f>1/(1+EXP(-V199))</f>
        <v/>
      </c>
      <c r="X199" s="9">
        <f>-IF(C199=1,LN(W199),LN(1-W199))</f>
        <v/>
      </c>
      <c r="Y199" s="8">
        <f>'1 prepared data'!V192</f>
        <v/>
      </c>
      <c r="Z199" s="9">
        <f>Y199*X199</f>
        <v/>
      </c>
      <c r="AA199" s="10">
        <f>IF(W199&gt;$AE$33,1,0)</f>
        <v/>
      </c>
      <c r="AB199">
        <f>IF(AA199=C199,1,0)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$AE$12+D200*$AE$13+E200*$AE$14+F200*$AE$15+G200*$AE$16+H200*$AE$17+I200*$AE$18+J200*$AE$19+K200*$AE$20+L200*$AE$21+M200*$AE$22+N200*$AE$23+O200*$AE$24+P200*$AE$25+Q200*$AE$26+R200*$AE$27+S200*$AE$28+T200*$AE$29+U200*$AE$30</f>
        <v/>
      </c>
      <c r="W200" s="8">
        <f>1/(1+EXP(-V200))</f>
        <v/>
      </c>
      <c r="X200" s="9">
        <f>-IF(C200=1,LN(W200),LN(1-W200))</f>
        <v/>
      </c>
      <c r="Y200" s="8">
        <f>'1 prepared data'!V193</f>
        <v/>
      </c>
      <c r="Z200" s="9">
        <f>Y200*X200</f>
        <v/>
      </c>
      <c r="AA200" s="10">
        <f>IF(W200&gt;$AE$33,1,0)</f>
        <v/>
      </c>
      <c r="AB200">
        <f>IF(AA200=C200,1,0)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$AE$12+D201*$AE$13+E201*$AE$14+F201*$AE$15+G201*$AE$16+H201*$AE$17+I201*$AE$18+J201*$AE$19+K201*$AE$20+L201*$AE$21+M201*$AE$22+N201*$AE$23+O201*$AE$24+P201*$AE$25+Q201*$AE$26+R201*$AE$27+S201*$AE$28+T201*$AE$29+U201*$AE$30</f>
        <v/>
      </c>
      <c r="W201" s="8">
        <f>1/(1+EXP(-V201))</f>
        <v/>
      </c>
      <c r="X201" s="9">
        <f>-IF(C201=1,LN(W201),LN(1-W201))</f>
        <v/>
      </c>
      <c r="Y201" s="8">
        <f>'1 prepared data'!V194</f>
        <v/>
      </c>
      <c r="Z201" s="9">
        <f>Y201*X201</f>
        <v/>
      </c>
      <c r="AA201" s="10">
        <f>IF(W201&gt;$AE$33,1,0)</f>
        <v/>
      </c>
      <c r="AB201">
        <f>IF(AA201=C201,1,0)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$AE$12+D202*$AE$13+E202*$AE$14+F202*$AE$15+G202*$AE$16+H202*$AE$17+I202*$AE$18+J202*$AE$19+K202*$AE$20+L202*$AE$21+M202*$AE$22+N202*$AE$23+O202*$AE$24+P202*$AE$25+Q202*$AE$26+R202*$AE$27+S202*$AE$28+T202*$AE$29+U202*$AE$30</f>
        <v/>
      </c>
      <c r="W202" s="8">
        <f>1/(1+EXP(-V202))</f>
        <v/>
      </c>
      <c r="X202" s="9">
        <f>-IF(C202=1,LN(W202),LN(1-W202))</f>
        <v/>
      </c>
      <c r="Y202" s="8">
        <f>'1 prepared data'!V195</f>
        <v/>
      </c>
      <c r="Z202" s="9">
        <f>Y202*X202</f>
        <v/>
      </c>
      <c r="AA202" s="10">
        <f>IF(W202&gt;$AE$33,1,0)</f>
        <v/>
      </c>
      <c r="AB202">
        <f>IF(AA202=C202,1,0)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$AE$12+D203*$AE$13+E203*$AE$14+F203*$AE$15+G203*$AE$16+H203*$AE$17+I203*$AE$18+J203*$AE$19+K203*$AE$20+L203*$AE$21+M203*$AE$22+N203*$AE$23+O203*$AE$24+P203*$AE$25+Q203*$AE$26+R203*$AE$27+S203*$AE$28+T203*$AE$29+U203*$AE$30</f>
        <v/>
      </c>
      <c r="W203" s="8">
        <f>1/(1+EXP(-V203))</f>
        <v/>
      </c>
      <c r="X203" s="9">
        <f>-IF(C203=1,LN(W203),LN(1-W203))</f>
        <v/>
      </c>
      <c r="Y203" s="8">
        <f>'1 prepared data'!V196</f>
        <v/>
      </c>
      <c r="Z203" s="9">
        <f>Y203*X203</f>
        <v/>
      </c>
      <c r="AA203" s="10">
        <f>IF(W203&gt;$AE$33,1,0)</f>
        <v/>
      </c>
      <c r="AB203">
        <f>IF(AA203=C203,1,0)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$AE$12+D204*$AE$13+E204*$AE$14+F204*$AE$15+G204*$AE$16+H204*$AE$17+I204*$AE$18+J204*$AE$19+K204*$AE$20+L204*$AE$21+M204*$AE$22+N204*$AE$23+O204*$AE$24+P204*$AE$25+Q204*$AE$26+R204*$AE$27+S204*$AE$28+T204*$AE$29+U204*$AE$30</f>
        <v/>
      </c>
      <c r="W204" s="8">
        <f>1/(1+EXP(-V204))</f>
        <v/>
      </c>
      <c r="X204" s="9">
        <f>-IF(C204=1,LN(W204),LN(1-W204))</f>
        <v/>
      </c>
      <c r="Y204" s="8">
        <f>'1 prepared data'!V197</f>
        <v/>
      </c>
      <c r="Z204" s="9">
        <f>Y204*X204</f>
        <v/>
      </c>
      <c r="AA204" s="10">
        <f>IF(W204&gt;$AE$33,1,0)</f>
        <v/>
      </c>
      <c r="AB204">
        <f>IF(AA204=C204,1,0)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$AE$12+D205*$AE$13+E205*$AE$14+F205*$AE$15+G205*$AE$16+H205*$AE$17+I205*$AE$18+J205*$AE$19+K205*$AE$20+L205*$AE$21+M205*$AE$22+N205*$AE$23+O205*$AE$24+P205*$AE$25+Q205*$AE$26+R205*$AE$27+S205*$AE$28+T205*$AE$29+U205*$AE$30</f>
        <v/>
      </c>
      <c r="W205" s="8">
        <f>1/(1+EXP(-V205))</f>
        <v/>
      </c>
      <c r="X205" s="9">
        <f>-IF(C205=1,LN(W205),LN(1-W205))</f>
        <v/>
      </c>
      <c r="Y205" s="8">
        <f>'1 prepared data'!V198</f>
        <v/>
      </c>
      <c r="Z205" s="9">
        <f>Y205*X205</f>
        <v/>
      </c>
      <c r="AA205" s="10">
        <f>IF(W205&gt;$AE$33,1,0)</f>
        <v/>
      </c>
      <c r="AB205">
        <f>IF(AA205=C205,1,0)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$AE$12+D206*$AE$13+E206*$AE$14+F206*$AE$15+G206*$AE$16+H206*$AE$17+I206*$AE$18+J206*$AE$19+K206*$AE$20+L206*$AE$21+M206*$AE$22+N206*$AE$23+O206*$AE$24+P206*$AE$25+Q206*$AE$26+R206*$AE$27+S206*$AE$28+T206*$AE$29+U206*$AE$30</f>
        <v/>
      </c>
      <c r="W206" s="8">
        <f>1/(1+EXP(-V206))</f>
        <v/>
      </c>
      <c r="X206" s="9">
        <f>-IF(C206=1,LN(W206),LN(1-W206))</f>
        <v/>
      </c>
      <c r="Y206" s="8">
        <f>'1 prepared data'!V199</f>
        <v/>
      </c>
      <c r="Z206" s="9">
        <f>Y206*X206</f>
        <v/>
      </c>
      <c r="AA206" s="10">
        <f>IF(W206&gt;$AE$33,1,0)</f>
        <v/>
      </c>
      <c r="AB206">
        <f>IF(AA206=C206,1,0)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$AE$12+D207*$AE$13+E207*$AE$14+F207*$AE$15+G207*$AE$16+H207*$AE$17+I207*$AE$18+J207*$AE$19+K207*$AE$20+L207*$AE$21+M207*$AE$22+N207*$AE$23+O207*$AE$24+P207*$AE$25+Q207*$AE$26+R207*$AE$27+S207*$AE$28+T207*$AE$29+U207*$AE$30</f>
        <v/>
      </c>
      <c r="W207" s="8">
        <f>1/(1+EXP(-V207))</f>
        <v/>
      </c>
      <c r="X207" s="9">
        <f>-IF(C207=1,LN(W207),LN(1-W207))</f>
        <v/>
      </c>
      <c r="Y207" s="8">
        <f>'1 prepared data'!V200</f>
        <v/>
      </c>
      <c r="Z207" s="9">
        <f>Y207*X207</f>
        <v/>
      </c>
      <c r="AA207" s="10">
        <f>IF(W207&gt;$AE$33,1,0)</f>
        <v/>
      </c>
      <c r="AB207">
        <f>IF(AA207=C207,1,0)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$AE$12+D208*$AE$13+E208*$AE$14+F208*$AE$15+G208*$AE$16+H208*$AE$17+I208*$AE$18+J208*$AE$19+K208*$AE$20+L208*$AE$21+M208*$AE$22+N208*$AE$23+O208*$AE$24+P208*$AE$25+Q208*$AE$26+R208*$AE$27+S208*$AE$28+T208*$AE$29+U208*$AE$30</f>
        <v/>
      </c>
      <c r="W208" s="8">
        <f>1/(1+EXP(-V208))</f>
        <v/>
      </c>
      <c r="X208" s="9">
        <f>-IF(C208=1,LN(W208),LN(1-W208))</f>
        <v/>
      </c>
      <c r="Y208" s="8">
        <f>'1 prepared data'!V201</f>
        <v/>
      </c>
      <c r="Z208" s="9">
        <f>Y208*X208</f>
        <v/>
      </c>
      <c r="AA208" s="10">
        <f>IF(W208&gt;$AE$33,1,0)</f>
        <v/>
      </c>
      <c r="AB208">
        <f>IF(AA208=C208,1,0)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$AE$12+D209*$AE$13+E209*$AE$14+F209*$AE$15+G209*$AE$16+H209*$AE$17+I209*$AE$18+J209*$AE$19+K209*$AE$20+L209*$AE$21+M209*$AE$22+N209*$AE$23+O209*$AE$24+P209*$AE$25+Q209*$AE$26+R209*$AE$27+S209*$AE$28+T209*$AE$29+U209*$AE$30</f>
        <v/>
      </c>
      <c r="W209" s="8">
        <f>1/(1+EXP(-V209))</f>
        <v/>
      </c>
      <c r="X209" s="9">
        <f>-IF(C209=1,LN(W209),LN(1-W209))</f>
        <v/>
      </c>
      <c r="Y209" s="8">
        <f>'1 prepared data'!V202</f>
        <v/>
      </c>
      <c r="Z209" s="9">
        <f>Y209*X209</f>
        <v/>
      </c>
      <c r="AA209" s="10">
        <f>IF(W209&gt;$AE$33,1,0)</f>
        <v/>
      </c>
      <c r="AB209">
        <f>IF(AA209=C209,1,0)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$AE$12+D210*$AE$13+E210*$AE$14+F210*$AE$15+G210*$AE$16+H210*$AE$17+I210*$AE$18+J210*$AE$19+K210*$AE$20+L210*$AE$21+M210*$AE$22+N210*$AE$23+O210*$AE$24+P210*$AE$25+Q210*$AE$26+R210*$AE$27+S210*$AE$28+T210*$AE$29+U210*$AE$30</f>
        <v/>
      </c>
      <c r="W210" s="8">
        <f>1/(1+EXP(-V210))</f>
        <v/>
      </c>
      <c r="X210" s="9">
        <f>-IF(C210=1,LN(W210),LN(1-W210))</f>
        <v/>
      </c>
      <c r="Y210" s="8">
        <f>'1 prepared data'!V203</f>
        <v/>
      </c>
      <c r="Z210" s="9">
        <f>Y210*X210</f>
        <v/>
      </c>
      <c r="AA210" s="10">
        <f>IF(W210&gt;$AE$33,1,0)</f>
        <v/>
      </c>
      <c r="AB210">
        <f>IF(AA210=C210,1,0)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$AE$12+D211*$AE$13+E211*$AE$14+F211*$AE$15+G211*$AE$16+H211*$AE$17+I211*$AE$18+J211*$AE$19+K211*$AE$20+L211*$AE$21+M211*$AE$22+N211*$AE$23+O211*$AE$24+P211*$AE$25+Q211*$AE$26+R211*$AE$27+S211*$AE$28+T211*$AE$29+U211*$AE$30</f>
        <v/>
      </c>
      <c r="W211" s="8">
        <f>1/(1+EXP(-V211))</f>
        <v/>
      </c>
      <c r="X211" s="9">
        <f>-IF(C211=1,LN(W211),LN(1-W211))</f>
        <v/>
      </c>
      <c r="Y211" s="8">
        <f>'1 prepared data'!V204</f>
        <v/>
      </c>
      <c r="Z211" s="9">
        <f>Y211*X211</f>
        <v/>
      </c>
      <c r="AA211" s="10">
        <f>IF(W211&gt;$AE$33,1,0)</f>
        <v/>
      </c>
      <c r="AB211">
        <f>IF(AA211=C211,1,0)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$AE$12+D212*$AE$13+E212*$AE$14+F212*$AE$15+G212*$AE$16+H212*$AE$17+I212*$AE$18+J212*$AE$19+K212*$AE$20+L212*$AE$21+M212*$AE$22+N212*$AE$23+O212*$AE$24+P212*$AE$25+Q212*$AE$26+R212*$AE$27+S212*$AE$28+T212*$AE$29+U212*$AE$30</f>
        <v/>
      </c>
      <c r="W212" s="8">
        <f>1/(1+EXP(-V212))</f>
        <v/>
      </c>
      <c r="X212" s="9">
        <f>-IF(C212=1,LN(W212),LN(1-W212))</f>
        <v/>
      </c>
      <c r="Y212" s="8">
        <f>'1 prepared data'!V205</f>
        <v/>
      </c>
      <c r="Z212" s="9">
        <f>Y212*X212</f>
        <v/>
      </c>
      <c r="AA212" s="10">
        <f>IF(W212&gt;$AE$33,1,0)</f>
        <v/>
      </c>
      <c r="AB212">
        <f>IF(AA212=C212,1,0)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$AE$12+D213*$AE$13+E213*$AE$14+F213*$AE$15+G213*$AE$16+H213*$AE$17+I213*$AE$18+J213*$AE$19+K213*$AE$20+L213*$AE$21+M213*$AE$22+N213*$AE$23+O213*$AE$24+P213*$AE$25+Q213*$AE$26+R213*$AE$27+S213*$AE$28+T213*$AE$29+U213*$AE$30</f>
        <v/>
      </c>
      <c r="W213" s="8">
        <f>1/(1+EXP(-V213))</f>
        <v/>
      </c>
      <c r="X213" s="9">
        <f>-IF(C213=1,LN(W213),LN(1-W213))</f>
        <v/>
      </c>
      <c r="Y213" s="8">
        <f>'1 prepared data'!V206</f>
        <v/>
      </c>
      <c r="Z213" s="9">
        <f>Y213*X213</f>
        <v/>
      </c>
      <c r="AA213" s="10">
        <f>IF(W213&gt;$AE$33,1,0)</f>
        <v/>
      </c>
      <c r="AB213">
        <f>IF(AA213=C213,1,0)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$AE$12+D214*$AE$13+E214*$AE$14+F214*$AE$15+G214*$AE$16+H214*$AE$17+I214*$AE$18+J214*$AE$19+K214*$AE$20+L214*$AE$21+M214*$AE$22+N214*$AE$23+O214*$AE$24+P214*$AE$25+Q214*$AE$26+R214*$AE$27+S214*$AE$28+T214*$AE$29+U214*$AE$30</f>
        <v/>
      </c>
      <c r="W214" s="8">
        <f>1/(1+EXP(-V214))</f>
        <v/>
      </c>
      <c r="X214" s="9">
        <f>-IF(C214=1,LN(W214),LN(1-W214))</f>
        <v/>
      </c>
      <c r="Y214" s="8">
        <f>'1 prepared data'!V207</f>
        <v/>
      </c>
      <c r="Z214" s="9">
        <f>Y214*X214</f>
        <v/>
      </c>
      <c r="AA214" s="10">
        <f>IF(W214&gt;$AE$33,1,0)</f>
        <v/>
      </c>
      <c r="AB214">
        <f>IF(AA214=C214,1,0)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$AE$12+D215*$AE$13+E215*$AE$14+F215*$AE$15+G215*$AE$16+H215*$AE$17+I215*$AE$18+J215*$AE$19+K215*$AE$20+L215*$AE$21+M215*$AE$22+N215*$AE$23+O215*$AE$24+P215*$AE$25+Q215*$AE$26+R215*$AE$27+S215*$AE$28+T215*$AE$29+U215*$AE$30</f>
        <v/>
      </c>
      <c r="W215" s="8">
        <f>1/(1+EXP(-V215))</f>
        <v/>
      </c>
      <c r="X215" s="9">
        <f>-IF(C215=1,LN(W215),LN(1-W215))</f>
        <v/>
      </c>
      <c r="Y215" s="8">
        <f>'1 prepared data'!V208</f>
        <v/>
      </c>
      <c r="Z215" s="9">
        <f>Y215*X215</f>
        <v/>
      </c>
      <c r="AA215" s="10">
        <f>IF(W215&gt;$AE$33,1,0)</f>
        <v/>
      </c>
      <c r="AB215">
        <f>IF(AA215=C215,1,0)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$AE$12+D216*$AE$13+E216*$AE$14+F216*$AE$15+G216*$AE$16+H216*$AE$17+I216*$AE$18+J216*$AE$19+K216*$AE$20+L216*$AE$21+M216*$AE$22+N216*$AE$23+O216*$AE$24+P216*$AE$25+Q216*$AE$26+R216*$AE$27+S216*$AE$28+T216*$AE$29+U216*$AE$30</f>
        <v/>
      </c>
      <c r="W216" s="8">
        <f>1/(1+EXP(-V216))</f>
        <v/>
      </c>
      <c r="X216" s="9">
        <f>-IF(C216=1,LN(W216),LN(1-W216))</f>
        <v/>
      </c>
      <c r="Y216" s="8">
        <f>'1 prepared data'!V209</f>
        <v/>
      </c>
      <c r="Z216" s="9">
        <f>Y216*X216</f>
        <v/>
      </c>
      <c r="AA216" s="10">
        <f>IF(W216&gt;$AE$33,1,0)</f>
        <v/>
      </c>
      <c r="AB216">
        <f>IF(AA216=C216,1,0)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$AE$12+D217*$AE$13+E217*$AE$14+F217*$AE$15+G217*$AE$16+H217*$AE$17+I217*$AE$18+J217*$AE$19+K217*$AE$20+L217*$AE$21+M217*$AE$22+N217*$AE$23+O217*$AE$24+P217*$AE$25+Q217*$AE$26+R217*$AE$27+S217*$AE$28+T217*$AE$29+U217*$AE$30</f>
        <v/>
      </c>
      <c r="W217" s="8">
        <f>1/(1+EXP(-V217))</f>
        <v/>
      </c>
      <c r="X217" s="9">
        <f>-IF(C217=1,LN(W217),LN(1-W217))</f>
        <v/>
      </c>
      <c r="Y217" s="8">
        <f>'1 prepared data'!V210</f>
        <v/>
      </c>
      <c r="Z217" s="9">
        <f>Y217*X217</f>
        <v/>
      </c>
      <c r="AA217" s="10">
        <f>IF(W217&gt;$AE$33,1,0)</f>
        <v/>
      </c>
      <c r="AB217">
        <f>IF(AA217=C217,1,0)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$AE$12+D218*$AE$13+E218*$AE$14+F218*$AE$15+G218*$AE$16+H218*$AE$17+I218*$AE$18+J218*$AE$19+K218*$AE$20+L218*$AE$21+M218*$AE$22+N218*$AE$23+O218*$AE$24+P218*$AE$25+Q218*$AE$26+R218*$AE$27+S218*$AE$28+T218*$AE$29+U218*$AE$30</f>
        <v/>
      </c>
      <c r="W218" s="8">
        <f>1/(1+EXP(-V218))</f>
        <v/>
      </c>
      <c r="X218" s="9">
        <f>-IF(C218=1,LN(W218),LN(1-W218))</f>
        <v/>
      </c>
      <c r="Y218" s="8">
        <f>'1 prepared data'!V211</f>
        <v/>
      </c>
      <c r="Z218" s="9">
        <f>Y218*X218</f>
        <v/>
      </c>
      <c r="AA218" s="10">
        <f>IF(W218&gt;$AE$33,1,0)</f>
        <v/>
      </c>
      <c r="AB218">
        <f>IF(AA218=C218,1,0)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$AE$12+D219*$AE$13+E219*$AE$14+F219*$AE$15+G219*$AE$16+H219*$AE$17+I219*$AE$18+J219*$AE$19+K219*$AE$20+L219*$AE$21+M219*$AE$22+N219*$AE$23+O219*$AE$24+P219*$AE$25+Q219*$AE$26+R219*$AE$27+S219*$AE$28+T219*$AE$29+U219*$AE$30</f>
        <v/>
      </c>
      <c r="W219" s="8">
        <f>1/(1+EXP(-V219))</f>
        <v/>
      </c>
      <c r="X219" s="9">
        <f>-IF(C219=1,LN(W219),LN(1-W219))</f>
        <v/>
      </c>
      <c r="Y219" s="8">
        <f>'1 prepared data'!V212</f>
        <v/>
      </c>
      <c r="Z219" s="9">
        <f>Y219*X219</f>
        <v/>
      </c>
      <c r="AA219" s="10">
        <f>IF(W219&gt;$AE$33,1,0)</f>
        <v/>
      </c>
      <c r="AB219">
        <f>IF(AA219=C219,1,0)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$AE$12+D220*$AE$13+E220*$AE$14+F220*$AE$15+G220*$AE$16+H220*$AE$17+I220*$AE$18+J220*$AE$19+K220*$AE$20+L220*$AE$21+M220*$AE$22+N220*$AE$23+O220*$AE$24+P220*$AE$25+Q220*$AE$26+R220*$AE$27+S220*$AE$28+T220*$AE$29+U220*$AE$30</f>
        <v/>
      </c>
      <c r="W220" s="8">
        <f>1/(1+EXP(-V220))</f>
        <v/>
      </c>
      <c r="X220" s="9">
        <f>-IF(C220=1,LN(W220),LN(1-W220))</f>
        <v/>
      </c>
      <c r="Y220" s="8">
        <f>'1 prepared data'!V213</f>
        <v/>
      </c>
      <c r="Z220" s="9">
        <f>Y220*X220</f>
        <v/>
      </c>
      <c r="AA220" s="10">
        <f>IF(W220&gt;$AE$33,1,0)</f>
        <v/>
      </c>
      <c r="AB220">
        <f>IF(AA220=C220,1,0)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$AE$12+D221*$AE$13+E221*$AE$14+F221*$AE$15+G221*$AE$16+H221*$AE$17+I221*$AE$18+J221*$AE$19+K221*$AE$20+L221*$AE$21+M221*$AE$22+N221*$AE$23+O221*$AE$24+P221*$AE$25+Q221*$AE$26+R221*$AE$27+S221*$AE$28+T221*$AE$29+U221*$AE$30</f>
        <v/>
      </c>
      <c r="W221" s="8">
        <f>1/(1+EXP(-V221))</f>
        <v/>
      </c>
      <c r="X221" s="9">
        <f>-IF(C221=1,LN(W221),LN(1-W221))</f>
        <v/>
      </c>
      <c r="Y221" s="8">
        <f>'1 prepared data'!V214</f>
        <v/>
      </c>
      <c r="Z221" s="9">
        <f>Y221*X221</f>
        <v/>
      </c>
      <c r="AA221" s="10">
        <f>IF(W221&gt;$AE$33,1,0)</f>
        <v/>
      </c>
      <c r="AB221">
        <f>IF(AA221=C221,1,0)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$AE$12+D222*$AE$13+E222*$AE$14+F222*$AE$15+G222*$AE$16+H222*$AE$17+I222*$AE$18+J222*$AE$19+K222*$AE$20+L222*$AE$21+M222*$AE$22+N222*$AE$23+O222*$AE$24+P222*$AE$25+Q222*$AE$26+R222*$AE$27+S222*$AE$28+T222*$AE$29+U222*$AE$30</f>
        <v/>
      </c>
      <c r="W222" s="8">
        <f>1/(1+EXP(-V222))</f>
        <v/>
      </c>
      <c r="X222" s="9">
        <f>-IF(C222=1,LN(W222),LN(1-W222))</f>
        <v/>
      </c>
      <c r="Y222" s="8">
        <f>'1 prepared data'!V215</f>
        <v/>
      </c>
      <c r="Z222" s="9">
        <f>Y222*X222</f>
        <v/>
      </c>
      <c r="AA222" s="10">
        <f>IF(W222&gt;$AE$33,1,0)</f>
        <v/>
      </c>
      <c r="AB222">
        <f>IF(AA222=C222,1,0)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$AE$12+D223*$AE$13+E223*$AE$14+F223*$AE$15+G223*$AE$16+H223*$AE$17+I223*$AE$18+J223*$AE$19+K223*$AE$20+L223*$AE$21+M223*$AE$22+N223*$AE$23+O223*$AE$24+P223*$AE$25+Q223*$AE$26+R223*$AE$27+S223*$AE$28+T223*$AE$29+U223*$AE$30</f>
        <v/>
      </c>
      <c r="W223" s="8">
        <f>1/(1+EXP(-V223))</f>
        <v/>
      </c>
      <c r="X223" s="9">
        <f>-IF(C223=1,LN(W223),LN(1-W223))</f>
        <v/>
      </c>
      <c r="Y223" s="8">
        <f>'1 prepared data'!V216</f>
        <v/>
      </c>
      <c r="Z223" s="9">
        <f>Y223*X223</f>
        <v/>
      </c>
      <c r="AA223" s="10">
        <f>IF(W223&gt;$AE$33,1,0)</f>
        <v/>
      </c>
      <c r="AB223">
        <f>IF(AA223=C223,1,0)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$AE$12+D224*$AE$13+E224*$AE$14+F224*$AE$15+G224*$AE$16+H224*$AE$17+I224*$AE$18+J224*$AE$19+K224*$AE$20+L224*$AE$21+M224*$AE$22+N224*$AE$23+O224*$AE$24+P224*$AE$25+Q224*$AE$26+R224*$AE$27+S224*$AE$28+T224*$AE$29+U224*$AE$30</f>
        <v/>
      </c>
      <c r="W224" s="8">
        <f>1/(1+EXP(-V224))</f>
        <v/>
      </c>
      <c r="X224" s="9">
        <f>-IF(C224=1,LN(W224),LN(1-W224))</f>
        <v/>
      </c>
      <c r="Y224" s="8">
        <f>'1 prepared data'!V217</f>
        <v/>
      </c>
      <c r="Z224" s="9">
        <f>Y224*X224</f>
        <v/>
      </c>
      <c r="AA224" s="10">
        <f>IF(W224&gt;$AE$33,1,0)</f>
        <v/>
      </c>
      <c r="AB224">
        <f>IF(AA224=C224,1,0)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$AE$12+D225*$AE$13+E225*$AE$14+F225*$AE$15+G225*$AE$16+H225*$AE$17+I225*$AE$18+J225*$AE$19+K225*$AE$20+L225*$AE$21+M225*$AE$22+N225*$AE$23+O225*$AE$24+P225*$AE$25+Q225*$AE$26+R225*$AE$27+S225*$AE$28+T225*$AE$29+U225*$AE$30</f>
        <v/>
      </c>
      <c r="W225" s="8">
        <f>1/(1+EXP(-V225))</f>
        <v/>
      </c>
      <c r="X225" s="9">
        <f>-IF(C225=1,LN(W225),LN(1-W225))</f>
        <v/>
      </c>
      <c r="Y225" s="8">
        <f>'1 prepared data'!V218</f>
        <v/>
      </c>
      <c r="Z225" s="9">
        <f>Y225*X225</f>
        <v/>
      </c>
      <c r="AA225" s="10">
        <f>IF(W225&gt;$AE$33,1,0)</f>
        <v/>
      </c>
      <c r="AB225">
        <f>IF(AA225=C225,1,0)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$AE$12+D226*$AE$13+E226*$AE$14+F226*$AE$15+G226*$AE$16+H226*$AE$17+I226*$AE$18+J226*$AE$19+K226*$AE$20+L226*$AE$21+M226*$AE$22+N226*$AE$23+O226*$AE$24+P226*$AE$25+Q226*$AE$26+R226*$AE$27+S226*$AE$28+T226*$AE$29+U226*$AE$30</f>
        <v/>
      </c>
      <c r="W226" s="8">
        <f>1/(1+EXP(-V226))</f>
        <v/>
      </c>
      <c r="X226" s="9">
        <f>-IF(C226=1,LN(W226),LN(1-W226))</f>
        <v/>
      </c>
      <c r="Y226" s="8">
        <f>'1 prepared data'!V219</f>
        <v/>
      </c>
      <c r="Z226" s="9">
        <f>Y226*X226</f>
        <v/>
      </c>
      <c r="AA226" s="10">
        <f>IF(W226&gt;$AE$33,1,0)</f>
        <v/>
      </c>
      <c r="AB226">
        <f>IF(AA226=C226,1,0)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$AE$12+D227*$AE$13+E227*$AE$14+F227*$AE$15+G227*$AE$16+H227*$AE$17+I227*$AE$18+J227*$AE$19+K227*$AE$20+L227*$AE$21+M227*$AE$22+N227*$AE$23+O227*$AE$24+P227*$AE$25+Q227*$AE$26+R227*$AE$27+S227*$AE$28+T227*$AE$29+U227*$AE$30</f>
        <v/>
      </c>
      <c r="W227" s="8">
        <f>1/(1+EXP(-V227))</f>
        <v/>
      </c>
      <c r="X227" s="9">
        <f>-IF(C227=1,LN(W227),LN(1-W227))</f>
        <v/>
      </c>
      <c r="Y227" s="8">
        <f>'1 prepared data'!V220</f>
        <v/>
      </c>
      <c r="Z227" s="9">
        <f>Y227*X227</f>
        <v/>
      </c>
      <c r="AA227" s="10">
        <f>IF(W227&gt;$AE$33,1,0)</f>
        <v/>
      </c>
      <c r="AB227">
        <f>IF(AA227=C227,1,0)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$AE$12+D228*$AE$13+E228*$AE$14+F228*$AE$15+G228*$AE$16+H228*$AE$17+I228*$AE$18+J228*$AE$19+K228*$AE$20+L228*$AE$21+M228*$AE$22+N228*$AE$23+O228*$AE$24+P228*$AE$25+Q228*$AE$26+R228*$AE$27+S228*$AE$28+T228*$AE$29+U228*$AE$30</f>
        <v/>
      </c>
      <c r="W228" s="8">
        <f>1/(1+EXP(-V228))</f>
        <v/>
      </c>
      <c r="X228" s="9">
        <f>-IF(C228=1,LN(W228),LN(1-W228))</f>
        <v/>
      </c>
      <c r="Y228" s="8">
        <f>'1 prepared data'!V221</f>
        <v/>
      </c>
      <c r="Z228" s="9">
        <f>Y228*X228</f>
        <v/>
      </c>
      <c r="AA228" s="10">
        <f>IF(W228&gt;$AE$33,1,0)</f>
        <v/>
      </c>
      <c r="AB228">
        <f>IF(AA228=C228,1,0)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$AE$12+D229*$AE$13+E229*$AE$14+F229*$AE$15+G229*$AE$16+H229*$AE$17+I229*$AE$18+J229*$AE$19+K229*$AE$20+L229*$AE$21+M229*$AE$22+N229*$AE$23+O229*$AE$24+P229*$AE$25+Q229*$AE$26+R229*$AE$27+S229*$AE$28+T229*$AE$29+U229*$AE$30</f>
        <v/>
      </c>
      <c r="W229" s="8">
        <f>1/(1+EXP(-V229))</f>
        <v/>
      </c>
      <c r="X229" s="9">
        <f>-IF(C229=1,LN(W229),LN(1-W229))</f>
        <v/>
      </c>
      <c r="Y229" s="8">
        <f>'1 prepared data'!V222</f>
        <v/>
      </c>
      <c r="Z229" s="9">
        <f>Y229*X229</f>
        <v/>
      </c>
      <c r="AA229" s="10">
        <f>IF(W229&gt;$AE$33,1,0)</f>
        <v/>
      </c>
      <c r="AB229">
        <f>IF(AA229=C229,1,0)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$AE$12+D230*$AE$13+E230*$AE$14+F230*$AE$15+G230*$AE$16+H230*$AE$17+I230*$AE$18+J230*$AE$19+K230*$AE$20+L230*$AE$21+M230*$AE$22+N230*$AE$23+O230*$AE$24+P230*$AE$25+Q230*$AE$26+R230*$AE$27+S230*$AE$28+T230*$AE$29+U230*$AE$30</f>
        <v/>
      </c>
      <c r="W230" s="8">
        <f>1/(1+EXP(-V230))</f>
        <v/>
      </c>
      <c r="X230" s="9">
        <f>-IF(C230=1,LN(W230),LN(1-W230))</f>
        <v/>
      </c>
      <c r="Y230" s="8">
        <f>'1 prepared data'!V223</f>
        <v/>
      </c>
      <c r="Z230" s="9">
        <f>Y230*X230</f>
        <v/>
      </c>
      <c r="AA230" s="10">
        <f>IF(W230&gt;$AE$33,1,0)</f>
        <v/>
      </c>
      <c r="AB230">
        <f>IF(AA230=C230,1,0)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$AE$12+D231*$AE$13+E231*$AE$14+F231*$AE$15+G231*$AE$16+H231*$AE$17+I231*$AE$18+J231*$AE$19+K231*$AE$20+L231*$AE$21+M231*$AE$22+N231*$AE$23+O231*$AE$24+P231*$AE$25+Q231*$AE$26+R231*$AE$27+S231*$AE$28+T231*$AE$29+U231*$AE$30</f>
        <v/>
      </c>
      <c r="W231" s="8">
        <f>1/(1+EXP(-V231))</f>
        <v/>
      </c>
      <c r="X231" s="9">
        <f>-IF(C231=1,LN(W231),LN(1-W231))</f>
        <v/>
      </c>
      <c r="Y231" s="8">
        <f>'1 prepared data'!V224</f>
        <v/>
      </c>
      <c r="Z231" s="9">
        <f>Y231*X231</f>
        <v/>
      </c>
      <c r="AA231" s="10">
        <f>IF(W231&gt;$AE$33,1,0)</f>
        <v/>
      </c>
      <c r="AB231">
        <f>IF(AA231=C231,1,0)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$AE$12+D232*$AE$13+E232*$AE$14+F232*$AE$15+G232*$AE$16+H232*$AE$17+I232*$AE$18+J232*$AE$19+K232*$AE$20+L232*$AE$21+M232*$AE$22+N232*$AE$23+O232*$AE$24+P232*$AE$25+Q232*$AE$26+R232*$AE$27+S232*$AE$28+T232*$AE$29+U232*$AE$30</f>
        <v/>
      </c>
      <c r="W232" s="8">
        <f>1/(1+EXP(-V232))</f>
        <v/>
      </c>
      <c r="X232" s="9">
        <f>-IF(C232=1,LN(W232),LN(1-W232))</f>
        <v/>
      </c>
      <c r="Y232" s="8">
        <f>'1 prepared data'!V225</f>
        <v/>
      </c>
      <c r="Z232" s="9">
        <f>Y232*X232</f>
        <v/>
      </c>
      <c r="AA232" s="10">
        <f>IF(W232&gt;$AE$33,1,0)</f>
        <v/>
      </c>
      <c r="AB232">
        <f>IF(AA232=C232,1,0)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$AE$12+D233*$AE$13+E233*$AE$14+F233*$AE$15+G233*$AE$16+H233*$AE$17+I233*$AE$18+J233*$AE$19+K233*$AE$20+L233*$AE$21+M233*$AE$22+N233*$AE$23+O233*$AE$24+P233*$AE$25+Q233*$AE$26+R233*$AE$27+S233*$AE$28+T233*$AE$29+U233*$AE$30</f>
        <v/>
      </c>
      <c r="W233" s="8">
        <f>1/(1+EXP(-V233))</f>
        <v/>
      </c>
      <c r="X233" s="9">
        <f>-IF(C233=1,LN(W233),LN(1-W233))</f>
        <v/>
      </c>
      <c r="Y233" s="8">
        <f>'1 prepared data'!V226</f>
        <v/>
      </c>
      <c r="Z233" s="9">
        <f>Y233*X233</f>
        <v/>
      </c>
      <c r="AA233" s="10">
        <f>IF(W233&gt;$AE$33,1,0)</f>
        <v/>
      </c>
      <c r="AB233">
        <f>IF(AA233=C233,1,0)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$AE$12+D234*$AE$13+E234*$AE$14+F234*$AE$15+G234*$AE$16+H234*$AE$17+I234*$AE$18+J234*$AE$19+K234*$AE$20+L234*$AE$21+M234*$AE$22+N234*$AE$23+O234*$AE$24+P234*$AE$25+Q234*$AE$26+R234*$AE$27+S234*$AE$28+T234*$AE$29+U234*$AE$30</f>
        <v/>
      </c>
      <c r="W234" s="8">
        <f>1/(1+EXP(-V234))</f>
        <v/>
      </c>
      <c r="X234" s="9">
        <f>-IF(C234=1,LN(W234),LN(1-W234))</f>
        <v/>
      </c>
      <c r="Y234" s="8">
        <f>'1 prepared data'!V227</f>
        <v/>
      </c>
      <c r="Z234" s="9">
        <f>Y234*X234</f>
        <v/>
      </c>
      <c r="AA234" s="10">
        <f>IF(W234&gt;$AE$33,1,0)</f>
        <v/>
      </c>
      <c r="AB234">
        <f>IF(AA234=C234,1,0)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$AE$12+D235*$AE$13+E235*$AE$14+F235*$AE$15+G235*$AE$16+H235*$AE$17+I235*$AE$18+J235*$AE$19+K235*$AE$20+L235*$AE$21+M235*$AE$22+N235*$AE$23+O235*$AE$24+P235*$AE$25+Q235*$AE$26+R235*$AE$27+S235*$AE$28+T235*$AE$29+U235*$AE$30</f>
        <v/>
      </c>
      <c r="W235" s="8">
        <f>1/(1+EXP(-V235))</f>
        <v/>
      </c>
      <c r="X235" s="9">
        <f>-IF(C235=1,LN(W235),LN(1-W235))</f>
        <v/>
      </c>
      <c r="Y235" s="8">
        <f>'1 prepared data'!V228</f>
        <v/>
      </c>
      <c r="Z235" s="9">
        <f>Y235*X235</f>
        <v/>
      </c>
      <c r="AA235" s="10">
        <f>IF(W235&gt;$AE$33,1,0)</f>
        <v/>
      </c>
      <c r="AB235">
        <f>IF(AA235=C235,1,0)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$AE$12+D236*$AE$13+E236*$AE$14+F236*$AE$15+G236*$AE$16+H236*$AE$17+I236*$AE$18+J236*$AE$19+K236*$AE$20+L236*$AE$21+M236*$AE$22+N236*$AE$23+O236*$AE$24+P236*$AE$25+Q236*$AE$26+R236*$AE$27+S236*$AE$28+T236*$AE$29+U236*$AE$30</f>
        <v/>
      </c>
      <c r="W236" s="8">
        <f>1/(1+EXP(-V236))</f>
        <v/>
      </c>
      <c r="X236" s="9">
        <f>-IF(C236=1,LN(W236),LN(1-W236))</f>
        <v/>
      </c>
      <c r="Y236" s="8">
        <f>'1 prepared data'!V229</f>
        <v/>
      </c>
      <c r="Z236" s="9">
        <f>Y236*X236</f>
        <v/>
      </c>
      <c r="AA236" s="10">
        <f>IF(W236&gt;$AE$33,1,0)</f>
        <v/>
      </c>
      <c r="AB236">
        <f>IF(AA236=C236,1,0)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$AE$12+D237*$AE$13+E237*$AE$14+F237*$AE$15+G237*$AE$16+H237*$AE$17+I237*$AE$18+J237*$AE$19+K237*$AE$20+L237*$AE$21+M237*$AE$22+N237*$AE$23+O237*$AE$24+P237*$AE$25+Q237*$AE$26+R237*$AE$27+S237*$AE$28+T237*$AE$29+U237*$AE$30</f>
        <v/>
      </c>
      <c r="W237" s="8">
        <f>1/(1+EXP(-V237))</f>
        <v/>
      </c>
      <c r="X237" s="9">
        <f>-IF(C237=1,LN(W237),LN(1-W237))</f>
        <v/>
      </c>
      <c r="Y237" s="8">
        <f>'1 prepared data'!V230</f>
        <v/>
      </c>
      <c r="Z237" s="9">
        <f>Y237*X237</f>
        <v/>
      </c>
      <c r="AA237" s="10">
        <f>IF(W237&gt;$AE$33,1,0)</f>
        <v/>
      </c>
      <c r="AB237">
        <f>IF(AA237=C237,1,0)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$AE$12+D238*$AE$13+E238*$AE$14+F238*$AE$15+G238*$AE$16+H238*$AE$17+I238*$AE$18+J238*$AE$19+K238*$AE$20+L238*$AE$21+M238*$AE$22+N238*$AE$23+O238*$AE$24+P238*$AE$25+Q238*$AE$26+R238*$AE$27+S238*$AE$28+T238*$AE$29+U238*$AE$30</f>
        <v/>
      </c>
      <c r="W238" s="8">
        <f>1/(1+EXP(-V238))</f>
        <v/>
      </c>
      <c r="X238" s="9">
        <f>-IF(C238=1,LN(W238),LN(1-W238))</f>
        <v/>
      </c>
      <c r="Y238" s="8">
        <f>'1 prepared data'!V231</f>
        <v/>
      </c>
      <c r="Z238" s="9">
        <f>Y238*X238</f>
        <v/>
      </c>
      <c r="AA238" s="10">
        <f>IF(W238&gt;$AE$33,1,0)</f>
        <v/>
      </c>
      <c r="AB238">
        <f>IF(AA238=C238,1,0)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$AE$12+D239*$AE$13+E239*$AE$14+F239*$AE$15+G239*$AE$16+H239*$AE$17+I239*$AE$18+J239*$AE$19+K239*$AE$20+L239*$AE$21+M239*$AE$22+N239*$AE$23+O239*$AE$24+P239*$AE$25+Q239*$AE$26+R239*$AE$27+S239*$AE$28+T239*$AE$29+U239*$AE$30</f>
        <v/>
      </c>
      <c r="W239" s="8">
        <f>1/(1+EXP(-V239))</f>
        <v/>
      </c>
      <c r="X239" s="9">
        <f>-IF(C239=1,LN(W239),LN(1-W239))</f>
        <v/>
      </c>
      <c r="Y239" s="8">
        <f>'1 prepared data'!V232</f>
        <v/>
      </c>
      <c r="Z239" s="9">
        <f>Y239*X239</f>
        <v/>
      </c>
      <c r="AA239" s="10">
        <f>IF(W239&gt;$AE$33,1,0)</f>
        <v/>
      </c>
      <c r="AB239">
        <f>IF(AA239=C239,1,0)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$AE$12+D240*$AE$13+E240*$AE$14+F240*$AE$15+G240*$AE$16+H240*$AE$17+I240*$AE$18+J240*$AE$19+K240*$AE$20+L240*$AE$21+M240*$AE$22+N240*$AE$23+O240*$AE$24+P240*$AE$25+Q240*$AE$26+R240*$AE$27+S240*$AE$28+T240*$AE$29+U240*$AE$30</f>
        <v/>
      </c>
      <c r="W240" s="8">
        <f>1/(1+EXP(-V240))</f>
        <v/>
      </c>
      <c r="X240" s="9">
        <f>-IF(C240=1,LN(W240),LN(1-W240))</f>
        <v/>
      </c>
      <c r="Y240" s="8">
        <f>'1 prepared data'!V233</f>
        <v/>
      </c>
      <c r="Z240" s="9">
        <f>Y240*X240</f>
        <v/>
      </c>
      <c r="AA240" s="10">
        <f>IF(W240&gt;$AE$33,1,0)</f>
        <v/>
      </c>
      <c r="AB240">
        <f>IF(AA240=C240,1,0)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$AE$12+D241*$AE$13+E241*$AE$14+F241*$AE$15+G241*$AE$16+H241*$AE$17+I241*$AE$18+J241*$AE$19+K241*$AE$20+L241*$AE$21+M241*$AE$22+N241*$AE$23+O241*$AE$24+P241*$AE$25+Q241*$AE$26+R241*$AE$27+S241*$AE$28+T241*$AE$29+U241*$AE$30</f>
        <v/>
      </c>
      <c r="W241" s="8">
        <f>1/(1+EXP(-V241))</f>
        <v/>
      </c>
      <c r="X241" s="9">
        <f>-IF(C241=1,LN(W241),LN(1-W241))</f>
        <v/>
      </c>
      <c r="Y241" s="8">
        <f>'1 prepared data'!V234</f>
        <v/>
      </c>
      <c r="Z241" s="9">
        <f>Y241*X241</f>
        <v/>
      </c>
      <c r="AA241" s="10">
        <f>IF(W241&gt;$AE$33,1,0)</f>
        <v/>
      </c>
      <c r="AB241">
        <f>IF(AA241=C241,1,0)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$AE$12+D242*$AE$13+E242*$AE$14+F242*$AE$15+G242*$AE$16+H242*$AE$17+I242*$AE$18+J242*$AE$19+K242*$AE$20+L242*$AE$21+M242*$AE$22+N242*$AE$23+O242*$AE$24+P242*$AE$25+Q242*$AE$26+R242*$AE$27+S242*$AE$28+T242*$AE$29+U242*$AE$30</f>
        <v/>
      </c>
      <c r="W242" s="8">
        <f>1/(1+EXP(-V242))</f>
        <v/>
      </c>
      <c r="X242" s="9">
        <f>-IF(C242=1,LN(W242),LN(1-W242))</f>
        <v/>
      </c>
      <c r="Y242" s="8">
        <f>'1 prepared data'!V235</f>
        <v/>
      </c>
      <c r="Z242" s="9">
        <f>Y242*X242</f>
        <v/>
      </c>
      <c r="AA242" s="10">
        <f>IF(W242&gt;$AE$33,1,0)</f>
        <v/>
      </c>
      <c r="AB242">
        <f>IF(AA242=C242,1,0)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$AE$12+D243*$AE$13+E243*$AE$14+F243*$AE$15+G243*$AE$16+H243*$AE$17+I243*$AE$18+J243*$AE$19+K243*$AE$20+L243*$AE$21+M243*$AE$22+N243*$AE$23+O243*$AE$24+P243*$AE$25+Q243*$AE$26+R243*$AE$27+S243*$AE$28+T243*$AE$29+U243*$AE$30</f>
        <v/>
      </c>
      <c r="W243" s="8">
        <f>1/(1+EXP(-V243))</f>
        <v/>
      </c>
      <c r="X243" s="9">
        <f>-IF(C243=1,LN(W243),LN(1-W243))</f>
        <v/>
      </c>
      <c r="Y243" s="8">
        <f>'1 prepared data'!V236</f>
        <v/>
      </c>
      <c r="Z243" s="9">
        <f>Y243*X243</f>
        <v/>
      </c>
      <c r="AA243" s="10">
        <f>IF(W243&gt;$AE$33,1,0)</f>
        <v/>
      </c>
      <c r="AB243">
        <f>IF(AA243=C243,1,0)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$AE$12+D244*$AE$13+E244*$AE$14+F244*$AE$15+G244*$AE$16+H244*$AE$17+I244*$AE$18+J244*$AE$19+K244*$AE$20+L244*$AE$21+M244*$AE$22+N244*$AE$23+O244*$AE$24+P244*$AE$25+Q244*$AE$26+R244*$AE$27+S244*$AE$28+T244*$AE$29+U244*$AE$30</f>
        <v/>
      </c>
      <c r="W244" s="8">
        <f>1/(1+EXP(-V244))</f>
        <v/>
      </c>
      <c r="X244" s="9">
        <f>-IF(C244=1,LN(W244),LN(1-W244))</f>
        <v/>
      </c>
      <c r="Y244" s="8">
        <f>'1 prepared data'!V237</f>
        <v/>
      </c>
      <c r="Z244" s="9">
        <f>Y244*X244</f>
        <v/>
      </c>
      <c r="AA244" s="10">
        <f>IF(W244&gt;$AE$33,1,0)</f>
        <v/>
      </c>
      <c r="AB244">
        <f>IF(AA244=C244,1,0)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$AE$12+D245*$AE$13+E245*$AE$14+F245*$AE$15+G245*$AE$16+H245*$AE$17+I245*$AE$18+J245*$AE$19+K245*$AE$20+L245*$AE$21+M245*$AE$22+N245*$AE$23+O245*$AE$24+P245*$AE$25+Q245*$AE$26+R245*$AE$27+S245*$AE$28+T245*$AE$29+U245*$AE$30</f>
        <v/>
      </c>
      <c r="W245" s="8">
        <f>1/(1+EXP(-V245))</f>
        <v/>
      </c>
      <c r="X245" s="9">
        <f>-IF(C245=1,LN(W245),LN(1-W245))</f>
        <v/>
      </c>
      <c r="Y245" s="8">
        <f>'1 prepared data'!V238</f>
        <v/>
      </c>
      <c r="Z245" s="9">
        <f>Y245*X245</f>
        <v/>
      </c>
      <c r="AA245" s="10">
        <f>IF(W245&gt;$AE$33,1,0)</f>
        <v/>
      </c>
      <c r="AB245">
        <f>IF(AA245=C245,1,0)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$AE$12+D246*$AE$13+E246*$AE$14+F246*$AE$15+G246*$AE$16+H246*$AE$17+I246*$AE$18+J246*$AE$19+K246*$AE$20+L246*$AE$21+M246*$AE$22+N246*$AE$23+O246*$AE$24+P246*$AE$25+Q246*$AE$26+R246*$AE$27+S246*$AE$28+T246*$AE$29+U246*$AE$30</f>
        <v/>
      </c>
      <c r="W246" s="8">
        <f>1/(1+EXP(-V246))</f>
        <v/>
      </c>
      <c r="X246" s="9">
        <f>-IF(C246=1,LN(W246),LN(1-W246))</f>
        <v/>
      </c>
      <c r="Y246" s="8">
        <f>'1 prepared data'!V239</f>
        <v/>
      </c>
      <c r="Z246" s="9">
        <f>Y246*X246</f>
        <v/>
      </c>
      <c r="AA246" s="10">
        <f>IF(W246&gt;$AE$33,1,0)</f>
        <v/>
      </c>
      <c r="AB246">
        <f>IF(AA246=C246,1,0)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$AE$12+D247*$AE$13+E247*$AE$14+F247*$AE$15+G247*$AE$16+H247*$AE$17+I247*$AE$18+J247*$AE$19+K247*$AE$20+L247*$AE$21+M247*$AE$22+N247*$AE$23+O247*$AE$24+P247*$AE$25+Q247*$AE$26+R247*$AE$27+S247*$AE$28+T247*$AE$29+U247*$AE$30</f>
        <v/>
      </c>
      <c r="W247" s="8">
        <f>1/(1+EXP(-V247))</f>
        <v/>
      </c>
      <c r="X247" s="9">
        <f>-IF(C247=1,LN(W247),LN(1-W247))</f>
        <v/>
      </c>
      <c r="Y247" s="8">
        <f>'1 prepared data'!V240</f>
        <v/>
      </c>
      <c r="Z247" s="9">
        <f>Y247*X247</f>
        <v/>
      </c>
      <c r="AA247" s="10">
        <f>IF(W247&gt;$AE$33,1,0)</f>
        <v/>
      </c>
      <c r="AB247">
        <f>IF(AA247=C247,1,0)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$AE$12+D248*$AE$13+E248*$AE$14+F248*$AE$15+G248*$AE$16+H248*$AE$17+I248*$AE$18+J248*$AE$19+K248*$AE$20+L248*$AE$21+M248*$AE$22+N248*$AE$23+O248*$AE$24+P248*$AE$25+Q248*$AE$26+R248*$AE$27+S248*$AE$28+T248*$AE$29+U248*$AE$30</f>
        <v/>
      </c>
      <c r="W248" s="8">
        <f>1/(1+EXP(-V248))</f>
        <v/>
      </c>
      <c r="X248" s="9">
        <f>-IF(C248=1,LN(W248),LN(1-W248))</f>
        <v/>
      </c>
      <c r="Y248" s="8">
        <f>'1 prepared data'!V241</f>
        <v/>
      </c>
      <c r="Z248" s="9">
        <f>Y248*X248</f>
        <v/>
      </c>
      <c r="AA248" s="10">
        <f>IF(W248&gt;$AE$33,1,0)</f>
        <v/>
      </c>
      <c r="AB248">
        <f>IF(AA248=C248,1,0)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$AE$12+D249*$AE$13+E249*$AE$14+F249*$AE$15+G249*$AE$16+H249*$AE$17+I249*$AE$18+J249*$AE$19+K249*$AE$20+L249*$AE$21+M249*$AE$22+N249*$AE$23+O249*$AE$24+P249*$AE$25+Q249*$AE$26+R249*$AE$27+S249*$AE$28+T249*$AE$29+U249*$AE$30</f>
        <v/>
      </c>
      <c r="W249" s="8">
        <f>1/(1+EXP(-V249))</f>
        <v/>
      </c>
      <c r="X249" s="9">
        <f>-IF(C249=1,LN(W249),LN(1-W249))</f>
        <v/>
      </c>
      <c r="Y249" s="8">
        <f>'1 prepared data'!V242</f>
        <v/>
      </c>
      <c r="Z249" s="9">
        <f>Y249*X249</f>
        <v/>
      </c>
      <c r="AA249" s="10">
        <f>IF(W249&gt;$AE$33,1,0)</f>
        <v/>
      </c>
      <c r="AB249">
        <f>IF(AA249=C249,1,0)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$AE$12+D250*$AE$13+E250*$AE$14+F250*$AE$15+G250*$AE$16+H250*$AE$17+I250*$AE$18+J250*$AE$19+K250*$AE$20+L250*$AE$21+M250*$AE$22+N250*$AE$23+O250*$AE$24+P250*$AE$25+Q250*$AE$26+R250*$AE$27+S250*$AE$28+T250*$AE$29+U250*$AE$30</f>
        <v/>
      </c>
      <c r="W250" s="8">
        <f>1/(1+EXP(-V250))</f>
        <v/>
      </c>
      <c r="X250" s="9">
        <f>-IF(C250=1,LN(W250),LN(1-W250))</f>
        <v/>
      </c>
      <c r="Y250" s="8">
        <f>'1 prepared data'!V243</f>
        <v/>
      </c>
      <c r="Z250" s="9">
        <f>Y250*X250</f>
        <v/>
      </c>
      <c r="AA250" s="10">
        <f>IF(W250&gt;$AE$33,1,0)</f>
        <v/>
      </c>
      <c r="AB250">
        <f>IF(AA250=C250,1,0)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$AE$12+D251*$AE$13+E251*$AE$14+F251*$AE$15+G251*$AE$16+H251*$AE$17+I251*$AE$18+J251*$AE$19+K251*$AE$20+L251*$AE$21+M251*$AE$22+N251*$AE$23+O251*$AE$24+P251*$AE$25+Q251*$AE$26+R251*$AE$27+S251*$AE$28+T251*$AE$29+U251*$AE$30</f>
        <v/>
      </c>
      <c r="W251" s="8">
        <f>1/(1+EXP(-V251))</f>
        <v/>
      </c>
      <c r="X251" s="9">
        <f>-IF(C251=1,LN(W251),LN(1-W251))</f>
        <v/>
      </c>
      <c r="Y251" s="8">
        <f>'1 prepared data'!V244</f>
        <v/>
      </c>
      <c r="Z251" s="9">
        <f>Y251*X251</f>
        <v/>
      </c>
      <c r="AA251" s="10">
        <f>IF(W251&gt;$AE$33,1,0)</f>
        <v/>
      </c>
      <c r="AB251">
        <f>IF(AA251=C251,1,0)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$AE$12+D252*$AE$13+E252*$AE$14+F252*$AE$15+G252*$AE$16+H252*$AE$17+I252*$AE$18+J252*$AE$19+K252*$AE$20+L252*$AE$21+M252*$AE$22+N252*$AE$23+O252*$AE$24+P252*$AE$25+Q252*$AE$26+R252*$AE$27+S252*$AE$28+T252*$AE$29+U252*$AE$30</f>
        <v/>
      </c>
      <c r="W252" s="8">
        <f>1/(1+EXP(-V252))</f>
        <v/>
      </c>
      <c r="X252" s="9">
        <f>-IF(C252=1,LN(W252),LN(1-W252))</f>
        <v/>
      </c>
      <c r="Y252" s="8">
        <f>'1 prepared data'!V245</f>
        <v/>
      </c>
      <c r="Z252" s="9">
        <f>Y252*X252</f>
        <v/>
      </c>
      <c r="AA252" s="10">
        <f>IF(W252&gt;$AE$33,1,0)</f>
        <v/>
      </c>
      <c r="AB252">
        <f>IF(AA252=C252,1,0)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$AE$12+D253*$AE$13+E253*$AE$14+F253*$AE$15+G253*$AE$16+H253*$AE$17+I253*$AE$18+J253*$AE$19+K253*$AE$20+L253*$AE$21+M253*$AE$22+N253*$AE$23+O253*$AE$24+P253*$AE$25+Q253*$AE$26+R253*$AE$27+S253*$AE$28+T253*$AE$29+U253*$AE$30</f>
        <v/>
      </c>
      <c r="W253" s="8">
        <f>1/(1+EXP(-V253))</f>
        <v/>
      </c>
      <c r="X253" s="9">
        <f>-IF(C253=1,LN(W253),LN(1-W253))</f>
        <v/>
      </c>
      <c r="Y253" s="8">
        <f>'1 prepared data'!V246</f>
        <v/>
      </c>
      <c r="Z253" s="9">
        <f>Y253*X253</f>
        <v/>
      </c>
      <c r="AA253" s="10">
        <f>IF(W253&gt;$AE$33,1,0)</f>
        <v/>
      </c>
      <c r="AB253">
        <f>IF(AA253=C253,1,0)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$AE$12+D254*$AE$13+E254*$AE$14+F254*$AE$15+G254*$AE$16+H254*$AE$17+I254*$AE$18+J254*$AE$19+K254*$AE$20+L254*$AE$21+M254*$AE$22+N254*$AE$23+O254*$AE$24+P254*$AE$25+Q254*$AE$26+R254*$AE$27+S254*$AE$28+T254*$AE$29+U254*$AE$30</f>
        <v/>
      </c>
      <c r="W254" s="8">
        <f>1/(1+EXP(-V254))</f>
        <v/>
      </c>
      <c r="X254" s="9">
        <f>-IF(C254=1,LN(W254),LN(1-W254))</f>
        <v/>
      </c>
      <c r="Y254" s="8">
        <f>'1 prepared data'!V247</f>
        <v/>
      </c>
      <c r="Z254" s="9">
        <f>Y254*X254</f>
        <v/>
      </c>
      <c r="AA254" s="10">
        <f>IF(W254&gt;$AE$33,1,0)</f>
        <v/>
      </c>
      <c r="AB254">
        <f>IF(AA254=C254,1,0)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$AE$12+D255*$AE$13+E255*$AE$14+F255*$AE$15+G255*$AE$16+H255*$AE$17+I255*$AE$18+J255*$AE$19+K255*$AE$20+L255*$AE$21+M255*$AE$22+N255*$AE$23+O255*$AE$24+P255*$AE$25+Q255*$AE$26+R255*$AE$27+S255*$AE$28+T255*$AE$29+U255*$AE$30</f>
        <v/>
      </c>
      <c r="W255" s="8">
        <f>1/(1+EXP(-V255))</f>
        <v/>
      </c>
      <c r="X255" s="9">
        <f>-IF(C255=1,LN(W255),LN(1-W255))</f>
        <v/>
      </c>
      <c r="Y255" s="8">
        <f>'1 prepared data'!V248</f>
        <v/>
      </c>
      <c r="Z255" s="9">
        <f>Y255*X255</f>
        <v/>
      </c>
      <c r="AA255" s="10">
        <f>IF(W255&gt;$AE$33,1,0)</f>
        <v/>
      </c>
      <c r="AB255">
        <f>IF(AA255=C255,1,0)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$AE$12+D256*$AE$13+E256*$AE$14+F256*$AE$15+G256*$AE$16+H256*$AE$17+I256*$AE$18+J256*$AE$19+K256*$AE$20+L256*$AE$21+M256*$AE$22+N256*$AE$23+O256*$AE$24+P256*$AE$25+Q256*$AE$26+R256*$AE$27+S256*$AE$28+T256*$AE$29+U256*$AE$30</f>
        <v/>
      </c>
      <c r="W256" s="8">
        <f>1/(1+EXP(-V256))</f>
        <v/>
      </c>
      <c r="X256" s="9">
        <f>-IF(C256=1,LN(W256),LN(1-W256))</f>
        <v/>
      </c>
      <c r="Y256" s="8">
        <f>'1 prepared data'!V249</f>
        <v/>
      </c>
      <c r="Z256" s="9">
        <f>Y256*X256</f>
        <v/>
      </c>
      <c r="AA256" s="10">
        <f>IF(W256&gt;$AE$33,1,0)</f>
        <v/>
      </c>
      <c r="AB256">
        <f>IF(AA256=C256,1,0)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$AE$12+D257*$AE$13+E257*$AE$14+F257*$AE$15+G257*$AE$16+H257*$AE$17+I257*$AE$18+J257*$AE$19+K257*$AE$20+L257*$AE$21+M257*$AE$22+N257*$AE$23+O257*$AE$24+P257*$AE$25+Q257*$AE$26+R257*$AE$27+S257*$AE$28+T257*$AE$29+U257*$AE$30</f>
        <v/>
      </c>
      <c r="W257" s="8">
        <f>1/(1+EXP(-V257))</f>
        <v/>
      </c>
      <c r="X257" s="9">
        <f>-IF(C257=1,LN(W257),LN(1-W257))</f>
        <v/>
      </c>
      <c r="Y257" s="8">
        <f>'1 prepared data'!V250</f>
        <v/>
      </c>
      <c r="Z257" s="9">
        <f>Y257*X257</f>
        <v/>
      </c>
      <c r="AA257" s="10">
        <f>IF(W257&gt;$AE$33,1,0)</f>
        <v/>
      </c>
      <c r="AB257">
        <f>IF(AA257=C257,1,0)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$AE$12+D258*$AE$13+E258*$AE$14+F258*$AE$15+G258*$AE$16+H258*$AE$17+I258*$AE$18+J258*$AE$19+K258*$AE$20+L258*$AE$21+M258*$AE$22+N258*$AE$23+O258*$AE$24+P258*$AE$25+Q258*$AE$26+R258*$AE$27+S258*$AE$28+T258*$AE$29+U258*$AE$30</f>
        <v/>
      </c>
      <c r="W258" s="8">
        <f>1/(1+EXP(-V258))</f>
        <v/>
      </c>
      <c r="X258" s="9">
        <f>-IF(C258=1,LN(W258),LN(1-W258))</f>
        <v/>
      </c>
      <c r="Y258" s="8">
        <f>'1 prepared data'!V251</f>
        <v/>
      </c>
      <c r="Z258" s="9">
        <f>Y258*X258</f>
        <v/>
      </c>
      <c r="AA258" s="10">
        <f>IF(W258&gt;$AE$33,1,0)</f>
        <v/>
      </c>
      <c r="AB258">
        <f>IF(AA258=C258,1,0)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$AE$12+D259*$AE$13+E259*$AE$14+F259*$AE$15+G259*$AE$16+H259*$AE$17+I259*$AE$18+J259*$AE$19+K259*$AE$20+L259*$AE$21+M259*$AE$22+N259*$AE$23+O259*$AE$24+P259*$AE$25+Q259*$AE$26+R259*$AE$27+S259*$AE$28+T259*$AE$29+U259*$AE$30</f>
        <v/>
      </c>
      <c r="W259" s="8">
        <f>1/(1+EXP(-V259))</f>
        <v/>
      </c>
      <c r="X259" s="9">
        <f>-IF(C259=1,LN(W259),LN(1-W259))</f>
        <v/>
      </c>
      <c r="Y259" s="8">
        <f>'1 prepared data'!V252</f>
        <v/>
      </c>
      <c r="Z259" s="9">
        <f>Y259*X259</f>
        <v/>
      </c>
      <c r="AA259" s="10">
        <f>IF(W259&gt;$AE$33,1,0)</f>
        <v/>
      </c>
      <c r="AB259">
        <f>IF(AA259=C259,1,0)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$AE$12+D260*$AE$13+E260*$AE$14+F260*$AE$15+G260*$AE$16+H260*$AE$17+I260*$AE$18+J260*$AE$19+K260*$AE$20+L260*$AE$21+M260*$AE$22+N260*$AE$23+O260*$AE$24+P260*$AE$25+Q260*$AE$26+R260*$AE$27+S260*$AE$28+T260*$AE$29+U260*$AE$30</f>
        <v/>
      </c>
      <c r="W260" s="8">
        <f>1/(1+EXP(-V260))</f>
        <v/>
      </c>
      <c r="X260" s="9">
        <f>-IF(C260=1,LN(W260),LN(1-W260))</f>
        <v/>
      </c>
      <c r="Y260" s="8">
        <f>'1 prepared data'!V253</f>
        <v/>
      </c>
      <c r="Z260" s="9">
        <f>Y260*X260</f>
        <v/>
      </c>
      <c r="AA260" s="10">
        <f>IF(W260&gt;$AE$33,1,0)</f>
        <v/>
      </c>
      <c r="AB260">
        <f>IF(AA260=C260,1,0)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$AE$12+D261*$AE$13+E261*$AE$14+F261*$AE$15+G261*$AE$16+H261*$AE$17+I261*$AE$18+J261*$AE$19+K261*$AE$20+L261*$AE$21+M261*$AE$22+N261*$AE$23+O261*$AE$24+P261*$AE$25+Q261*$AE$26+R261*$AE$27+S261*$AE$28+T261*$AE$29+U261*$AE$30</f>
        <v/>
      </c>
      <c r="W261" s="8">
        <f>1/(1+EXP(-V261))</f>
        <v/>
      </c>
      <c r="X261" s="9">
        <f>-IF(C261=1,LN(W261),LN(1-W261))</f>
        <v/>
      </c>
      <c r="Y261" s="8">
        <f>'1 prepared data'!V254</f>
        <v/>
      </c>
      <c r="Z261" s="9">
        <f>Y261*X261</f>
        <v/>
      </c>
      <c r="AA261" s="10">
        <f>IF(W261&gt;$AE$33,1,0)</f>
        <v/>
      </c>
      <c r="AB261">
        <f>IF(AA261=C261,1,0)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$AE$12+D262*$AE$13+E262*$AE$14+F262*$AE$15+G262*$AE$16+H262*$AE$17+I262*$AE$18+J262*$AE$19+K262*$AE$20+L262*$AE$21+M262*$AE$22+N262*$AE$23+O262*$AE$24+P262*$AE$25+Q262*$AE$26+R262*$AE$27+S262*$AE$28+T262*$AE$29+U262*$AE$30</f>
        <v/>
      </c>
      <c r="W262" s="8">
        <f>1/(1+EXP(-V262))</f>
        <v/>
      </c>
      <c r="X262" s="9">
        <f>-IF(C262=1,LN(W262),LN(1-W262))</f>
        <v/>
      </c>
      <c r="Y262" s="8">
        <f>'1 prepared data'!V255</f>
        <v/>
      </c>
      <c r="Z262" s="9">
        <f>Y262*X262</f>
        <v/>
      </c>
      <c r="AA262" s="10">
        <f>IF(W262&gt;$AE$33,1,0)</f>
        <v/>
      </c>
      <c r="AB262">
        <f>IF(AA262=C262,1,0)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$AE$12+D263*$AE$13+E263*$AE$14+F263*$AE$15+G263*$AE$16+H263*$AE$17+I263*$AE$18+J263*$AE$19+K263*$AE$20+L263*$AE$21+M263*$AE$22+N263*$AE$23+O263*$AE$24+P263*$AE$25+Q263*$AE$26+R263*$AE$27+S263*$AE$28+T263*$AE$29+U263*$AE$30</f>
        <v/>
      </c>
      <c r="W263" s="8">
        <f>1/(1+EXP(-V263))</f>
        <v/>
      </c>
      <c r="X263" s="9">
        <f>-IF(C263=1,LN(W263),LN(1-W263))</f>
        <v/>
      </c>
      <c r="Y263" s="8">
        <f>'1 prepared data'!V256</f>
        <v/>
      </c>
      <c r="Z263" s="9">
        <f>Y263*X263</f>
        <v/>
      </c>
      <c r="AA263" s="10">
        <f>IF(W263&gt;$AE$33,1,0)</f>
        <v/>
      </c>
      <c r="AB263">
        <f>IF(AA263=C263,1,0)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$AE$12+D264*$AE$13+E264*$AE$14+F264*$AE$15+G264*$AE$16+H264*$AE$17+I264*$AE$18+J264*$AE$19+K264*$AE$20+L264*$AE$21+M264*$AE$22+N264*$AE$23+O264*$AE$24+P264*$AE$25+Q264*$AE$26+R264*$AE$27+S264*$AE$28+T264*$AE$29+U264*$AE$30</f>
        <v/>
      </c>
      <c r="W264" s="8">
        <f>1/(1+EXP(-V264))</f>
        <v/>
      </c>
      <c r="X264" s="9">
        <f>-IF(C264=1,LN(W264),LN(1-W264))</f>
        <v/>
      </c>
      <c r="Y264" s="8">
        <f>'1 prepared data'!V257</f>
        <v/>
      </c>
      <c r="Z264" s="9">
        <f>Y264*X264</f>
        <v/>
      </c>
      <c r="AA264" s="10">
        <f>IF(W264&gt;$AE$33,1,0)</f>
        <v/>
      </c>
      <c r="AB264">
        <f>IF(AA264=C264,1,0)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$AE$12+D265*$AE$13+E265*$AE$14+F265*$AE$15+G265*$AE$16+H265*$AE$17+I265*$AE$18+J265*$AE$19+K265*$AE$20+L265*$AE$21+M265*$AE$22+N265*$AE$23+O265*$AE$24+P265*$AE$25+Q265*$AE$26+R265*$AE$27+S265*$AE$28+T265*$AE$29+U265*$AE$30</f>
        <v/>
      </c>
      <c r="W265" s="8">
        <f>1/(1+EXP(-V265))</f>
        <v/>
      </c>
      <c r="X265" s="9">
        <f>-IF(C265=1,LN(W265),LN(1-W265))</f>
        <v/>
      </c>
      <c r="Y265" s="8">
        <f>'1 prepared data'!V258</f>
        <v/>
      </c>
      <c r="Z265" s="9">
        <f>Y265*X265</f>
        <v/>
      </c>
      <c r="AA265" s="10">
        <f>IF(W265&gt;$AE$33,1,0)</f>
        <v/>
      </c>
      <c r="AB265">
        <f>IF(AA265=C265,1,0)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$AE$12+D266*$AE$13+E266*$AE$14+F266*$AE$15+G266*$AE$16+H266*$AE$17+I266*$AE$18+J266*$AE$19+K266*$AE$20+L266*$AE$21+M266*$AE$22+N266*$AE$23+O266*$AE$24+P266*$AE$25+Q266*$AE$26+R266*$AE$27+S266*$AE$28+T266*$AE$29+U266*$AE$30</f>
        <v/>
      </c>
      <c r="W266" s="8">
        <f>1/(1+EXP(-V266))</f>
        <v/>
      </c>
      <c r="X266" s="9">
        <f>-IF(C266=1,LN(W266),LN(1-W266))</f>
        <v/>
      </c>
      <c r="Y266" s="8">
        <f>'1 prepared data'!V259</f>
        <v/>
      </c>
      <c r="Z266" s="9">
        <f>Y266*X266</f>
        <v/>
      </c>
      <c r="AA266" s="10">
        <f>IF(W266&gt;$AE$33,1,0)</f>
        <v/>
      </c>
      <c r="AB266">
        <f>IF(AA266=C266,1,0)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$AE$12+D267*$AE$13+E267*$AE$14+F267*$AE$15+G267*$AE$16+H267*$AE$17+I267*$AE$18+J267*$AE$19+K267*$AE$20+L267*$AE$21+M267*$AE$22+N267*$AE$23+O267*$AE$24+P267*$AE$25+Q267*$AE$26+R267*$AE$27+S267*$AE$28+T267*$AE$29+U267*$AE$30</f>
        <v/>
      </c>
      <c r="W267" s="8">
        <f>1/(1+EXP(-V267))</f>
        <v/>
      </c>
      <c r="X267" s="9">
        <f>-IF(C267=1,LN(W267),LN(1-W267))</f>
        <v/>
      </c>
      <c r="Y267" s="8">
        <f>'1 prepared data'!V260</f>
        <v/>
      </c>
      <c r="Z267" s="9">
        <f>Y267*X267</f>
        <v/>
      </c>
      <c r="AA267" s="10">
        <f>IF(W267&gt;$AE$33,1,0)</f>
        <v/>
      </c>
      <c r="AB267">
        <f>IF(AA267=C267,1,0)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$AE$12+D268*$AE$13+E268*$AE$14+F268*$AE$15+G268*$AE$16+H268*$AE$17+I268*$AE$18+J268*$AE$19+K268*$AE$20+L268*$AE$21+M268*$AE$22+N268*$AE$23+O268*$AE$24+P268*$AE$25+Q268*$AE$26+R268*$AE$27+S268*$AE$28+T268*$AE$29+U268*$AE$30</f>
        <v/>
      </c>
      <c r="W268" s="8">
        <f>1/(1+EXP(-V268))</f>
        <v/>
      </c>
      <c r="X268" s="9">
        <f>-IF(C268=1,LN(W268),LN(1-W268))</f>
        <v/>
      </c>
      <c r="Y268" s="8">
        <f>'1 prepared data'!V261</f>
        <v/>
      </c>
      <c r="Z268" s="9">
        <f>Y268*X268</f>
        <v/>
      </c>
      <c r="AA268" s="10">
        <f>IF(W268&gt;$AE$33,1,0)</f>
        <v/>
      </c>
      <c r="AB268">
        <f>IF(AA268=C268,1,0)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$AE$12+D269*$AE$13+E269*$AE$14+F269*$AE$15+G269*$AE$16+H269*$AE$17+I269*$AE$18+J269*$AE$19+K269*$AE$20+L269*$AE$21+M269*$AE$22+N269*$AE$23+O269*$AE$24+P269*$AE$25+Q269*$AE$26+R269*$AE$27+S269*$AE$28+T269*$AE$29+U269*$AE$30</f>
        <v/>
      </c>
      <c r="W269" s="8">
        <f>1/(1+EXP(-V269))</f>
        <v/>
      </c>
      <c r="X269" s="9">
        <f>-IF(C269=1,LN(W269),LN(1-W269))</f>
        <v/>
      </c>
      <c r="Y269" s="8">
        <f>'1 prepared data'!V262</f>
        <v/>
      </c>
      <c r="Z269" s="9">
        <f>Y269*X269</f>
        <v/>
      </c>
      <c r="AA269" s="10">
        <f>IF(W269&gt;$AE$33,1,0)</f>
        <v/>
      </c>
      <c r="AB269">
        <f>IF(AA269=C269,1,0)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$AE$12+D270*$AE$13+E270*$AE$14+F270*$AE$15+G270*$AE$16+H270*$AE$17+I270*$AE$18+J270*$AE$19+K270*$AE$20+L270*$AE$21+M270*$AE$22+N270*$AE$23+O270*$AE$24+P270*$AE$25+Q270*$AE$26+R270*$AE$27+S270*$AE$28+T270*$AE$29+U270*$AE$30</f>
        <v/>
      </c>
      <c r="W270" s="8">
        <f>1/(1+EXP(-V270))</f>
        <v/>
      </c>
      <c r="X270" s="9">
        <f>-IF(C270=1,LN(W270),LN(1-W270))</f>
        <v/>
      </c>
      <c r="Y270" s="8">
        <f>'1 prepared data'!V263</f>
        <v/>
      </c>
      <c r="Z270" s="9">
        <f>Y270*X270</f>
        <v/>
      </c>
      <c r="AA270" s="10">
        <f>IF(W270&gt;$AE$33,1,0)</f>
        <v/>
      </c>
      <c r="AB270">
        <f>IF(AA270=C270,1,0)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$AE$12+D271*$AE$13+E271*$AE$14+F271*$AE$15+G271*$AE$16+H271*$AE$17+I271*$AE$18+J271*$AE$19+K271*$AE$20+L271*$AE$21+M271*$AE$22+N271*$AE$23+O271*$AE$24+P271*$AE$25+Q271*$AE$26+R271*$AE$27+S271*$AE$28+T271*$AE$29+U271*$AE$30</f>
        <v/>
      </c>
      <c r="W271" s="8">
        <f>1/(1+EXP(-V271))</f>
        <v/>
      </c>
      <c r="X271" s="9">
        <f>-IF(C271=1,LN(W271),LN(1-W271))</f>
        <v/>
      </c>
      <c r="Y271" s="8">
        <f>'1 prepared data'!V264</f>
        <v/>
      </c>
      <c r="Z271" s="9">
        <f>Y271*X271</f>
        <v/>
      </c>
      <c r="AA271" s="10">
        <f>IF(W271&gt;$AE$33,1,0)</f>
        <v/>
      </c>
      <c r="AB271">
        <f>IF(AA271=C271,1,0)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$AE$12+D272*$AE$13+E272*$AE$14+F272*$AE$15+G272*$AE$16+H272*$AE$17+I272*$AE$18+J272*$AE$19+K272*$AE$20+L272*$AE$21+M272*$AE$22+N272*$AE$23+O272*$AE$24+P272*$AE$25+Q272*$AE$26+R272*$AE$27+S272*$AE$28+T272*$AE$29+U272*$AE$30</f>
        <v/>
      </c>
      <c r="W272" s="8">
        <f>1/(1+EXP(-V272))</f>
        <v/>
      </c>
      <c r="X272" s="9">
        <f>-IF(C272=1,LN(W272),LN(1-W272))</f>
        <v/>
      </c>
      <c r="Y272" s="8">
        <f>'1 prepared data'!V265</f>
        <v/>
      </c>
      <c r="Z272" s="9">
        <f>Y272*X272</f>
        <v/>
      </c>
      <c r="AA272" s="10">
        <f>IF(W272&gt;$AE$33,1,0)</f>
        <v/>
      </c>
      <c r="AB272">
        <f>IF(AA272=C272,1,0)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$AE$12+D273*$AE$13+E273*$AE$14+F273*$AE$15+G273*$AE$16+H273*$AE$17+I273*$AE$18+J273*$AE$19+K273*$AE$20+L273*$AE$21+M273*$AE$22+N273*$AE$23+O273*$AE$24+P273*$AE$25+Q273*$AE$26+R273*$AE$27+S273*$AE$28+T273*$AE$29+U273*$AE$30</f>
        <v/>
      </c>
      <c r="W273" s="8">
        <f>1/(1+EXP(-V273))</f>
        <v/>
      </c>
      <c r="X273" s="9">
        <f>-IF(C273=1,LN(W273),LN(1-W273))</f>
        <v/>
      </c>
      <c r="Y273" s="8">
        <f>'1 prepared data'!V266</f>
        <v/>
      </c>
      <c r="Z273" s="9">
        <f>Y273*X273</f>
        <v/>
      </c>
      <c r="AA273" s="10">
        <f>IF(W273&gt;$AE$33,1,0)</f>
        <v/>
      </c>
      <c r="AB273">
        <f>IF(AA273=C273,1,0)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$AE$12+D274*$AE$13+E274*$AE$14+F274*$AE$15+G274*$AE$16+H274*$AE$17+I274*$AE$18+J274*$AE$19+K274*$AE$20+L274*$AE$21+M274*$AE$22+N274*$AE$23+O274*$AE$24+P274*$AE$25+Q274*$AE$26+R274*$AE$27+S274*$AE$28+T274*$AE$29+U274*$AE$30</f>
        <v/>
      </c>
      <c r="W274" s="8">
        <f>1/(1+EXP(-V274))</f>
        <v/>
      </c>
      <c r="X274" s="9">
        <f>-IF(C274=1,LN(W274),LN(1-W274))</f>
        <v/>
      </c>
      <c r="Y274" s="8">
        <f>'1 prepared data'!V267</f>
        <v/>
      </c>
      <c r="Z274" s="9">
        <f>Y274*X274</f>
        <v/>
      </c>
      <c r="AA274" s="10">
        <f>IF(W274&gt;$AE$33,1,0)</f>
        <v/>
      </c>
      <c r="AB274">
        <f>IF(AA274=C274,1,0)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$AE$12+D275*$AE$13+E275*$AE$14+F275*$AE$15+G275*$AE$16+H275*$AE$17+I275*$AE$18+J275*$AE$19+K275*$AE$20+L275*$AE$21+M275*$AE$22+N275*$AE$23+O275*$AE$24+P275*$AE$25+Q275*$AE$26+R275*$AE$27+S275*$AE$28+T275*$AE$29+U275*$AE$30</f>
        <v/>
      </c>
      <c r="W275" s="8">
        <f>1/(1+EXP(-V275))</f>
        <v/>
      </c>
      <c r="X275" s="9">
        <f>-IF(C275=1,LN(W275),LN(1-W275))</f>
        <v/>
      </c>
      <c r="Y275" s="8">
        <f>'1 prepared data'!V268</f>
        <v/>
      </c>
      <c r="Z275" s="9">
        <f>Y275*X275</f>
        <v/>
      </c>
      <c r="AA275" s="10">
        <f>IF(W275&gt;$AE$33,1,0)</f>
        <v/>
      </c>
      <c r="AB275">
        <f>IF(AA275=C275,1,0)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$AE$12+D276*$AE$13+E276*$AE$14+F276*$AE$15+G276*$AE$16+H276*$AE$17+I276*$AE$18+J276*$AE$19+K276*$AE$20+L276*$AE$21+M276*$AE$22+N276*$AE$23+O276*$AE$24+P276*$AE$25+Q276*$AE$26+R276*$AE$27+S276*$AE$28+T276*$AE$29+U276*$AE$30</f>
        <v/>
      </c>
      <c r="W276" s="8">
        <f>1/(1+EXP(-V276))</f>
        <v/>
      </c>
      <c r="X276" s="9">
        <f>-IF(C276=1,LN(W276),LN(1-W276))</f>
        <v/>
      </c>
      <c r="Y276" s="8">
        <f>'1 prepared data'!V269</f>
        <v/>
      </c>
      <c r="Z276" s="9">
        <f>Y276*X276</f>
        <v/>
      </c>
      <c r="AA276" s="10">
        <f>IF(W276&gt;$AE$33,1,0)</f>
        <v/>
      </c>
      <c r="AB276">
        <f>IF(AA276=C276,1,0)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$AE$12+D277*$AE$13+E277*$AE$14+F277*$AE$15+G277*$AE$16+H277*$AE$17+I277*$AE$18+J277*$AE$19+K277*$AE$20+L277*$AE$21+M277*$AE$22+N277*$AE$23+O277*$AE$24+P277*$AE$25+Q277*$AE$26+R277*$AE$27+S277*$AE$28+T277*$AE$29+U277*$AE$30</f>
        <v/>
      </c>
      <c r="W277" s="8">
        <f>1/(1+EXP(-V277))</f>
        <v/>
      </c>
      <c r="X277" s="9">
        <f>-IF(C277=1,LN(W277),LN(1-W277))</f>
        <v/>
      </c>
      <c r="Y277" s="8">
        <f>'1 prepared data'!V270</f>
        <v/>
      </c>
      <c r="Z277" s="9">
        <f>Y277*X277</f>
        <v/>
      </c>
      <c r="AA277" s="10">
        <f>IF(W277&gt;$AE$33,1,0)</f>
        <v/>
      </c>
      <c r="AB277">
        <f>IF(AA277=C277,1,0)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$AE$12+D278*$AE$13+E278*$AE$14+F278*$AE$15+G278*$AE$16+H278*$AE$17+I278*$AE$18+J278*$AE$19+K278*$AE$20+L278*$AE$21+M278*$AE$22+N278*$AE$23+O278*$AE$24+P278*$AE$25+Q278*$AE$26+R278*$AE$27+S278*$AE$28+T278*$AE$29+U278*$AE$30</f>
        <v/>
      </c>
      <c r="W278" s="8">
        <f>1/(1+EXP(-V278))</f>
        <v/>
      </c>
      <c r="X278" s="9">
        <f>-IF(C278=1,LN(W278),LN(1-W278))</f>
        <v/>
      </c>
      <c r="Y278" s="8">
        <f>'1 prepared data'!V271</f>
        <v/>
      </c>
      <c r="Z278" s="9">
        <f>Y278*X278</f>
        <v/>
      </c>
      <c r="AA278" s="10">
        <f>IF(W278&gt;$AE$33,1,0)</f>
        <v/>
      </c>
      <c r="AB278">
        <f>IF(AA278=C278,1,0)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$AE$12+D279*$AE$13+E279*$AE$14+F279*$AE$15+G279*$AE$16+H279*$AE$17+I279*$AE$18+J279*$AE$19+K279*$AE$20+L279*$AE$21+M279*$AE$22+N279*$AE$23+O279*$AE$24+P279*$AE$25+Q279*$AE$26+R279*$AE$27+S279*$AE$28+T279*$AE$29+U279*$AE$30</f>
        <v/>
      </c>
      <c r="W279" s="8">
        <f>1/(1+EXP(-V279))</f>
        <v/>
      </c>
      <c r="X279" s="9">
        <f>-IF(C279=1,LN(W279),LN(1-W279))</f>
        <v/>
      </c>
      <c r="Y279" s="8">
        <f>'1 prepared data'!V272</f>
        <v/>
      </c>
      <c r="Z279" s="9">
        <f>Y279*X279</f>
        <v/>
      </c>
      <c r="AA279" s="10">
        <f>IF(W279&gt;$AE$33,1,0)</f>
        <v/>
      </c>
      <c r="AB279">
        <f>IF(AA279=C279,1,0)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$AE$12+D280*$AE$13+E280*$AE$14+F280*$AE$15+G280*$AE$16+H280*$AE$17+I280*$AE$18+J280*$AE$19+K280*$AE$20+L280*$AE$21+M280*$AE$22+N280*$AE$23+O280*$AE$24+P280*$AE$25+Q280*$AE$26+R280*$AE$27+S280*$AE$28+T280*$AE$29+U280*$AE$30</f>
        <v/>
      </c>
      <c r="W280" s="8">
        <f>1/(1+EXP(-V280))</f>
        <v/>
      </c>
      <c r="X280" s="9">
        <f>-IF(C280=1,LN(W280),LN(1-W280))</f>
        <v/>
      </c>
      <c r="Y280" s="8">
        <f>'1 prepared data'!V273</f>
        <v/>
      </c>
      <c r="Z280" s="9">
        <f>Y280*X280</f>
        <v/>
      </c>
      <c r="AA280" s="10">
        <f>IF(W280&gt;$AE$33,1,0)</f>
        <v/>
      </c>
      <c r="AB280">
        <f>IF(AA280=C280,1,0)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$AE$12+D281*$AE$13+E281*$AE$14+F281*$AE$15+G281*$AE$16+H281*$AE$17+I281*$AE$18+J281*$AE$19+K281*$AE$20+L281*$AE$21+M281*$AE$22+N281*$AE$23+O281*$AE$24+P281*$AE$25+Q281*$AE$26+R281*$AE$27+S281*$AE$28+T281*$AE$29+U281*$AE$30</f>
        <v/>
      </c>
      <c r="W281" s="8">
        <f>1/(1+EXP(-V281))</f>
        <v/>
      </c>
      <c r="X281" s="9">
        <f>-IF(C281=1,LN(W281),LN(1-W281))</f>
        <v/>
      </c>
      <c r="Y281" s="8">
        <f>'1 prepared data'!V274</f>
        <v/>
      </c>
      <c r="Z281" s="9">
        <f>Y281*X281</f>
        <v/>
      </c>
      <c r="AA281" s="10">
        <f>IF(W281&gt;$AE$33,1,0)</f>
        <v/>
      </c>
      <c r="AB281">
        <f>IF(AA281=C281,1,0)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$AE$12+D282*$AE$13+E282*$AE$14+F282*$AE$15+G282*$AE$16+H282*$AE$17+I282*$AE$18+J282*$AE$19+K282*$AE$20+L282*$AE$21+M282*$AE$22+N282*$AE$23+O282*$AE$24+P282*$AE$25+Q282*$AE$26+R282*$AE$27+S282*$AE$28+T282*$AE$29+U282*$AE$30</f>
        <v/>
      </c>
      <c r="W282" s="8">
        <f>1/(1+EXP(-V282))</f>
        <v/>
      </c>
      <c r="X282" s="9">
        <f>-IF(C282=1,LN(W282),LN(1-W282))</f>
        <v/>
      </c>
      <c r="Y282" s="8">
        <f>'1 prepared data'!V275</f>
        <v/>
      </c>
      <c r="Z282" s="9">
        <f>Y282*X282</f>
        <v/>
      </c>
      <c r="AA282" s="10">
        <f>IF(W282&gt;$AE$33,1,0)</f>
        <v/>
      </c>
      <c r="AB282">
        <f>IF(AA282=C282,1,0)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$AE$12+D283*$AE$13+E283*$AE$14+F283*$AE$15+G283*$AE$16+H283*$AE$17+I283*$AE$18+J283*$AE$19+K283*$AE$20+L283*$AE$21+M283*$AE$22+N283*$AE$23+O283*$AE$24+P283*$AE$25+Q283*$AE$26+R283*$AE$27+S283*$AE$28+T283*$AE$29+U283*$AE$30</f>
        <v/>
      </c>
      <c r="W283" s="8">
        <f>1/(1+EXP(-V283))</f>
        <v/>
      </c>
      <c r="X283" s="9">
        <f>-IF(C283=1,LN(W283),LN(1-W283))</f>
        <v/>
      </c>
      <c r="Y283" s="8">
        <f>'1 prepared data'!V276</f>
        <v/>
      </c>
      <c r="Z283" s="9">
        <f>Y283*X283</f>
        <v/>
      </c>
      <c r="AA283" s="10">
        <f>IF(W283&gt;$AE$33,1,0)</f>
        <v/>
      </c>
      <c r="AB283">
        <f>IF(AA283=C283,1,0)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$AE$12+D284*$AE$13+E284*$AE$14+F284*$AE$15+G284*$AE$16+H284*$AE$17+I284*$AE$18+J284*$AE$19+K284*$AE$20+L284*$AE$21+M284*$AE$22+N284*$AE$23+O284*$AE$24+P284*$AE$25+Q284*$AE$26+R284*$AE$27+S284*$AE$28+T284*$AE$29+U284*$AE$30</f>
        <v/>
      </c>
      <c r="W284" s="8">
        <f>1/(1+EXP(-V284))</f>
        <v/>
      </c>
      <c r="X284" s="9">
        <f>-IF(C284=1,LN(W284),LN(1-W284))</f>
        <v/>
      </c>
      <c r="Y284" s="8">
        <f>'1 prepared data'!V277</f>
        <v/>
      </c>
      <c r="Z284" s="9">
        <f>Y284*X284</f>
        <v/>
      </c>
      <c r="AA284" s="10">
        <f>IF(W284&gt;$AE$33,1,0)</f>
        <v/>
      </c>
      <c r="AB284">
        <f>IF(AA284=C284,1,0)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$AE$12+D285*$AE$13+E285*$AE$14+F285*$AE$15+G285*$AE$16+H285*$AE$17+I285*$AE$18+J285*$AE$19+K285*$AE$20+L285*$AE$21+M285*$AE$22+N285*$AE$23+O285*$AE$24+P285*$AE$25+Q285*$AE$26+R285*$AE$27+S285*$AE$28+T285*$AE$29+U285*$AE$30</f>
        <v/>
      </c>
      <c r="W285" s="8">
        <f>1/(1+EXP(-V285))</f>
        <v/>
      </c>
      <c r="X285" s="9">
        <f>-IF(C285=1,LN(W285),LN(1-W285))</f>
        <v/>
      </c>
      <c r="Y285" s="8">
        <f>'1 prepared data'!V278</f>
        <v/>
      </c>
      <c r="Z285" s="9">
        <f>Y285*X285</f>
        <v/>
      </c>
      <c r="AA285" s="10">
        <f>IF(W285&gt;$AE$33,1,0)</f>
        <v/>
      </c>
      <c r="AB285">
        <f>IF(AA285=C285,1,0)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$AE$12+D286*$AE$13+E286*$AE$14+F286*$AE$15+G286*$AE$16+H286*$AE$17+I286*$AE$18+J286*$AE$19+K286*$AE$20+L286*$AE$21+M286*$AE$22+N286*$AE$23+O286*$AE$24+P286*$AE$25+Q286*$AE$26+R286*$AE$27+S286*$AE$28+T286*$AE$29+U286*$AE$30</f>
        <v/>
      </c>
      <c r="W286" s="8">
        <f>1/(1+EXP(-V286))</f>
        <v/>
      </c>
      <c r="X286" s="9">
        <f>-IF(C286=1,LN(W286),LN(1-W286))</f>
        <v/>
      </c>
      <c r="Y286" s="8">
        <f>'1 prepared data'!V279</f>
        <v/>
      </c>
      <c r="Z286" s="9">
        <f>Y286*X286</f>
        <v/>
      </c>
      <c r="AA286" s="10">
        <f>IF(W286&gt;$AE$33,1,0)</f>
        <v/>
      </c>
      <c r="AB286">
        <f>IF(AA286=C286,1,0)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$AE$12+D287*$AE$13+E287*$AE$14+F287*$AE$15+G287*$AE$16+H287*$AE$17+I287*$AE$18+J287*$AE$19+K287*$AE$20+L287*$AE$21+M287*$AE$22+N287*$AE$23+O287*$AE$24+P287*$AE$25+Q287*$AE$26+R287*$AE$27+S287*$AE$28+T287*$AE$29+U287*$AE$30</f>
        <v/>
      </c>
      <c r="W287" s="8">
        <f>1/(1+EXP(-V287))</f>
        <v/>
      </c>
      <c r="X287" s="9">
        <f>-IF(C287=1,LN(W287),LN(1-W287))</f>
        <v/>
      </c>
      <c r="Y287" s="8">
        <f>'1 prepared data'!V280</f>
        <v/>
      </c>
      <c r="Z287" s="9">
        <f>Y287*X287</f>
        <v/>
      </c>
      <c r="AA287" s="10">
        <f>IF(W287&gt;$AE$33,1,0)</f>
        <v/>
      </c>
      <c r="AB287">
        <f>IF(AA287=C287,1,0)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$AE$12+D288*$AE$13+E288*$AE$14+F288*$AE$15+G288*$AE$16+H288*$AE$17+I288*$AE$18+J288*$AE$19+K288*$AE$20+L288*$AE$21+M288*$AE$22+N288*$AE$23+O288*$AE$24+P288*$AE$25+Q288*$AE$26+R288*$AE$27+S288*$AE$28+T288*$AE$29+U288*$AE$30</f>
        <v/>
      </c>
      <c r="W288" s="8">
        <f>1/(1+EXP(-V288))</f>
        <v/>
      </c>
      <c r="X288" s="9">
        <f>-IF(C288=1,LN(W288),LN(1-W288))</f>
        <v/>
      </c>
      <c r="Y288" s="8">
        <f>'1 prepared data'!V281</f>
        <v/>
      </c>
      <c r="Z288" s="9">
        <f>Y288*X288</f>
        <v/>
      </c>
      <c r="AA288" s="10">
        <f>IF(W288&gt;$AE$33,1,0)</f>
        <v/>
      </c>
      <c r="AB288">
        <f>IF(AA288=C288,1,0)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$AE$12+D289*$AE$13+E289*$AE$14+F289*$AE$15+G289*$AE$16+H289*$AE$17+I289*$AE$18+J289*$AE$19+K289*$AE$20+L289*$AE$21+M289*$AE$22+N289*$AE$23+O289*$AE$24+P289*$AE$25+Q289*$AE$26+R289*$AE$27+S289*$AE$28+T289*$AE$29+U289*$AE$30</f>
        <v/>
      </c>
      <c r="W289" s="8">
        <f>1/(1+EXP(-V289))</f>
        <v/>
      </c>
      <c r="X289" s="9">
        <f>-IF(C289=1,LN(W289),LN(1-W289))</f>
        <v/>
      </c>
      <c r="Y289" s="8">
        <f>'1 prepared data'!V282</f>
        <v/>
      </c>
      <c r="Z289" s="9">
        <f>Y289*X289</f>
        <v/>
      </c>
      <c r="AA289" s="10">
        <f>IF(W289&gt;$AE$33,1,0)</f>
        <v/>
      </c>
      <c r="AB289">
        <f>IF(AA289=C289,1,0)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$AE$12+D290*$AE$13+E290*$AE$14+F290*$AE$15+G290*$AE$16+H290*$AE$17+I290*$AE$18+J290*$AE$19+K290*$AE$20+L290*$AE$21+M290*$AE$22+N290*$AE$23+O290*$AE$24+P290*$AE$25+Q290*$AE$26+R290*$AE$27+S290*$AE$28+T290*$AE$29+U290*$AE$30</f>
        <v/>
      </c>
      <c r="W290" s="8">
        <f>1/(1+EXP(-V290))</f>
        <v/>
      </c>
      <c r="X290" s="9">
        <f>-IF(C290=1,LN(W290),LN(1-W290))</f>
        <v/>
      </c>
      <c r="Y290" s="8">
        <f>'1 prepared data'!V283</f>
        <v/>
      </c>
      <c r="Z290" s="9">
        <f>Y290*X290</f>
        <v/>
      </c>
      <c r="AA290" s="10">
        <f>IF(W290&gt;$AE$33,1,0)</f>
        <v/>
      </c>
      <c r="AB290">
        <f>IF(AA290=C290,1,0)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$AE$12+D291*$AE$13+E291*$AE$14+F291*$AE$15+G291*$AE$16+H291*$AE$17+I291*$AE$18+J291*$AE$19+K291*$AE$20+L291*$AE$21+M291*$AE$22+N291*$AE$23+O291*$AE$24+P291*$AE$25+Q291*$AE$26+R291*$AE$27+S291*$AE$28+T291*$AE$29+U291*$AE$30</f>
        <v/>
      </c>
      <c r="W291" s="8">
        <f>1/(1+EXP(-V291))</f>
        <v/>
      </c>
      <c r="X291" s="9">
        <f>-IF(C291=1,LN(W291),LN(1-W291))</f>
        <v/>
      </c>
      <c r="Y291" s="8">
        <f>'1 prepared data'!V284</f>
        <v/>
      </c>
      <c r="Z291" s="9">
        <f>Y291*X291</f>
        <v/>
      </c>
      <c r="AA291" s="10">
        <f>IF(W291&gt;$AE$33,1,0)</f>
        <v/>
      </c>
      <c r="AB291">
        <f>IF(AA291=C291,1,0)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$AE$12+D292*$AE$13+E292*$AE$14+F292*$AE$15+G292*$AE$16+H292*$AE$17+I292*$AE$18+J292*$AE$19+K292*$AE$20+L292*$AE$21+M292*$AE$22+N292*$AE$23+O292*$AE$24+P292*$AE$25+Q292*$AE$26+R292*$AE$27+S292*$AE$28+T292*$AE$29+U292*$AE$30</f>
        <v/>
      </c>
      <c r="W292" s="8">
        <f>1/(1+EXP(-V292))</f>
        <v/>
      </c>
      <c r="X292" s="9">
        <f>-IF(C292=1,LN(W292),LN(1-W292))</f>
        <v/>
      </c>
      <c r="Y292" s="8">
        <f>'1 prepared data'!V285</f>
        <v/>
      </c>
      <c r="Z292" s="9">
        <f>Y292*X292</f>
        <v/>
      </c>
      <c r="AA292" s="10">
        <f>IF(W292&gt;$AE$33,1,0)</f>
        <v/>
      </c>
      <c r="AB292">
        <f>IF(AA292=C292,1,0)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$AE$12+D293*$AE$13+E293*$AE$14+F293*$AE$15+G293*$AE$16+H293*$AE$17+I293*$AE$18+J293*$AE$19+K293*$AE$20+L293*$AE$21+M293*$AE$22+N293*$AE$23+O293*$AE$24+P293*$AE$25+Q293*$AE$26+R293*$AE$27+S293*$AE$28+T293*$AE$29+U293*$AE$30</f>
        <v/>
      </c>
      <c r="W293" s="8">
        <f>1/(1+EXP(-V293))</f>
        <v/>
      </c>
      <c r="X293" s="9">
        <f>-IF(C293=1,LN(W293),LN(1-W293))</f>
        <v/>
      </c>
      <c r="Y293" s="8">
        <f>'1 prepared data'!V286</f>
        <v/>
      </c>
      <c r="Z293" s="9">
        <f>Y293*X293</f>
        <v/>
      </c>
      <c r="AA293" s="10">
        <f>IF(W293&gt;$AE$33,1,0)</f>
        <v/>
      </c>
      <c r="AB293">
        <f>IF(AA293=C293,1,0)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$AE$12+D294*$AE$13+E294*$AE$14+F294*$AE$15+G294*$AE$16+H294*$AE$17+I294*$AE$18+J294*$AE$19+K294*$AE$20+L294*$AE$21+M294*$AE$22+N294*$AE$23+O294*$AE$24+P294*$AE$25+Q294*$AE$26+R294*$AE$27+S294*$AE$28+T294*$AE$29+U294*$AE$30</f>
        <v/>
      </c>
      <c r="W294" s="8">
        <f>1/(1+EXP(-V294))</f>
        <v/>
      </c>
      <c r="X294" s="9">
        <f>-IF(C294=1,LN(W294),LN(1-W294))</f>
        <v/>
      </c>
      <c r="Y294" s="8">
        <f>'1 prepared data'!V287</f>
        <v/>
      </c>
      <c r="Z294" s="9">
        <f>Y294*X294</f>
        <v/>
      </c>
      <c r="AA294" s="10">
        <f>IF(W294&gt;$AE$33,1,0)</f>
        <v/>
      </c>
      <c r="AB294">
        <f>IF(AA294=C294,1,0)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$AE$12+D295*$AE$13+E295*$AE$14+F295*$AE$15+G295*$AE$16+H295*$AE$17+I295*$AE$18+J295*$AE$19+K295*$AE$20+L295*$AE$21+M295*$AE$22+N295*$AE$23+O295*$AE$24+P295*$AE$25+Q295*$AE$26+R295*$AE$27+S295*$AE$28+T295*$AE$29+U295*$AE$30</f>
        <v/>
      </c>
      <c r="W295" s="8">
        <f>1/(1+EXP(-V295))</f>
        <v/>
      </c>
      <c r="X295" s="9">
        <f>-IF(C295=1,LN(W295),LN(1-W295))</f>
        <v/>
      </c>
      <c r="Y295" s="8">
        <f>'1 prepared data'!V288</f>
        <v/>
      </c>
      <c r="Z295" s="9">
        <f>Y295*X295</f>
        <v/>
      </c>
      <c r="AA295" s="10">
        <f>IF(W295&gt;$AE$33,1,0)</f>
        <v/>
      </c>
      <c r="AB295">
        <f>IF(AA295=C295,1,0)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$AE$12+D296*$AE$13+E296*$AE$14+F296*$AE$15+G296*$AE$16+H296*$AE$17+I296*$AE$18+J296*$AE$19+K296*$AE$20+L296*$AE$21+M296*$AE$22+N296*$AE$23+O296*$AE$24+P296*$AE$25+Q296*$AE$26+R296*$AE$27+S296*$AE$28+T296*$AE$29+U296*$AE$30</f>
        <v/>
      </c>
      <c r="W296" s="8">
        <f>1/(1+EXP(-V296))</f>
        <v/>
      </c>
      <c r="X296" s="9">
        <f>-IF(C296=1,LN(W296),LN(1-W296))</f>
        <v/>
      </c>
      <c r="Y296" s="8">
        <f>'1 prepared data'!V289</f>
        <v/>
      </c>
      <c r="Z296" s="9">
        <f>Y296*X296</f>
        <v/>
      </c>
      <c r="AA296" s="10">
        <f>IF(W296&gt;$AE$33,1,0)</f>
        <v/>
      </c>
      <c r="AB296">
        <f>IF(AA296=C296,1,0)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$AE$12+D297*$AE$13+E297*$AE$14+F297*$AE$15+G297*$AE$16+H297*$AE$17+I297*$AE$18+J297*$AE$19+K297*$AE$20+L297*$AE$21+M297*$AE$22+N297*$AE$23+O297*$AE$24+P297*$AE$25+Q297*$AE$26+R297*$AE$27+S297*$AE$28+T297*$AE$29+U297*$AE$30</f>
        <v/>
      </c>
      <c r="W297" s="8">
        <f>1/(1+EXP(-V297))</f>
        <v/>
      </c>
      <c r="X297" s="9">
        <f>-IF(C297=1,LN(W297),LN(1-W297))</f>
        <v/>
      </c>
      <c r="Y297" s="8">
        <f>'1 prepared data'!V290</f>
        <v/>
      </c>
      <c r="Z297" s="9">
        <f>Y297*X297</f>
        <v/>
      </c>
      <c r="AA297" s="10">
        <f>IF(W297&gt;$AE$33,1,0)</f>
        <v/>
      </c>
      <c r="AB297">
        <f>IF(AA297=C297,1,0)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$AE$12+D298*$AE$13+E298*$AE$14+F298*$AE$15+G298*$AE$16+H298*$AE$17+I298*$AE$18+J298*$AE$19+K298*$AE$20+L298*$AE$21+M298*$AE$22+N298*$AE$23+O298*$AE$24+P298*$AE$25+Q298*$AE$26+R298*$AE$27+S298*$AE$28+T298*$AE$29+U298*$AE$30</f>
        <v/>
      </c>
      <c r="W298" s="8">
        <f>1/(1+EXP(-V298))</f>
        <v/>
      </c>
      <c r="X298" s="9">
        <f>-IF(C298=1,LN(W298),LN(1-W298))</f>
        <v/>
      </c>
      <c r="Y298" s="8">
        <f>'1 prepared data'!V291</f>
        <v/>
      </c>
      <c r="Z298" s="9">
        <f>Y298*X298</f>
        <v/>
      </c>
      <c r="AA298" s="10">
        <f>IF(W298&gt;$AE$33,1,0)</f>
        <v/>
      </c>
      <c r="AB298">
        <f>IF(AA298=C298,1,0)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$AE$12+D299*$AE$13+E299*$AE$14+F299*$AE$15+G299*$AE$16+H299*$AE$17+I299*$AE$18+J299*$AE$19+K299*$AE$20+L299*$AE$21+M299*$AE$22+N299*$AE$23+O299*$AE$24+P299*$AE$25+Q299*$AE$26+R299*$AE$27+S299*$AE$28+T299*$AE$29+U299*$AE$30</f>
        <v/>
      </c>
      <c r="W299" s="8">
        <f>1/(1+EXP(-V299))</f>
        <v/>
      </c>
      <c r="X299" s="9">
        <f>-IF(C299=1,LN(W299),LN(1-W299))</f>
        <v/>
      </c>
      <c r="Y299" s="8">
        <f>'1 prepared data'!V292</f>
        <v/>
      </c>
      <c r="Z299" s="9">
        <f>Y299*X299</f>
        <v/>
      </c>
      <c r="AA299" s="10">
        <f>IF(W299&gt;$AE$33,1,0)</f>
        <v/>
      </c>
      <c r="AB299">
        <f>IF(AA299=C299,1,0)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$AE$12+D300*$AE$13+E300*$AE$14+F300*$AE$15+G300*$AE$16+H300*$AE$17+I300*$AE$18+J300*$AE$19+K300*$AE$20+L300*$AE$21+M300*$AE$22+N300*$AE$23+O300*$AE$24+P300*$AE$25+Q300*$AE$26+R300*$AE$27+S300*$AE$28+T300*$AE$29+U300*$AE$30</f>
        <v/>
      </c>
      <c r="W300" s="8">
        <f>1/(1+EXP(-V300))</f>
        <v/>
      </c>
      <c r="X300" s="9">
        <f>-IF(C300=1,LN(W300),LN(1-W300))</f>
        <v/>
      </c>
      <c r="Y300" s="8">
        <f>'1 prepared data'!V293</f>
        <v/>
      </c>
      <c r="Z300" s="9">
        <f>Y300*X300</f>
        <v/>
      </c>
      <c r="AA300" s="10">
        <f>IF(W300&gt;$AE$33,1,0)</f>
        <v/>
      </c>
      <c r="AB300">
        <f>IF(AA300=C300,1,0)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$AE$12+D301*$AE$13+E301*$AE$14+F301*$AE$15+G301*$AE$16+H301*$AE$17+I301*$AE$18+J301*$AE$19+K301*$AE$20+L301*$AE$21+M301*$AE$22+N301*$AE$23+O301*$AE$24+P301*$AE$25+Q301*$AE$26+R301*$AE$27+S301*$AE$28+T301*$AE$29+U301*$AE$30</f>
        <v/>
      </c>
      <c r="W301" s="8">
        <f>1/(1+EXP(-V301))</f>
        <v/>
      </c>
      <c r="X301" s="9">
        <f>-IF(C301=1,LN(W301),LN(1-W301))</f>
        <v/>
      </c>
      <c r="Y301" s="8">
        <f>'1 prepared data'!V294</f>
        <v/>
      </c>
      <c r="Z301" s="9">
        <f>Y301*X301</f>
        <v/>
      </c>
      <c r="AA301" s="10">
        <f>IF(W301&gt;$AE$33,1,0)</f>
        <v/>
      </c>
      <c r="AB301">
        <f>IF(AA301=C301,1,0)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$AE$12+D302*$AE$13+E302*$AE$14+F302*$AE$15+G302*$AE$16+H302*$AE$17+I302*$AE$18+J302*$AE$19+K302*$AE$20+L302*$AE$21+M302*$AE$22+N302*$AE$23+O302*$AE$24+P302*$AE$25+Q302*$AE$26+R302*$AE$27+S302*$AE$28+T302*$AE$29+U302*$AE$30</f>
        <v/>
      </c>
      <c r="W302" s="8">
        <f>1/(1+EXP(-V302))</f>
        <v/>
      </c>
      <c r="X302" s="9">
        <f>-IF(C302=1,LN(W302),LN(1-W302))</f>
        <v/>
      </c>
      <c r="Y302" s="8">
        <f>'1 prepared data'!V295</f>
        <v/>
      </c>
      <c r="Z302" s="9">
        <f>Y302*X302</f>
        <v/>
      </c>
      <c r="AA302" s="10">
        <f>IF(W302&gt;$AE$33,1,0)</f>
        <v/>
      </c>
      <c r="AB302">
        <f>IF(AA302=C302,1,0)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$AE$12+D303*$AE$13+E303*$AE$14+F303*$AE$15+G303*$AE$16+H303*$AE$17+I303*$AE$18+J303*$AE$19+K303*$AE$20+L303*$AE$21+M303*$AE$22+N303*$AE$23+O303*$AE$24+P303*$AE$25+Q303*$AE$26+R303*$AE$27+S303*$AE$28+T303*$AE$29+U303*$AE$30</f>
        <v/>
      </c>
      <c r="W303" s="8">
        <f>1/(1+EXP(-V303))</f>
        <v/>
      </c>
      <c r="X303" s="9">
        <f>-IF(C303=1,LN(W303),LN(1-W303))</f>
        <v/>
      </c>
      <c r="Y303" s="8">
        <f>'1 prepared data'!V296</f>
        <v/>
      </c>
      <c r="Z303" s="9">
        <f>Y303*X303</f>
        <v/>
      </c>
      <c r="AA303" s="10">
        <f>IF(W303&gt;$AE$33,1,0)</f>
        <v/>
      </c>
      <c r="AB303">
        <f>IF(AA303=C303,1,0)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$AE$12+D304*$AE$13+E304*$AE$14+F304*$AE$15+G304*$AE$16+H304*$AE$17+I304*$AE$18+J304*$AE$19+K304*$AE$20+L304*$AE$21+M304*$AE$22+N304*$AE$23+O304*$AE$24+P304*$AE$25+Q304*$AE$26+R304*$AE$27+S304*$AE$28+T304*$AE$29+U304*$AE$30</f>
        <v/>
      </c>
      <c r="W304" s="8">
        <f>1/(1+EXP(-V304))</f>
        <v/>
      </c>
      <c r="X304" s="9">
        <f>-IF(C304=1,LN(W304),LN(1-W304))</f>
        <v/>
      </c>
      <c r="Y304" s="8">
        <f>'1 prepared data'!V297</f>
        <v/>
      </c>
      <c r="Z304" s="9">
        <f>Y304*X304</f>
        <v/>
      </c>
      <c r="AA304" s="10">
        <f>IF(W304&gt;$AE$33,1,0)</f>
        <v/>
      </c>
      <c r="AB304">
        <f>IF(AA304=C304,1,0)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$AE$12+D305*$AE$13+E305*$AE$14+F305*$AE$15+G305*$AE$16+H305*$AE$17+I305*$AE$18+J305*$AE$19+K305*$AE$20+L305*$AE$21+M305*$AE$22+N305*$AE$23+O305*$AE$24+P305*$AE$25+Q305*$AE$26+R305*$AE$27+S305*$AE$28+T305*$AE$29+U305*$AE$30</f>
        <v/>
      </c>
      <c r="W305" s="8">
        <f>1/(1+EXP(-V305))</f>
        <v/>
      </c>
      <c r="X305" s="9">
        <f>-IF(C305=1,LN(W305),LN(1-W305))</f>
        <v/>
      </c>
      <c r="Y305" s="8">
        <f>'1 prepared data'!V298</f>
        <v/>
      </c>
      <c r="Z305" s="9">
        <f>Y305*X305</f>
        <v/>
      </c>
      <c r="AA305" s="10">
        <f>IF(W305&gt;$AE$33,1,0)</f>
        <v/>
      </c>
      <c r="AB305">
        <f>IF(AA305=C305,1,0)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$AE$12+D306*$AE$13+E306*$AE$14+F306*$AE$15+G306*$AE$16+H306*$AE$17+I306*$AE$18+J306*$AE$19+K306*$AE$20+L306*$AE$21+M306*$AE$22+N306*$AE$23+O306*$AE$24+P306*$AE$25+Q306*$AE$26+R306*$AE$27+S306*$AE$28+T306*$AE$29+U306*$AE$30</f>
        <v/>
      </c>
      <c r="W306" s="8">
        <f>1/(1+EXP(-V306))</f>
        <v/>
      </c>
      <c r="X306" s="9">
        <f>-IF(C306=1,LN(W306),LN(1-W306))</f>
        <v/>
      </c>
      <c r="Y306" s="8">
        <f>'1 prepared data'!V299</f>
        <v/>
      </c>
      <c r="Z306" s="9">
        <f>Y306*X306</f>
        <v/>
      </c>
      <c r="AA306" s="10">
        <f>IF(W306&gt;$AE$33,1,0)</f>
        <v/>
      </c>
      <c r="AB306">
        <f>IF(AA306=C306,1,0)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$AE$12+D307*$AE$13+E307*$AE$14+F307*$AE$15+G307*$AE$16+H307*$AE$17+I307*$AE$18+J307*$AE$19+K307*$AE$20+L307*$AE$21+M307*$AE$22+N307*$AE$23+O307*$AE$24+P307*$AE$25+Q307*$AE$26+R307*$AE$27+S307*$AE$28+T307*$AE$29+U307*$AE$30</f>
        <v/>
      </c>
      <c r="W307" s="8">
        <f>1/(1+EXP(-V307))</f>
        <v/>
      </c>
      <c r="X307" s="9">
        <f>-IF(C307=1,LN(W307),LN(1-W307))</f>
        <v/>
      </c>
      <c r="Y307" s="8">
        <f>'1 prepared data'!V300</f>
        <v/>
      </c>
      <c r="Z307" s="9">
        <f>Y307*X307</f>
        <v/>
      </c>
      <c r="AA307" s="10">
        <f>IF(W307&gt;$AE$33,1,0)</f>
        <v/>
      </c>
      <c r="AB307">
        <f>IF(AA307=C307,1,0)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$AE$12+D308*$AE$13+E308*$AE$14+F308*$AE$15+G308*$AE$16+H308*$AE$17+I308*$AE$18+J308*$AE$19+K308*$AE$20+L308*$AE$21+M308*$AE$22+N308*$AE$23+O308*$AE$24+P308*$AE$25+Q308*$AE$26+R308*$AE$27+S308*$AE$28+T308*$AE$29+U308*$AE$30</f>
        <v/>
      </c>
      <c r="W308" s="8">
        <f>1/(1+EXP(-V308))</f>
        <v/>
      </c>
      <c r="X308" s="9">
        <f>-IF(C308=1,LN(W308),LN(1-W308))</f>
        <v/>
      </c>
      <c r="Y308" s="8">
        <f>'1 prepared data'!V301</f>
        <v/>
      </c>
      <c r="Z308" s="9">
        <f>Y308*X308</f>
        <v/>
      </c>
      <c r="AA308" s="10">
        <f>IF(W308&gt;$AE$33,1,0)</f>
        <v/>
      </c>
      <c r="AB308">
        <f>IF(AA308=C308,1,0)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$AE$12+D309*$AE$13+E309*$AE$14+F309*$AE$15+G309*$AE$16+H309*$AE$17+I309*$AE$18+J309*$AE$19+K309*$AE$20+L309*$AE$21+M309*$AE$22+N309*$AE$23+O309*$AE$24+P309*$AE$25+Q309*$AE$26+R309*$AE$27+S309*$AE$28+T309*$AE$29+U309*$AE$30</f>
        <v/>
      </c>
      <c r="W309" s="8">
        <f>1/(1+EXP(-V309))</f>
        <v/>
      </c>
      <c r="X309" s="9">
        <f>-IF(C309=1,LN(W309),LN(1-W309))</f>
        <v/>
      </c>
      <c r="Y309" s="8">
        <f>'1 prepared data'!V302</f>
        <v/>
      </c>
      <c r="Z309" s="9">
        <f>Y309*X309</f>
        <v/>
      </c>
      <c r="AA309" s="10">
        <f>IF(W309&gt;$AE$33,1,0)</f>
        <v/>
      </c>
      <c r="AB309">
        <f>IF(AA309=C309,1,0)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$AE$12+D310*$AE$13+E310*$AE$14+F310*$AE$15+G310*$AE$16+H310*$AE$17+I310*$AE$18+J310*$AE$19+K310*$AE$20+L310*$AE$21+M310*$AE$22+N310*$AE$23+O310*$AE$24+P310*$AE$25+Q310*$AE$26+R310*$AE$27+S310*$AE$28+T310*$AE$29+U310*$AE$30</f>
        <v/>
      </c>
      <c r="W310" s="8">
        <f>1/(1+EXP(-V310))</f>
        <v/>
      </c>
      <c r="X310" s="9">
        <f>-IF(C310=1,LN(W310),LN(1-W310))</f>
        <v/>
      </c>
      <c r="Y310" s="8">
        <f>'1 prepared data'!V303</f>
        <v/>
      </c>
      <c r="Z310" s="9">
        <f>Y310*X310</f>
        <v/>
      </c>
      <c r="AA310" s="10">
        <f>IF(W310&gt;$AE$33,1,0)</f>
        <v/>
      </c>
      <c r="AB310">
        <f>IF(AA310=C310,1,0)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$AE$12+D311*$AE$13+E311*$AE$14+F311*$AE$15+G311*$AE$16+H311*$AE$17+I311*$AE$18+J311*$AE$19+K311*$AE$20+L311*$AE$21+M311*$AE$22+N311*$AE$23+O311*$AE$24+P311*$AE$25+Q311*$AE$26+R311*$AE$27+S311*$AE$28+T311*$AE$29+U311*$AE$30</f>
        <v/>
      </c>
      <c r="W311" s="8">
        <f>1/(1+EXP(-V311))</f>
        <v/>
      </c>
      <c r="X311" s="9">
        <f>-IF(C311=1,LN(W311),LN(1-W311))</f>
        <v/>
      </c>
      <c r="Y311" s="8">
        <f>'1 prepared data'!V304</f>
        <v/>
      </c>
      <c r="Z311" s="9">
        <f>Y311*X311</f>
        <v/>
      </c>
      <c r="AA311" s="10">
        <f>IF(W311&gt;$AE$33,1,0)</f>
        <v/>
      </c>
      <c r="AB311">
        <f>IF(AA311=C311,1,0)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$AE$12+D312*$AE$13+E312*$AE$14+F312*$AE$15+G312*$AE$16+H312*$AE$17+I312*$AE$18+J312*$AE$19+K312*$AE$20+L312*$AE$21+M312*$AE$22+N312*$AE$23+O312*$AE$24+P312*$AE$25+Q312*$AE$26+R312*$AE$27+S312*$AE$28+T312*$AE$29+U312*$AE$30</f>
        <v/>
      </c>
      <c r="W312" s="8">
        <f>1/(1+EXP(-V312))</f>
        <v/>
      </c>
      <c r="X312" s="9">
        <f>-IF(C312=1,LN(W312),LN(1-W312))</f>
        <v/>
      </c>
      <c r="Y312" s="8">
        <f>'1 prepared data'!V305</f>
        <v/>
      </c>
      <c r="Z312" s="9">
        <f>Y312*X312</f>
        <v/>
      </c>
      <c r="AA312" s="10">
        <f>IF(W312&gt;$AE$33,1,0)</f>
        <v/>
      </c>
      <c r="AB312">
        <f>IF(AA312=C312,1,0)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$AE$12+D313*$AE$13+E313*$AE$14+F313*$AE$15+G313*$AE$16+H313*$AE$17+I313*$AE$18+J313*$AE$19+K313*$AE$20+L313*$AE$21+M313*$AE$22+N313*$AE$23+O313*$AE$24+P313*$AE$25+Q313*$AE$26+R313*$AE$27+S313*$AE$28+T313*$AE$29+U313*$AE$30</f>
        <v/>
      </c>
      <c r="W313" s="8">
        <f>1/(1+EXP(-V313))</f>
        <v/>
      </c>
      <c r="X313" s="9">
        <f>-IF(C313=1,LN(W313),LN(1-W313))</f>
        <v/>
      </c>
      <c r="Y313" s="8">
        <f>'1 prepared data'!V306</f>
        <v/>
      </c>
      <c r="Z313" s="9">
        <f>Y313*X313</f>
        <v/>
      </c>
      <c r="AA313" s="10">
        <f>IF(W313&gt;$AE$33,1,0)</f>
        <v/>
      </c>
      <c r="AB313">
        <f>IF(AA313=C313,1,0)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$AE$12+D314*$AE$13+E314*$AE$14+F314*$AE$15+G314*$AE$16+H314*$AE$17+I314*$AE$18+J314*$AE$19+K314*$AE$20+L314*$AE$21+M314*$AE$22+N314*$AE$23+O314*$AE$24+P314*$AE$25+Q314*$AE$26+R314*$AE$27+S314*$AE$28+T314*$AE$29+U314*$AE$30</f>
        <v/>
      </c>
      <c r="W314" s="8">
        <f>1/(1+EXP(-V314))</f>
        <v/>
      </c>
      <c r="X314" s="9">
        <f>-IF(C314=1,LN(W314),LN(1-W314))</f>
        <v/>
      </c>
      <c r="Y314" s="8">
        <f>'1 prepared data'!V307</f>
        <v/>
      </c>
      <c r="Z314" s="9">
        <f>Y314*X314</f>
        <v/>
      </c>
      <c r="AA314" s="10">
        <f>IF(W314&gt;$AE$33,1,0)</f>
        <v/>
      </c>
      <c r="AB314">
        <f>IF(AA314=C314,1,0)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$AE$12+D315*$AE$13+E315*$AE$14+F315*$AE$15+G315*$AE$16+H315*$AE$17+I315*$AE$18+J315*$AE$19+K315*$AE$20+L315*$AE$21+M315*$AE$22+N315*$AE$23+O315*$AE$24+P315*$AE$25+Q315*$AE$26+R315*$AE$27+S315*$AE$28+T315*$AE$29+U315*$AE$30</f>
        <v/>
      </c>
      <c r="W315" s="8">
        <f>1/(1+EXP(-V315))</f>
        <v/>
      </c>
      <c r="X315" s="9">
        <f>-IF(C315=1,LN(W315),LN(1-W315))</f>
        <v/>
      </c>
      <c r="Y315" s="8">
        <f>'1 prepared data'!V308</f>
        <v/>
      </c>
      <c r="Z315" s="9">
        <f>Y315*X315</f>
        <v/>
      </c>
      <c r="AA315" s="10">
        <f>IF(W315&gt;$AE$33,1,0)</f>
        <v/>
      </c>
      <c r="AB315">
        <f>IF(AA315=C315,1,0)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$AE$12+D316*$AE$13+E316*$AE$14+F316*$AE$15+G316*$AE$16+H316*$AE$17+I316*$AE$18+J316*$AE$19+K316*$AE$20+L316*$AE$21+M316*$AE$22+N316*$AE$23+O316*$AE$24+P316*$AE$25+Q316*$AE$26+R316*$AE$27+S316*$AE$28+T316*$AE$29+U316*$AE$30</f>
        <v/>
      </c>
      <c r="W316" s="8">
        <f>1/(1+EXP(-V316))</f>
        <v/>
      </c>
      <c r="X316" s="9">
        <f>-IF(C316=1,LN(W316),LN(1-W316))</f>
        <v/>
      </c>
      <c r="Y316" s="8">
        <f>'1 prepared data'!V309</f>
        <v/>
      </c>
      <c r="Z316" s="9">
        <f>Y316*X316</f>
        <v/>
      </c>
      <c r="AA316" s="10">
        <f>IF(W316&gt;$AE$33,1,0)</f>
        <v/>
      </c>
      <c r="AB316">
        <f>IF(AA316=C316,1,0)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$AE$12+D317*$AE$13+E317*$AE$14+F317*$AE$15+G317*$AE$16+H317*$AE$17+I317*$AE$18+J317*$AE$19+K317*$AE$20+L317*$AE$21+M317*$AE$22+N317*$AE$23+O317*$AE$24+P317*$AE$25+Q317*$AE$26+R317*$AE$27+S317*$AE$28+T317*$AE$29+U317*$AE$30</f>
        <v/>
      </c>
      <c r="W317" s="8">
        <f>1/(1+EXP(-V317))</f>
        <v/>
      </c>
      <c r="X317" s="9">
        <f>-IF(C317=1,LN(W317),LN(1-W317))</f>
        <v/>
      </c>
      <c r="Y317" s="8">
        <f>'1 prepared data'!V310</f>
        <v/>
      </c>
      <c r="Z317" s="9">
        <f>Y317*X317</f>
        <v/>
      </c>
      <c r="AA317" s="10">
        <f>IF(W317&gt;$AE$33,1,0)</f>
        <v/>
      </c>
      <c r="AB317">
        <f>IF(AA317=C317,1,0)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$AE$12+D318*$AE$13+E318*$AE$14+F318*$AE$15+G318*$AE$16+H318*$AE$17+I318*$AE$18+J318*$AE$19+K318*$AE$20+L318*$AE$21+M318*$AE$22+N318*$AE$23+O318*$AE$24+P318*$AE$25+Q318*$AE$26+R318*$AE$27+S318*$AE$28+T318*$AE$29+U318*$AE$30</f>
        <v/>
      </c>
      <c r="W318" s="8">
        <f>1/(1+EXP(-V318))</f>
        <v/>
      </c>
      <c r="X318" s="9">
        <f>-IF(C318=1,LN(W318),LN(1-W318))</f>
        <v/>
      </c>
      <c r="Y318" s="8">
        <f>'1 prepared data'!V311</f>
        <v/>
      </c>
      <c r="Z318" s="9">
        <f>Y318*X318</f>
        <v/>
      </c>
      <c r="AA318" s="10">
        <f>IF(W318&gt;$AE$33,1,0)</f>
        <v/>
      </c>
      <c r="AB318">
        <f>IF(AA318=C318,1,0)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$AE$12+D319*$AE$13+E319*$AE$14+F319*$AE$15+G319*$AE$16+H319*$AE$17+I319*$AE$18+J319*$AE$19+K319*$AE$20+L319*$AE$21+M319*$AE$22+N319*$AE$23+O319*$AE$24+P319*$AE$25+Q319*$AE$26+R319*$AE$27+S319*$AE$28+T319*$AE$29+U319*$AE$30</f>
        <v/>
      </c>
      <c r="W319" s="8">
        <f>1/(1+EXP(-V319))</f>
        <v/>
      </c>
      <c r="X319" s="9">
        <f>-IF(C319=1,LN(W319),LN(1-W319))</f>
        <v/>
      </c>
      <c r="Y319" s="8">
        <f>'1 prepared data'!V312</f>
        <v/>
      </c>
      <c r="Z319" s="9">
        <f>Y319*X319</f>
        <v/>
      </c>
      <c r="AA319" s="10">
        <f>IF(W319&gt;$AE$33,1,0)</f>
        <v/>
      </c>
      <c r="AB319">
        <f>IF(AA319=C319,1,0)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$AE$12+D320*$AE$13+E320*$AE$14+F320*$AE$15+G320*$AE$16+H320*$AE$17+I320*$AE$18+J320*$AE$19+K320*$AE$20+L320*$AE$21+M320*$AE$22+N320*$AE$23+O320*$AE$24+P320*$AE$25+Q320*$AE$26+R320*$AE$27+S320*$AE$28+T320*$AE$29+U320*$AE$30</f>
        <v/>
      </c>
      <c r="W320" s="8">
        <f>1/(1+EXP(-V320))</f>
        <v/>
      </c>
      <c r="X320" s="9">
        <f>-IF(C320=1,LN(W320),LN(1-W320))</f>
        <v/>
      </c>
      <c r="Y320" s="8">
        <f>'1 prepared data'!V313</f>
        <v/>
      </c>
      <c r="Z320" s="9">
        <f>Y320*X320</f>
        <v/>
      </c>
      <c r="AA320" s="10">
        <f>IF(W320&gt;$AE$33,1,0)</f>
        <v/>
      </c>
      <c r="AB320">
        <f>IF(AA320=C320,1,0)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$AE$12+D321*$AE$13+E321*$AE$14+F321*$AE$15+G321*$AE$16+H321*$AE$17+I321*$AE$18+J321*$AE$19+K321*$AE$20+L321*$AE$21+M321*$AE$22+N321*$AE$23+O321*$AE$24+P321*$AE$25+Q321*$AE$26+R321*$AE$27+S321*$AE$28+T321*$AE$29+U321*$AE$30</f>
        <v/>
      </c>
      <c r="W321" s="8">
        <f>1/(1+EXP(-V321))</f>
        <v/>
      </c>
      <c r="X321" s="9">
        <f>-IF(C321=1,LN(W321),LN(1-W321))</f>
        <v/>
      </c>
      <c r="Y321" s="8">
        <f>'1 prepared data'!V314</f>
        <v/>
      </c>
      <c r="Z321" s="9">
        <f>Y321*X321</f>
        <v/>
      </c>
      <c r="AA321" s="10">
        <f>IF(W321&gt;$AE$33,1,0)</f>
        <v/>
      </c>
      <c r="AB321">
        <f>IF(AA321=C321,1,0)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$AE$12+D322*$AE$13+E322*$AE$14+F322*$AE$15+G322*$AE$16+H322*$AE$17+I322*$AE$18+J322*$AE$19+K322*$AE$20+L322*$AE$21+M322*$AE$22+N322*$AE$23+O322*$AE$24+P322*$AE$25+Q322*$AE$26+R322*$AE$27+S322*$AE$28+T322*$AE$29+U322*$AE$30</f>
        <v/>
      </c>
      <c r="W322" s="8">
        <f>1/(1+EXP(-V322))</f>
        <v/>
      </c>
      <c r="X322" s="9">
        <f>-IF(C322=1,LN(W322),LN(1-W322))</f>
        <v/>
      </c>
      <c r="Y322" s="8">
        <f>'1 prepared data'!V315</f>
        <v/>
      </c>
      <c r="Z322" s="9">
        <f>Y322*X322</f>
        <v/>
      </c>
      <c r="AA322" s="10">
        <f>IF(W322&gt;$AE$33,1,0)</f>
        <v/>
      </c>
      <c r="AB322">
        <f>IF(AA322=C322,1,0)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$AE$12+D323*$AE$13+E323*$AE$14+F323*$AE$15+G323*$AE$16+H323*$AE$17+I323*$AE$18+J323*$AE$19+K323*$AE$20+L323*$AE$21+M323*$AE$22+N323*$AE$23+O323*$AE$24+P323*$AE$25+Q323*$AE$26+R323*$AE$27+S323*$AE$28+T323*$AE$29+U323*$AE$30</f>
        <v/>
      </c>
      <c r="W323" s="8">
        <f>1/(1+EXP(-V323))</f>
        <v/>
      </c>
      <c r="X323" s="9">
        <f>-IF(C323=1,LN(W323),LN(1-W323))</f>
        <v/>
      </c>
      <c r="Y323" s="8">
        <f>'1 prepared data'!V316</f>
        <v/>
      </c>
      <c r="Z323" s="9">
        <f>Y323*X323</f>
        <v/>
      </c>
      <c r="AA323" s="10">
        <f>IF(W323&gt;$AE$33,1,0)</f>
        <v/>
      </c>
      <c r="AB323">
        <f>IF(AA323=C323,1,0)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$AE$12+D324*$AE$13+E324*$AE$14+F324*$AE$15+G324*$AE$16+H324*$AE$17+I324*$AE$18+J324*$AE$19+K324*$AE$20+L324*$AE$21+M324*$AE$22+N324*$AE$23+O324*$AE$24+P324*$AE$25+Q324*$AE$26+R324*$AE$27+S324*$AE$28+T324*$AE$29+U324*$AE$30</f>
        <v/>
      </c>
      <c r="W324" s="8">
        <f>1/(1+EXP(-V324))</f>
        <v/>
      </c>
      <c r="X324" s="9">
        <f>-IF(C324=1,LN(W324),LN(1-W324))</f>
        <v/>
      </c>
      <c r="Y324" s="8">
        <f>'1 prepared data'!V317</f>
        <v/>
      </c>
      <c r="Z324" s="9">
        <f>Y324*X324</f>
        <v/>
      </c>
      <c r="AA324" s="10">
        <f>IF(W324&gt;$AE$33,1,0)</f>
        <v/>
      </c>
      <c r="AB324">
        <f>IF(AA324=C324,1,0)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$AE$12+D325*$AE$13+E325*$AE$14+F325*$AE$15+G325*$AE$16+H325*$AE$17+I325*$AE$18+J325*$AE$19+K325*$AE$20+L325*$AE$21+M325*$AE$22+N325*$AE$23+O325*$AE$24+P325*$AE$25+Q325*$AE$26+R325*$AE$27+S325*$AE$28+T325*$AE$29+U325*$AE$30</f>
        <v/>
      </c>
      <c r="W325" s="8">
        <f>1/(1+EXP(-V325))</f>
        <v/>
      </c>
      <c r="X325" s="9">
        <f>-IF(C325=1,LN(W325),LN(1-W325))</f>
        <v/>
      </c>
      <c r="Y325" s="8">
        <f>'1 prepared data'!V318</f>
        <v/>
      </c>
      <c r="Z325" s="9">
        <f>Y325*X325</f>
        <v/>
      </c>
      <c r="AA325" s="10">
        <f>IF(W325&gt;$AE$33,1,0)</f>
        <v/>
      </c>
      <c r="AB325">
        <f>IF(AA325=C325,1,0)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$AE$12+D326*$AE$13+E326*$AE$14+F326*$AE$15+G326*$AE$16+H326*$AE$17+I326*$AE$18+J326*$AE$19+K326*$AE$20+L326*$AE$21+M326*$AE$22+N326*$AE$23+O326*$AE$24+P326*$AE$25+Q326*$AE$26+R326*$AE$27+S326*$AE$28+T326*$AE$29+U326*$AE$30</f>
        <v/>
      </c>
      <c r="W326" s="8">
        <f>1/(1+EXP(-V326))</f>
        <v/>
      </c>
      <c r="X326" s="9">
        <f>-IF(C326=1,LN(W326),LN(1-W326))</f>
        <v/>
      </c>
      <c r="Y326" s="8">
        <f>'1 prepared data'!V319</f>
        <v/>
      </c>
      <c r="Z326" s="9">
        <f>Y326*X326</f>
        <v/>
      </c>
      <c r="AA326" s="10">
        <f>IF(W326&gt;$AE$33,1,0)</f>
        <v/>
      </c>
      <c r="AB326">
        <f>IF(AA326=C326,1,0)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$AE$12+D327*$AE$13+E327*$AE$14+F327*$AE$15+G327*$AE$16+H327*$AE$17+I327*$AE$18+J327*$AE$19+K327*$AE$20+L327*$AE$21+M327*$AE$22+N327*$AE$23+O327*$AE$24+P327*$AE$25+Q327*$AE$26+R327*$AE$27+S327*$AE$28+T327*$AE$29+U327*$AE$30</f>
        <v/>
      </c>
      <c r="W327" s="8">
        <f>1/(1+EXP(-V327))</f>
        <v/>
      </c>
      <c r="X327" s="9">
        <f>-IF(C327=1,LN(W327),LN(1-W327))</f>
        <v/>
      </c>
      <c r="Y327" s="8">
        <f>'1 prepared data'!V320</f>
        <v/>
      </c>
      <c r="Z327" s="9">
        <f>Y327*X327</f>
        <v/>
      </c>
      <c r="AA327" s="10">
        <f>IF(W327&gt;$AE$33,1,0)</f>
        <v/>
      </c>
      <c r="AB327">
        <f>IF(AA327=C327,1,0)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$AE$12+D328*$AE$13+E328*$AE$14+F328*$AE$15+G328*$AE$16+H328*$AE$17+I328*$AE$18+J328*$AE$19+K328*$AE$20+L328*$AE$21+M328*$AE$22+N328*$AE$23+O328*$AE$24+P328*$AE$25+Q328*$AE$26+R328*$AE$27+S328*$AE$28+T328*$AE$29+U328*$AE$30</f>
        <v/>
      </c>
      <c r="W328" s="8">
        <f>1/(1+EXP(-V328))</f>
        <v/>
      </c>
      <c r="X328" s="9">
        <f>-IF(C328=1,LN(W328),LN(1-W328))</f>
        <v/>
      </c>
      <c r="Y328" s="8">
        <f>'1 prepared data'!V321</f>
        <v/>
      </c>
      <c r="Z328" s="9">
        <f>Y328*X328</f>
        <v/>
      </c>
      <c r="AA328" s="10">
        <f>IF(W328&gt;$AE$33,1,0)</f>
        <v/>
      </c>
      <c r="AB328">
        <f>IF(AA328=C328,1,0)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$AE$12+D329*$AE$13+E329*$AE$14+F329*$AE$15+G329*$AE$16+H329*$AE$17+I329*$AE$18+J329*$AE$19+K329*$AE$20+L329*$AE$21+M329*$AE$22+N329*$AE$23+O329*$AE$24+P329*$AE$25+Q329*$AE$26+R329*$AE$27+S329*$AE$28+T329*$AE$29+U329*$AE$30</f>
        <v/>
      </c>
      <c r="W329" s="8">
        <f>1/(1+EXP(-V329))</f>
        <v/>
      </c>
      <c r="X329" s="9">
        <f>-IF(C329=1,LN(W329),LN(1-W329))</f>
        <v/>
      </c>
      <c r="Y329" s="8">
        <f>'1 prepared data'!V322</f>
        <v/>
      </c>
      <c r="Z329" s="9">
        <f>Y329*X329</f>
        <v/>
      </c>
      <c r="AA329" s="10">
        <f>IF(W329&gt;$AE$33,1,0)</f>
        <v/>
      </c>
      <c r="AB329">
        <f>IF(AA329=C329,1,0)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$AE$12+D330*$AE$13+E330*$AE$14+F330*$AE$15+G330*$AE$16+H330*$AE$17+I330*$AE$18+J330*$AE$19+K330*$AE$20+L330*$AE$21+M330*$AE$22+N330*$AE$23+O330*$AE$24+P330*$AE$25+Q330*$AE$26+R330*$AE$27+S330*$AE$28+T330*$AE$29+U330*$AE$30</f>
        <v/>
      </c>
      <c r="W330" s="8">
        <f>1/(1+EXP(-V330))</f>
        <v/>
      </c>
      <c r="X330" s="9">
        <f>-IF(C330=1,LN(W330),LN(1-W330))</f>
        <v/>
      </c>
      <c r="Y330" s="8">
        <f>'1 prepared data'!V323</f>
        <v/>
      </c>
      <c r="Z330" s="9">
        <f>Y330*X330</f>
        <v/>
      </c>
      <c r="AA330" s="10">
        <f>IF(W330&gt;$AE$33,1,0)</f>
        <v/>
      </c>
      <c r="AB330">
        <f>IF(AA330=C330,1,0)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$AE$12+D331*$AE$13+E331*$AE$14+F331*$AE$15+G331*$AE$16+H331*$AE$17+I331*$AE$18+J331*$AE$19+K331*$AE$20+L331*$AE$21+M331*$AE$22+N331*$AE$23+O331*$AE$24+P331*$AE$25+Q331*$AE$26+R331*$AE$27+S331*$AE$28+T331*$AE$29+U331*$AE$30</f>
        <v/>
      </c>
      <c r="W331" s="8">
        <f>1/(1+EXP(-V331))</f>
        <v/>
      </c>
      <c r="X331" s="9">
        <f>-IF(C331=1,LN(W331),LN(1-W331))</f>
        <v/>
      </c>
      <c r="Y331" s="8">
        <f>'1 prepared data'!V324</f>
        <v/>
      </c>
      <c r="Z331" s="9">
        <f>Y331*X331</f>
        <v/>
      </c>
      <c r="AA331" s="10">
        <f>IF(W331&gt;$AE$33,1,0)</f>
        <v/>
      </c>
      <c r="AB331">
        <f>IF(AA331=C331,1,0)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$AE$12+D332*$AE$13+E332*$AE$14+F332*$AE$15+G332*$AE$16+H332*$AE$17+I332*$AE$18+J332*$AE$19+K332*$AE$20+L332*$AE$21+M332*$AE$22+N332*$AE$23+O332*$AE$24+P332*$AE$25+Q332*$AE$26+R332*$AE$27+S332*$AE$28+T332*$AE$29+U332*$AE$30</f>
        <v/>
      </c>
      <c r="W332" s="8">
        <f>1/(1+EXP(-V332))</f>
        <v/>
      </c>
      <c r="X332" s="9">
        <f>-IF(C332=1,LN(W332),LN(1-W332))</f>
        <v/>
      </c>
      <c r="Y332" s="8">
        <f>'1 prepared data'!V325</f>
        <v/>
      </c>
      <c r="Z332" s="9">
        <f>Y332*X332</f>
        <v/>
      </c>
      <c r="AA332" s="10">
        <f>IF(W332&gt;$AE$33,1,0)</f>
        <v/>
      </c>
      <c r="AB332">
        <f>IF(AA332=C332,1,0)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$AE$12+D333*$AE$13+E333*$AE$14+F333*$AE$15+G333*$AE$16+H333*$AE$17+I333*$AE$18+J333*$AE$19+K333*$AE$20+L333*$AE$21+M333*$AE$22+N333*$AE$23+O333*$AE$24+P333*$AE$25+Q333*$AE$26+R333*$AE$27+S333*$AE$28+T333*$AE$29+U333*$AE$30</f>
        <v/>
      </c>
      <c r="W333" s="8">
        <f>1/(1+EXP(-V333))</f>
        <v/>
      </c>
      <c r="X333" s="9">
        <f>-IF(C333=1,LN(W333),LN(1-W333))</f>
        <v/>
      </c>
      <c r="Y333" s="8">
        <f>'1 prepared data'!V326</f>
        <v/>
      </c>
      <c r="Z333" s="9">
        <f>Y333*X333</f>
        <v/>
      </c>
      <c r="AA333" s="10">
        <f>IF(W333&gt;$AE$33,1,0)</f>
        <v/>
      </c>
      <c r="AB333">
        <f>IF(AA333=C333,1,0)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$AE$12+D334*$AE$13+E334*$AE$14+F334*$AE$15+G334*$AE$16+H334*$AE$17+I334*$AE$18+J334*$AE$19+K334*$AE$20+L334*$AE$21+M334*$AE$22+N334*$AE$23+O334*$AE$24+P334*$AE$25+Q334*$AE$26+R334*$AE$27+S334*$AE$28+T334*$AE$29+U334*$AE$30</f>
        <v/>
      </c>
      <c r="W334" s="8">
        <f>1/(1+EXP(-V334))</f>
        <v/>
      </c>
      <c r="X334" s="9">
        <f>-IF(C334=1,LN(W334),LN(1-W334))</f>
        <v/>
      </c>
      <c r="Y334" s="8">
        <f>'1 prepared data'!V327</f>
        <v/>
      </c>
      <c r="Z334" s="9">
        <f>Y334*X334</f>
        <v/>
      </c>
      <c r="AA334" s="10">
        <f>IF(W334&gt;$AE$33,1,0)</f>
        <v/>
      </c>
      <c r="AB334">
        <f>IF(AA334=C334,1,0)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$AE$12+D335*$AE$13+E335*$AE$14+F335*$AE$15+G335*$AE$16+H335*$AE$17+I335*$AE$18+J335*$AE$19+K335*$AE$20+L335*$AE$21+M335*$AE$22+N335*$AE$23+O335*$AE$24+P335*$AE$25+Q335*$AE$26+R335*$AE$27+S335*$AE$28+T335*$AE$29+U335*$AE$30</f>
        <v/>
      </c>
      <c r="W335" s="8">
        <f>1/(1+EXP(-V335))</f>
        <v/>
      </c>
      <c r="X335" s="9">
        <f>-IF(C335=1,LN(W335),LN(1-W335))</f>
        <v/>
      </c>
      <c r="Y335" s="8">
        <f>'1 prepared data'!V328</f>
        <v/>
      </c>
      <c r="Z335" s="9">
        <f>Y335*X335</f>
        <v/>
      </c>
      <c r="AA335" s="10">
        <f>IF(W335&gt;$AE$33,1,0)</f>
        <v/>
      </c>
      <c r="AB335">
        <f>IF(AA335=C335,1,0)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$AE$12+D336*$AE$13+E336*$AE$14+F336*$AE$15+G336*$AE$16+H336*$AE$17+I336*$AE$18+J336*$AE$19+K336*$AE$20+L336*$AE$21+M336*$AE$22+N336*$AE$23+O336*$AE$24+P336*$AE$25+Q336*$AE$26+R336*$AE$27+S336*$AE$28+T336*$AE$29+U336*$AE$30</f>
        <v/>
      </c>
      <c r="W336" s="8">
        <f>1/(1+EXP(-V336))</f>
        <v/>
      </c>
      <c r="X336" s="9">
        <f>-IF(C336=1,LN(W336),LN(1-W336))</f>
        <v/>
      </c>
      <c r="Y336" s="8">
        <f>'1 prepared data'!V329</f>
        <v/>
      </c>
      <c r="Z336" s="9">
        <f>Y336*X336</f>
        <v/>
      </c>
      <c r="AA336" s="10">
        <f>IF(W336&gt;$AE$33,1,0)</f>
        <v/>
      </c>
      <c r="AB336">
        <f>IF(AA336=C336,1,0)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$AE$12+D337*$AE$13+E337*$AE$14+F337*$AE$15+G337*$AE$16+H337*$AE$17+I337*$AE$18+J337*$AE$19+K337*$AE$20+L337*$AE$21+M337*$AE$22+N337*$AE$23+O337*$AE$24+P337*$AE$25+Q337*$AE$26+R337*$AE$27+S337*$AE$28+T337*$AE$29+U337*$AE$30</f>
        <v/>
      </c>
      <c r="W337" s="8">
        <f>1/(1+EXP(-V337))</f>
        <v/>
      </c>
      <c r="X337" s="9">
        <f>-IF(C337=1,LN(W337),LN(1-W337))</f>
        <v/>
      </c>
      <c r="Y337" s="8">
        <f>'1 prepared data'!V330</f>
        <v/>
      </c>
      <c r="Z337" s="9">
        <f>Y337*X337</f>
        <v/>
      </c>
      <c r="AA337" s="10">
        <f>IF(W337&gt;$AE$33,1,0)</f>
        <v/>
      </c>
      <c r="AB337">
        <f>IF(AA337=C337,1,0)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$AE$12+D338*$AE$13+E338*$AE$14+F338*$AE$15+G338*$AE$16+H338*$AE$17+I338*$AE$18+J338*$AE$19+K338*$AE$20+L338*$AE$21+M338*$AE$22+N338*$AE$23+O338*$AE$24+P338*$AE$25+Q338*$AE$26+R338*$AE$27+S338*$AE$28+T338*$AE$29+U338*$AE$30</f>
        <v/>
      </c>
      <c r="W338" s="8">
        <f>1/(1+EXP(-V338))</f>
        <v/>
      </c>
      <c r="X338" s="9">
        <f>-IF(C338=1,LN(W338),LN(1-W338))</f>
        <v/>
      </c>
      <c r="Y338" s="8">
        <f>'1 prepared data'!V331</f>
        <v/>
      </c>
      <c r="Z338" s="9">
        <f>Y338*X338</f>
        <v/>
      </c>
      <c r="AA338" s="10">
        <f>IF(W338&gt;$AE$33,1,0)</f>
        <v/>
      </c>
      <c r="AB338">
        <f>IF(AA338=C338,1,0)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$AE$12+D339*$AE$13+E339*$AE$14+F339*$AE$15+G339*$AE$16+H339*$AE$17+I339*$AE$18+J339*$AE$19+K339*$AE$20+L339*$AE$21+M339*$AE$22+N339*$AE$23+O339*$AE$24+P339*$AE$25+Q339*$AE$26+R339*$AE$27+S339*$AE$28+T339*$AE$29+U339*$AE$30</f>
        <v/>
      </c>
      <c r="W339" s="8">
        <f>1/(1+EXP(-V339))</f>
        <v/>
      </c>
      <c r="X339" s="9">
        <f>-IF(C339=1,LN(W339),LN(1-W339))</f>
        <v/>
      </c>
      <c r="Y339" s="8">
        <f>'1 prepared data'!V332</f>
        <v/>
      </c>
      <c r="Z339" s="9">
        <f>Y339*X339</f>
        <v/>
      </c>
      <c r="AA339" s="10">
        <f>IF(W339&gt;$AE$33,1,0)</f>
        <v/>
      </c>
      <c r="AB339">
        <f>IF(AA339=C339,1,0)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$AE$12+D340*$AE$13+E340*$AE$14+F340*$AE$15+G340*$AE$16+H340*$AE$17+I340*$AE$18+J340*$AE$19+K340*$AE$20+L340*$AE$21+M340*$AE$22+N340*$AE$23+O340*$AE$24+P340*$AE$25+Q340*$AE$26+R340*$AE$27+S340*$AE$28+T340*$AE$29+U340*$AE$30</f>
        <v/>
      </c>
      <c r="W340" s="8">
        <f>1/(1+EXP(-V340))</f>
        <v/>
      </c>
      <c r="X340" s="9">
        <f>-IF(C340=1,LN(W340),LN(1-W340))</f>
        <v/>
      </c>
      <c r="Y340" s="8">
        <f>'1 prepared data'!V333</f>
        <v/>
      </c>
      <c r="Z340" s="9">
        <f>Y340*X340</f>
        <v/>
      </c>
      <c r="AA340" s="10">
        <f>IF(W340&gt;$AE$33,1,0)</f>
        <v/>
      </c>
      <c r="AB340">
        <f>IF(AA340=C340,1,0)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$AE$12+D341*$AE$13+E341*$AE$14+F341*$AE$15+G341*$AE$16+H341*$AE$17+I341*$AE$18+J341*$AE$19+K341*$AE$20+L341*$AE$21+M341*$AE$22+N341*$AE$23+O341*$AE$24+P341*$AE$25+Q341*$AE$26+R341*$AE$27+S341*$AE$28+T341*$AE$29+U341*$AE$30</f>
        <v/>
      </c>
      <c r="W341" s="8">
        <f>1/(1+EXP(-V341))</f>
        <v/>
      </c>
      <c r="X341" s="9">
        <f>-IF(C341=1,LN(W341),LN(1-W341))</f>
        <v/>
      </c>
      <c r="Y341" s="8">
        <f>'1 prepared data'!V334</f>
        <v/>
      </c>
      <c r="Z341" s="9">
        <f>Y341*X341</f>
        <v/>
      </c>
      <c r="AA341" s="10">
        <f>IF(W341&gt;$AE$33,1,0)</f>
        <v/>
      </c>
      <c r="AB341">
        <f>IF(AA341=C341,1,0)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$AE$12+D342*$AE$13+E342*$AE$14+F342*$AE$15+G342*$AE$16+H342*$AE$17+I342*$AE$18+J342*$AE$19+K342*$AE$20+L342*$AE$21+M342*$AE$22+N342*$AE$23+O342*$AE$24+P342*$AE$25+Q342*$AE$26+R342*$AE$27+S342*$AE$28+T342*$AE$29+U342*$AE$30</f>
        <v/>
      </c>
      <c r="W342" s="8">
        <f>1/(1+EXP(-V342))</f>
        <v/>
      </c>
      <c r="X342" s="9">
        <f>-IF(C342=1,LN(W342),LN(1-W342))</f>
        <v/>
      </c>
      <c r="Y342" s="8">
        <f>'1 prepared data'!V335</f>
        <v/>
      </c>
      <c r="Z342" s="9">
        <f>Y342*X342</f>
        <v/>
      </c>
      <c r="AA342" s="10">
        <f>IF(W342&gt;$AE$33,1,0)</f>
        <v/>
      </c>
      <c r="AB342">
        <f>IF(AA342=C342,1,0)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$AE$12+D343*$AE$13+E343*$AE$14+F343*$AE$15+G343*$AE$16+H343*$AE$17+I343*$AE$18+J343*$AE$19+K343*$AE$20+L343*$AE$21+M343*$AE$22+N343*$AE$23+O343*$AE$24+P343*$AE$25+Q343*$AE$26+R343*$AE$27+S343*$AE$28+T343*$AE$29+U343*$AE$30</f>
        <v/>
      </c>
      <c r="W343" s="8">
        <f>1/(1+EXP(-V343))</f>
        <v/>
      </c>
      <c r="X343" s="9">
        <f>-IF(C343=1,LN(W343),LN(1-W343))</f>
        <v/>
      </c>
      <c r="Y343" s="8">
        <f>'1 prepared data'!V336</f>
        <v/>
      </c>
      <c r="Z343" s="9">
        <f>Y343*X343</f>
        <v/>
      </c>
      <c r="AA343" s="10">
        <f>IF(W343&gt;$AE$33,1,0)</f>
        <v/>
      </c>
      <c r="AB343">
        <f>IF(AA343=C343,1,0)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$AE$12+D344*$AE$13+E344*$AE$14+F344*$AE$15+G344*$AE$16+H344*$AE$17+I344*$AE$18+J344*$AE$19+K344*$AE$20+L344*$AE$21+M344*$AE$22+N344*$AE$23+O344*$AE$24+P344*$AE$25+Q344*$AE$26+R344*$AE$27+S344*$AE$28+T344*$AE$29+U344*$AE$30</f>
        <v/>
      </c>
      <c r="W344" s="8">
        <f>1/(1+EXP(-V344))</f>
        <v/>
      </c>
      <c r="X344" s="9">
        <f>-IF(C344=1,LN(W344),LN(1-W344))</f>
        <v/>
      </c>
      <c r="Y344" s="8">
        <f>'1 prepared data'!V337</f>
        <v/>
      </c>
      <c r="Z344" s="9">
        <f>Y344*X344</f>
        <v/>
      </c>
      <c r="AA344" s="10">
        <f>IF(W344&gt;$AE$33,1,0)</f>
        <v/>
      </c>
      <c r="AB344">
        <f>IF(AA344=C344,1,0)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$AE$12+D345*$AE$13+E345*$AE$14+F345*$AE$15+G345*$AE$16+H345*$AE$17+I345*$AE$18+J345*$AE$19+K345*$AE$20+L345*$AE$21+M345*$AE$22+N345*$AE$23+O345*$AE$24+P345*$AE$25+Q345*$AE$26+R345*$AE$27+S345*$AE$28+T345*$AE$29+U345*$AE$30</f>
        <v/>
      </c>
      <c r="W345" s="8">
        <f>1/(1+EXP(-V345))</f>
        <v/>
      </c>
      <c r="X345" s="9">
        <f>-IF(C345=1,LN(W345),LN(1-W345))</f>
        <v/>
      </c>
      <c r="Y345" s="8">
        <f>'1 prepared data'!V338</f>
        <v/>
      </c>
      <c r="Z345" s="9">
        <f>Y345*X345</f>
        <v/>
      </c>
      <c r="AA345" s="10">
        <f>IF(W345&gt;$AE$33,1,0)</f>
        <v/>
      </c>
      <c r="AB345">
        <f>IF(AA345=C345,1,0)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$AE$12+D346*$AE$13+E346*$AE$14+F346*$AE$15+G346*$AE$16+H346*$AE$17+I346*$AE$18+J346*$AE$19+K346*$AE$20+L346*$AE$21+M346*$AE$22+N346*$AE$23+O346*$AE$24+P346*$AE$25+Q346*$AE$26+R346*$AE$27+S346*$AE$28+T346*$AE$29+U346*$AE$30</f>
        <v/>
      </c>
      <c r="W346" s="8">
        <f>1/(1+EXP(-V346))</f>
        <v/>
      </c>
      <c r="X346" s="9">
        <f>-IF(C346=1,LN(W346),LN(1-W346))</f>
        <v/>
      </c>
      <c r="Y346" s="8">
        <f>'1 prepared data'!V339</f>
        <v/>
      </c>
      <c r="Z346" s="9">
        <f>Y346*X346</f>
        <v/>
      </c>
      <c r="AA346" s="10">
        <f>IF(W346&gt;$AE$33,1,0)</f>
        <v/>
      </c>
      <c r="AB346">
        <f>IF(AA346=C346,1,0)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$AE$12+D347*$AE$13+E347*$AE$14+F347*$AE$15+G347*$AE$16+H347*$AE$17+I347*$AE$18+J347*$AE$19+K347*$AE$20+L347*$AE$21+M347*$AE$22+N347*$AE$23+O347*$AE$24+P347*$AE$25+Q347*$AE$26+R347*$AE$27+S347*$AE$28+T347*$AE$29+U347*$AE$30</f>
        <v/>
      </c>
      <c r="W347" s="8">
        <f>1/(1+EXP(-V347))</f>
        <v/>
      </c>
      <c r="X347" s="9">
        <f>-IF(C347=1,LN(W347),LN(1-W347))</f>
        <v/>
      </c>
      <c r="Y347" s="8">
        <f>'1 prepared data'!V340</f>
        <v/>
      </c>
      <c r="Z347" s="9">
        <f>Y347*X347</f>
        <v/>
      </c>
      <c r="AA347" s="10">
        <f>IF(W347&gt;$AE$33,1,0)</f>
        <v/>
      </c>
      <c r="AB347">
        <f>IF(AA347=C347,1,0)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$AE$12+D348*$AE$13+E348*$AE$14+F348*$AE$15+G348*$AE$16+H348*$AE$17+I348*$AE$18+J348*$AE$19+K348*$AE$20+L348*$AE$21+M348*$AE$22+N348*$AE$23+O348*$AE$24+P348*$AE$25+Q348*$AE$26+R348*$AE$27+S348*$AE$28+T348*$AE$29+U348*$AE$30</f>
        <v/>
      </c>
      <c r="W348" s="8">
        <f>1/(1+EXP(-V348))</f>
        <v/>
      </c>
      <c r="X348" s="9">
        <f>-IF(C348=1,LN(W348),LN(1-W348))</f>
        <v/>
      </c>
      <c r="Y348" s="8">
        <f>'1 prepared data'!V341</f>
        <v/>
      </c>
      <c r="Z348" s="9">
        <f>Y348*X348</f>
        <v/>
      </c>
      <c r="AA348" s="10">
        <f>IF(W348&gt;$AE$33,1,0)</f>
        <v/>
      </c>
      <c r="AB348">
        <f>IF(AA348=C348,1,0)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$AE$12+D349*$AE$13+E349*$AE$14+F349*$AE$15+G349*$AE$16+H349*$AE$17+I349*$AE$18+J349*$AE$19+K349*$AE$20+L349*$AE$21+M349*$AE$22+N349*$AE$23+O349*$AE$24+P349*$AE$25+Q349*$AE$26+R349*$AE$27+S349*$AE$28+T349*$AE$29+U349*$AE$30</f>
        <v/>
      </c>
      <c r="W349" s="8">
        <f>1/(1+EXP(-V349))</f>
        <v/>
      </c>
      <c r="X349" s="9">
        <f>-IF(C349=1,LN(W349),LN(1-W349))</f>
        <v/>
      </c>
      <c r="Y349" s="8">
        <f>'1 prepared data'!V342</f>
        <v/>
      </c>
      <c r="Z349" s="9">
        <f>Y349*X349</f>
        <v/>
      </c>
      <c r="AA349" s="10">
        <f>IF(W349&gt;$AE$33,1,0)</f>
        <v/>
      </c>
      <c r="AB349">
        <f>IF(AA349=C349,1,0)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$AE$12+D350*$AE$13+E350*$AE$14+F350*$AE$15+G350*$AE$16+H350*$AE$17+I350*$AE$18+J350*$AE$19+K350*$AE$20+L350*$AE$21+M350*$AE$22+N350*$AE$23+O350*$AE$24+P350*$AE$25+Q350*$AE$26+R350*$AE$27+S350*$AE$28+T350*$AE$29+U350*$AE$30</f>
        <v/>
      </c>
      <c r="W350" s="8">
        <f>1/(1+EXP(-V350))</f>
        <v/>
      </c>
      <c r="X350" s="9">
        <f>-IF(C350=1,LN(W350),LN(1-W350))</f>
        <v/>
      </c>
      <c r="Y350" s="8">
        <f>'1 prepared data'!V343</f>
        <v/>
      </c>
      <c r="Z350" s="9">
        <f>Y350*X350</f>
        <v/>
      </c>
      <c r="AA350" s="10">
        <f>IF(W350&gt;$AE$33,1,0)</f>
        <v/>
      </c>
      <c r="AB350">
        <f>IF(AA350=C350,1,0)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$AE$12+D351*$AE$13+E351*$AE$14+F351*$AE$15+G351*$AE$16+H351*$AE$17+I351*$AE$18+J351*$AE$19+K351*$AE$20+L351*$AE$21+M351*$AE$22+N351*$AE$23+O351*$AE$24+P351*$AE$25+Q351*$AE$26+R351*$AE$27+S351*$AE$28+T351*$AE$29+U351*$AE$30</f>
        <v/>
      </c>
      <c r="W351" s="8">
        <f>1/(1+EXP(-V351))</f>
        <v/>
      </c>
      <c r="X351" s="9">
        <f>-IF(C351=1,LN(W351),LN(1-W351))</f>
        <v/>
      </c>
      <c r="Y351" s="8">
        <f>'1 prepared data'!V344</f>
        <v/>
      </c>
      <c r="Z351" s="9">
        <f>Y351*X351</f>
        <v/>
      </c>
      <c r="AA351" s="10">
        <f>IF(W351&gt;$AE$33,1,0)</f>
        <v/>
      </c>
      <c r="AB351">
        <f>IF(AA351=C351,1,0)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$AE$12+D352*$AE$13+E352*$AE$14+F352*$AE$15+G352*$AE$16+H352*$AE$17+I352*$AE$18+J352*$AE$19+K352*$AE$20+L352*$AE$21+M352*$AE$22+N352*$AE$23+O352*$AE$24+P352*$AE$25+Q352*$AE$26+R352*$AE$27+S352*$AE$28+T352*$AE$29+U352*$AE$30</f>
        <v/>
      </c>
      <c r="W352" s="8">
        <f>1/(1+EXP(-V352))</f>
        <v/>
      </c>
      <c r="X352" s="9">
        <f>-IF(C352=1,LN(W352),LN(1-W352))</f>
        <v/>
      </c>
      <c r="Y352" s="8">
        <f>'1 prepared data'!V345</f>
        <v/>
      </c>
      <c r="Z352" s="9">
        <f>Y352*X352</f>
        <v/>
      </c>
      <c r="AA352" s="10">
        <f>IF(W352&gt;$AE$33,1,0)</f>
        <v/>
      </c>
      <c r="AB352">
        <f>IF(AA352=C352,1,0)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$AE$12+D353*$AE$13+E353*$AE$14+F353*$AE$15+G353*$AE$16+H353*$AE$17+I353*$AE$18+J353*$AE$19+K353*$AE$20+L353*$AE$21+M353*$AE$22+N353*$AE$23+O353*$AE$24+P353*$AE$25+Q353*$AE$26+R353*$AE$27+S353*$AE$28+T353*$AE$29+U353*$AE$30</f>
        <v/>
      </c>
      <c r="W353" s="8">
        <f>1/(1+EXP(-V353))</f>
        <v/>
      </c>
      <c r="X353" s="9">
        <f>-IF(C353=1,LN(W353),LN(1-W353))</f>
        <v/>
      </c>
      <c r="Y353" s="8">
        <f>'1 prepared data'!V346</f>
        <v/>
      </c>
      <c r="Z353" s="9">
        <f>Y353*X353</f>
        <v/>
      </c>
      <c r="AA353" s="10">
        <f>IF(W353&gt;$AE$33,1,0)</f>
        <v/>
      </c>
      <c r="AB353">
        <f>IF(AA353=C353,1,0)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$AE$12+D354*$AE$13+E354*$AE$14+F354*$AE$15+G354*$AE$16+H354*$AE$17+I354*$AE$18+J354*$AE$19+K354*$AE$20+L354*$AE$21+M354*$AE$22+N354*$AE$23+O354*$AE$24+P354*$AE$25+Q354*$AE$26+R354*$AE$27+S354*$AE$28+T354*$AE$29+U354*$AE$30</f>
        <v/>
      </c>
      <c r="W354" s="8">
        <f>1/(1+EXP(-V354))</f>
        <v/>
      </c>
      <c r="X354" s="9">
        <f>-IF(C354=1,LN(W354),LN(1-W354))</f>
        <v/>
      </c>
      <c r="Y354" s="8">
        <f>'1 prepared data'!V347</f>
        <v/>
      </c>
      <c r="Z354" s="9">
        <f>Y354*X354</f>
        <v/>
      </c>
      <c r="AA354" s="10">
        <f>IF(W354&gt;$AE$33,1,0)</f>
        <v/>
      </c>
      <c r="AB354">
        <f>IF(AA354=C354,1,0)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$AE$12+D355*$AE$13+E355*$AE$14+F355*$AE$15+G355*$AE$16+H355*$AE$17+I355*$AE$18+J355*$AE$19+K355*$AE$20+L355*$AE$21+M355*$AE$22+N355*$AE$23+O355*$AE$24+P355*$AE$25+Q355*$AE$26+R355*$AE$27+S355*$AE$28+T355*$AE$29+U355*$AE$30</f>
        <v/>
      </c>
      <c r="W355" s="8">
        <f>1/(1+EXP(-V355))</f>
        <v/>
      </c>
      <c r="X355" s="9">
        <f>-IF(C355=1,LN(W355),LN(1-W355))</f>
        <v/>
      </c>
      <c r="Y355" s="8">
        <f>'1 prepared data'!V348</f>
        <v/>
      </c>
      <c r="Z355" s="9">
        <f>Y355*X355</f>
        <v/>
      </c>
      <c r="AA355" s="10">
        <f>IF(W355&gt;$AE$33,1,0)</f>
        <v/>
      </c>
      <c r="AB355">
        <f>IF(AA355=C355,1,0)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$AE$12+D356*$AE$13+E356*$AE$14+F356*$AE$15+G356*$AE$16+H356*$AE$17+I356*$AE$18+J356*$AE$19+K356*$AE$20+L356*$AE$21+M356*$AE$22+N356*$AE$23+O356*$AE$24+P356*$AE$25+Q356*$AE$26+R356*$AE$27+S356*$AE$28+T356*$AE$29+U356*$AE$30</f>
        <v/>
      </c>
      <c r="W356" s="8">
        <f>1/(1+EXP(-V356))</f>
        <v/>
      </c>
      <c r="X356" s="9">
        <f>-IF(C356=1,LN(W356),LN(1-W356))</f>
        <v/>
      </c>
      <c r="Y356" s="8">
        <f>'1 prepared data'!V349</f>
        <v/>
      </c>
      <c r="Z356" s="9">
        <f>Y356*X356</f>
        <v/>
      </c>
      <c r="AA356" s="10">
        <f>IF(W356&gt;$AE$33,1,0)</f>
        <v/>
      </c>
      <c r="AB356">
        <f>IF(AA356=C356,1,0)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$AE$12+D357*$AE$13+E357*$AE$14+F357*$AE$15+G357*$AE$16+H357*$AE$17+I357*$AE$18+J357*$AE$19+K357*$AE$20+L357*$AE$21+M357*$AE$22+N357*$AE$23+O357*$AE$24+P357*$AE$25+Q357*$AE$26+R357*$AE$27+S357*$AE$28+T357*$AE$29+U357*$AE$30</f>
        <v/>
      </c>
      <c r="W357" s="8">
        <f>1/(1+EXP(-V357))</f>
        <v/>
      </c>
      <c r="X357" s="9">
        <f>-IF(C357=1,LN(W357),LN(1-W357))</f>
        <v/>
      </c>
      <c r="Y357" s="8">
        <f>'1 prepared data'!V350</f>
        <v/>
      </c>
      <c r="Z357" s="9">
        <f>Y357*X357</f>
        <v/>
      </c>
      <c r="AA357" s="10">
        <f>IF(W357&gt;$AE$33,1,0)</f>
        <v/>
      </c>
      <c r="AB357">
        <f>IF(AA357=C357,1,0)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$AE$12+D358*$AE$13+E358*$AE$14+F358*$AE$15+G358*$AE$16+H358*$AE$17+I358*$AE$18+J358*$AE$19+K358*$AE$20+L358*$AE$21+M358*$AE$22+N358*$AE$23+O358*$AE$24+P358*$AE$25+Q358*$AE$26+R358*$AE$27+S358*$AE$28+T358*$AE$29+U358*$AE$30</f>
        <v/>
      </c>
      <c r="W358" s="8">
        <f>1/(1+EXP(-V358))</f>
        <v/>
      </c>
      <c r="X358" s="9">
        <f>-IF(C358=1,LN(W358),LN(1-W358))</f>
        <v/>
      </c>
      <c r="Y358" s="8">
        <f>'1 prepared data'!V351</f>
        <v/>
      </c>
      <c r="Z358" s="9">
        <f>Y358*X358</f>
        <v/>
      </c>
      <c r="AA358" s="10">
        <f>IF(W358&gt;$AE$33,1,0)</f>
        <v/>
      </c>
      <c r="AB358">
        <f>IF(AA358=C358,1,0)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$AE$12+D359*$AE$13+E359*$AE$14+F359*$AE$15+G359*$AE$16+H359*$AE$17+I359*$AE$18+J359*$AE$19+K359*$AE$20+L359*$AE$21+M359*$AE$22+N359*$AE$23+O359*$AE$24+P359*$AE$25+Q359*$AE$26+R359*$AE$27+S359*$AE$28+T359*$AE$29+U359*$AE$30</f>
        <v/>
      </c>
      <c r="W359" s="8">
        <f>1/(1+EXP(-V359))</f>
        <v/>
      </c>
      <c r="X359" s="9">
        <f>-IF(C359=1,LN(W359),LN(1-W359))</f>
        <v/>
      </c>
      <c r="Y359" s="8">
        <f>'1 prepared data'!V352</f>
        <v/>
      </c>
      <c r="Z359" s="9">
        <f>Y359*X359</f>
        <v/>
      </c>
      <c r="AA359" s="10">
        <f>IF(W359&gt;$AE$33,1,0)</f>
        <v/>
      </c>
      <c r="AB359">
        <f>IF(AA359=C359,1,0)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$AE$12+D360*$AE$13+E360*$AE$14+F360*$AE$15+G360*$AE$16+H360*$AE$17+I360*$AE$18+J360*$AE$19+K360*$AE$20+L360*$AE$21+M360*$AE$22+N360*$AE$23+O360*$AE$24+P360*$AE$25+Q360*$AE$26+R360*$AE$27+S360*$AE$28+T360*$AE$29+U360*$AE$30</f>
        <v/>
      </c>
      <c r="W360" s="8">
        <f>1/(1+EXP(-V360))</f>
        <v/>
      </c>
      <c r="X360" s="9">
        <f>-IF(C360=1,LN(W360),LN(1-W360))</f>
        <v/>
      </c>
      <c r="Y360" s="8">
        <f>'1 prepared data'!V353</f>
        <v/>
      </c>
      <c r="Z360" s="9">
        <f>Y360*X360</f>
        <v/>
      </c>
      <c r="AA360" s="10">
        <f>IF(W360&gt;$AE$33,1,0)</f>
        <v/>
      </c>
      <c r="AB360">
        <f>IF(AA360=C360,1,0)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$AE$12+D361*$AE$13+E361*$AE$14+F361*$AE$15+G361*$AE$16+H361*$AE$17+I361*$AE$18+J361*$AE$19+K361*$AE$20+L361*$AE$21+M361*$AE$22+N361*$AE$23+O361*$AE$24+P361*$AE$25+Q361*$AE$26+R361*$AE$27+S361*$AE$28+T361*$AE$29+U361*$AE$30</f>
        <v/>
      </c>
      <c r="W361" s="8">
        <f>1/(1+EXP(-V361))</f>
        <v/>
      </c>
      <c r="X361" s="9">
        <f>-IF(C361=1,LN(W361),LN(1-W361))</f>
        <v/>
      </c>
      <c r="Y361" s="8">
        <f>'1 prepared data'!V354</f>
        <v/>
      </c>
      <c r="Z361" s="9">
        <f>Y361*X361</f>
        <v/>
      </c>
      <c r="AA361" s="10">
        <f>IF(W361&gt;$AE$33,1,0)</f>
        <v/>
      </c>
      <c r="AB361">
        <f>IF(AA361=C361,1,0)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$AE$12+D362*$AE$13+E362*$AE$14+F362*$AE$15+G362*$AE$16+H362*$AE$17+I362*$AE$18+J362*$AE$19+K362*$AE$20+L362*$AE$21+M362*$AE$22+N362*$AE$23+O362*$AE$24+P362*$AE$25+Q362*$AE$26+R362*$AE$27+S362*$AE$28+T362*$AE$29+U362*$AE$30</f>
        <v/>
      </c>
      <c r="W362" s="8">
        <f>1/(1+EXP(-V362))</f>
        <v/>
      </c>
      <c r="X362" s="9">
        <f>-IF(C362=1,LN(W362),LN(1-W362))</f>
        <v/>
      </c>
      <c r="Y362" s="8">
        <f>'1 prepared data'!V355</f>
        <v/>
      </c>
      <c r="Z362" s="9">
        <f>Y362*X362</f>
        <v/>
      </c>
      <c r="AA362" s="10">
        <f>IF(W362&gt;$AE$33,1,0)</f>
        <v/>
      </c>
      <c r="AB362">
        <f>IF(AA362=C362,1,0)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$AE$12+D363*$AE$13+E363*$AE$14+F363*$AE$15+G363*$AE$16+H363*$AE$17+I363*$AE$18+J363*$AE$19+K363*$AE$20+L363*$AE$21+M363*$AE$22+N363*$AE$23+O363*$AE$24+P363*$AE$25+Q363*$AE$26+R363*$AE$27+S363*$AE$28+T363*$AE$29+U363*$AE$30</f>
        <v/>
      </c>
      <c r="W363" s="8">
        <f>1/(1+EXP(-V363))</f>
        <v/>
      </c>
      <c r="X363" s="9">
        <f>-IF(C363=1,LN(W363),LN(1-W363))</f>
        <v/>
      </c>
      <c r="Y363" s="8">
        <f>'1 prepared data'!V356</f>
        <v/>
      </c>
      <c r="Z363" s="9">
        <f>Y363*X363</f>
        <v/>
      </c>
      <c r="AA363" s="10">
        <f>IF(W363&gt;$AE$33,1,0)</f>
        <v/>
      </c>
      <c r="AB363">
        <f>IF(AA363=C363,1,0)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$AE$12+D364*$AE$13+E364*$AE$14+F364*$AE$15+G364*$AE$16+H364*$AE$17+I364*$AE$18+J364*$AE$19+K364*$AE$20+L364*$AE$21+M364*$AE$22+N364*$AE$23+O364*$AE$24+P364*$AE$25+Q364*$AE$26+R364*$AE$27+S364*$AE$28+T364*$AE$29+U364*$AE$30</f>
        <v/>
      </c>
      <c r="W364" s="8">
        <f>1/(1+EXP(-V364))</f>
        <v/>
      </c>
      <c r="X364" s="9">
        <f>-IF(C364=1,LN(W364),LN(1-W364))</f>
        <v/>
      </c>
      <c r="Y364" s="8">
        <f>'1 prepared data'!V357</f>
        <v/>
      </c>
      <c r="Z364" s="9">
        <f>Y364*X364</f>
        <v/>
      </c>
      <c r="AA364" s="10">
        <f>IF(W364&gt;$AE$33,1,0)</f>
        <v/>
      </c>
      <c r="AB364">
        <f>IF(AA364=C364,1,0)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$AE$12+D365*$AE$13+E365*$AE$14+F365*$AE$15+G365*$AE$16+H365*$AE$17+I365*$AE$18+J365*$AE$19+K365*$AE$20+L365*$AE$21+M365*$AE$22+N365*$AE$23+O365*$AE$24+P365*$AE$25+Q365*$AE$26+R365*$AE$27+S365*$AE$28+T365*$AE$29+U365*$AE$30</f>
        <v/>
      </c>
      <c r="W365" s="8">
        <f>1/(1+EXP(-V365))</f>
        <v/>
      </c>
      <c r="X365" s="9">
        <f>-IF(C365=1,LN(W365),LN(1-W365))</f>
        <v/>
      </c>
      <c r="Y365" s="8">
        <f>'1 prepared data'!V358</f>
        <v/>
      </c>
      <c r="Z365" s="9">
        <f>Y365*X365</f>
        <v/>
      </c>
      <c r="AA365" s="10">
        <f>IF(W365&gt;$AE$33,1,0)</f>
        <v/>
      </c>
      <c r="AB365">
        <f>IF(AA365=C365,1,0)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$AE$12+D366*$AE$13+E366*$AE$14+F366*$AE$15+G366*$AE$16+H366*$AE$17+I366*$AE$18+J366*$AE$19+K366*$AE$20+L366*$AE$21+M366*$AE$22+N366*$AE$23+O366*$AE$24+P366*$AE$25+Q366*$AE$26+R366*$AE$27+S366*$AE$28+T366*$AE$29+U366*$AE$30</f>
        <v/>
      </c>
      <c r="W366" s="8">
        <f>1/(1+EXP(-V366))</f>
        <v/>
      </c>
      <c r="X366" s="9">
        <f>-IF(C366=1,LN(W366),LN(1-W366))</f>
        <v/>
      </c>
      <c r="Y366" s="8">
        <f>'1 prepared data'!V359</f>
        <v/>
      </c>
      <c r="Z366" s="9">
        <f>Y366*X366</f>
        <v/>
      </c>
      <c r="AA366" s="10">
        <f>IF(W366&gt;$AE$33,1,0)</f>
        <v/>
      </c>
      <c r="AB366">
        <f>IF(AA366=C366,1,0)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$AE$12+D367*$AE$13+E367*$AE$14+F367*$AE$15+G367*$AE$16+H367*$AE$17+I367*$AE$18+J367*$AE$19+K367*$AE$20+L367*$AE$21+M367*$AE$22+N367*$AE$23+O367*$AE$24+P367*$AE$25+Q367*$AE$26+R367*$AE$27+S367*$AE$28+T367*$AE$29+U367*$AE$30</f>
        <v/>
      </c>
      <c r="W367" s="8">
        <f>1/(1+EXP(-V367))</f>
        <v/>
      </c>
      <c r="X367" s="9">
        <f>-IF(C367=1,LN(W367),LN(1-W367))</f>
        <v/>
      </c>
      <c r="Y367" s="8">
        <f>'1 prepared data'!V360</f>
        <v/>
      </c>
      <c r="Z367" s="9">
        <f>Y367*X367</f>
        <v/>
      </c>
      <c r="AA367" s="10">
        <f>IF(W367&gt;$AE$33,1,0)</f>
        <v/>
      </c>
      <c r="AB367">
        <f>IF(AA367=C367,1,0)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$AE$12+D368*$AE$13+E368*$AE$14+F368*$AE$15+G368*$AE$16+H368*$AE$17+I368*$AE$18+J368*$AE$19+K368*$AE$20+L368*$AE$21+M368*$AE$22+N368*$AE$23+O368*$AE$24+P368*$AE$25+Q368*$AE$26+R368*$AE$27+S368*$AE$28+T368*$AE$29+U368*$AE$30</f>
        <v/>
      </c>
      <c r="W368" s="8">
        <f>1/(1+EXP(-V368))</f>
        <v/>
      </c>
      <c r="X368" s="9">
        <f>-IF(C368=1,LN(W368),LN(1-W368))</f>
        <v/>
      </c>
      <c r="Y368" s="8">
        <f>'1 prepared data'!V361</f>
        <v/>
      </c>
      <c r="Z368" s="9">
        <f>Y368*X368</f>
        <v/>
      </c>
      <c r="AA368" s="10">
        <f>IF(W368&gt;$AE$33,1,0)</f>
        <v/>
      </c>
      <c r="AB368">
        <f>IF(AA368=C368,1,0)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$AE$12+D369*$AE$13+E369*$AE$14+F369*$AE$15+G369*$AE$16+H369*$AE$17+I369*$AE$18+J369*$AE$19+K369*$AE$20+L369*$AE$21+M369*$AE$22+N369*$AE$23+O369*$AE$24+P369*$AE$25+Q369*$AE$26+R369*$AE$27+S369*$AE$28+T369*$AE$29+U369*$AE$30</f>
        <v/>
      </c>
      <c r="W369" s="8">
        <f>1/(1+EXP(-V369))</f>
        <v/>
      </c>
      <c r="X369" s="9">
        <f>-IF(C369=1,LN(W369),LN(1-W369))</f>
        <v/>
      </c>
      <c r="Y369" s="8">
        <f>'1 prepared data'!V362</f>
        <v/>
      </c>
      <c r="Z369" s="9">
        <f>Y369*X369</f>
        <v/>
      </c>
      <c r="AA369" s="10">
        <f>IF(W369&gt;$AE$33,1,0)</f>
        <v/>
      </c>
      <c r="AB369">
        <f>IF(AA369=C369,1,0)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$AE$12+D370*$AE$13+E370*$AE$14+F370*$AE$15+G370*$AE$16+H370*$AE$17+I370*$AE$18+J370*$AE$19+K370*$AE$20+L370*$AE$21+M370*$AE$22+N370*$AE$23+O370*$AE$24+P370*$AE$25+Q370*$AE$26+R370*$AE$27+S370*$AE$28+T370*$AE$29+U370*$AE$30</f>
        <v/>
      </c>
      <c r="W370" s="8">
        <f>1/(1+EXP(-V370))</f>
        <v/>
      </c>
      <c r="X370" s="9">
        <f>-IF(C370=1,LN(W370),LN(1-W370))</f>
        <v/>
      </c>
      <c r="Y370" s="8">
        <f>'1 prepared data'!V363</f>
        <v/>
      </c>
      <c r="Z370" s="9">
        <f>Y370*X370</f>
        <v/>
      </c>
      <c r="AA370" s="10">
        <f>IF(W370&gt;$AE$33,1,0)</f>
        <v/>
      </c>
      <c r="AB370">
        <f>IF(AA370=C370,1,0)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$AE$12+D371*$AE$13+E371*$AE$14+F371*$AE$15+G371*$AE$16+H371*$AE$17+I371*$AE$18+J371*$AE$19+K371*$AE$20+L371*$AE$21+M371*$AE$22+N371*$AE$23+O371*$AE$24+P371*$AE$25+Q371*$AE$26+R371*$AE$27+S371*$AE$28+T371*$AE$29+U371*$AE$30</f>
        <v/>
      </c>
      <c r="W371" s="8">
        <f>1/(1+EXP(-V371))</f>
        <v/>
      </c>
      <c r="X371" s="9">
        <f>-IF(C371=1,LN(W371),LN(1-W371))</f>
        <v/>
      </c>
      <c r="Y371" s="8">
        <f>'1 prepared data'!V364</f>
        <v/>
      </c>
      <c r="Z371" s="9">
        <f>Y371*X371</f>
        <v/>
      </c>
      <c r="AA371" s="10">
        <f>IF(W371&gt;$AE$33,1,0)</f>
        <v/>
      </c>
      <c r="AB371">
        <f>IF(AA371=C371,1,0)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$AE$12+D372*$AE$13+E372*$AE$14+F372*$AE$15+G372*$AE$16+H372*$AE$17+I372*$AE$18+J372*$AE$19+K372*$AE$20+L372*$AE$21+M372*$AE$22+N372*$AE$23+O372*$AE$24+P372*$AE$25+Q372*$AE$26+R372*$AE$27+S372*$AE$28+T372*$AE$29+U372*$AE$30</f>
        <v/>
      </c>
      <c r="W372" s="8">
        <f>1/(1+EXP(-V372))</f>
        <v/>
      </c>
      <c r="X372" s="9">
        <f>-IF(C372=1,LN(W372),LN(1-W372))</f>
        <v/>
      </c>
      <c r="Y372" s="8">
        <f>'1 prepared data'!V365</f>
        <v/>
      </c>
      <c r="Z372" s="9">
        <f>Y372*X372</f>
        <v/>
      </c>
      <c r="AA372" s="10">
        <f>IF(W372&gt;$AE$33,1,0)</f>
        <v/>
      </c>
      <c r="AB372">
        <f>IF(AA372=C372,1,0)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$AE$12+D373*$AE$13+E373*$AE$14+F373*$AE$15+G373*$AE$16+H373*$AE$17+I373*$AE$18+J373*$AE$19+K373*$AE$20+L373*$AE$21+M373*$AE$22+N373*$AE$23+O373*$AE$24+P373*$AE$25+Q373*$AE$26+R373*$AE$27+S373*$AE$28+T373*$AE$29+U373*$AE$30</f>
        <v/>
      </c>
      <c r="W373" s="8">
        <f>1/(1+EXP(-V373))</f>
        <v/>
      </c>
      <c r="X373" s="9">
        <f>-IF(C373=1,LN(W373),LN(1-W373))</f>
        <v/>
      </c>
      <c r="Y373" s="8">
        <f>'1 prepared data'!V366</f>
        <v/>
      </c>
      <c r="Z373" s="9">
        <f>Y373*X373</f>
        <v/>
      </c>
      <c r="AA373" s="10">
        <f>IF(W373&gt;$AE$33,1,0)</f>
        <v/>
      </c>
      <c r="AB373">
        <f>IF(AA373=C373,1,0)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$AE$12+D374*$AE$13+E374*$AE$14+F374*$AE$15+G374*$AE$16+H374*$AE$17+I374*$AE$18+J374*$AE$19+K374*$AE$20+L374*$AE$21+M374*$AE$22+N374*$AE$23+O374*$AE$24+P374*$AE$25+Q374*$AE$26+R374*$AE$27+S374*$AE$28+T374*$AE$29+U374*$AE$30</f>
        <v/>
      </c>
      <c r="W374" s="8">
        <f>1/(1+EXP(-V374))</f>
        <v/>
      </c>
      <c r="X374" s="9">
        <f>-IF(C374=1,LN(W374),LN(1-W374))</f>
        <v/>
      </c>
      <c r="Y374" s="8">
        <f>'1 prepared data'!V367</f>
        <v/>
      </c>
      <c r="Z374" s="9">
        <f>Y374*X374</f>
        <v/>
      </c>
      <c r="AA374" s="10">
        <f>IF(W374&gt;$AE$33,1,0)</f>
        <v/>
      </c>
      <c r="AB374">
        <f>IF(AA374=C374,1,0)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$AE$12+D375*$AE$13+E375*$AE$14+F375*$AE$15+G375*$AE$16+H375*$AE$17+I375*$AE$18+J375*$AE$19+K375*$AE$20+L375*$AE$21+M375*$AE$22+N375*$AE$23+O375*$AE$24+P375*$AE$25+Q375*$AE$26+R375*$AE$27+S375*$AE$28+T375*$AE$29+U375*$AE$30</f>
        <v/>
      </c>
      <c r="W375" s="8">
        <f>1/(1+EXP(-V375))</f>
        <v/>
      </c>
      <c r="X375" s="9">
        <f>-IF(C375=1,LN(W375),LN(1-W375))</f>
        <v/>
      </c>
      <c r="Y375" s="8">
        <f>'1 prepared data'!V368</f>
        <v/>
      </c>
      <c r="Z375" s="9">
        <f>Y375*X375</f>
        <v/>
      </c>
      <c r="AA375" s="10">
        <f>IF(W375&gt;$AE$33,1,0)</f>
        <v/>
      </c>
      <c r="AB375">
        <f>IF(AA375=C375,1,0)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$AE$12+D376*$AE$13+E376*$AE$14+F376*$AE$15+G376*$AE$16+H376*$AE$17+I376*$AE$18+J376*$AE$19+K376*$AE$20+L376*$AE$21+M376*$AE$22+N376*$AE$23+O376*$AE$24+P376*$AE$25+Q376*$AE$26+R376*$AE$27+S376*$AE$28+T376*$AE$29+U376*$AE$30</f>
        <v/>
      </c>
      <c r="W376" s="8">
        <f>1/(1+EXP(-V376))</f>
        <v/>
      </c>
      <c r="X376" s="9">
        <f>-IF(C376=1,LN(W376),LN(1-W376))</f>
        <v/>
      </c>
      <c r="Y376" s="8">
        <f>'1 prepared data'!V369</f>
        <v/>
      </c>
      <c r="Z376" s="9">
        <f>Y376*X376</f>
        <v/>
      </c>
      <c r="AA376" s="10">
        <f>IF(W376&gt;$AE$33,1,0)</f>
        <v/>
      </c>
      <c r="AB376">
        <f>IF(AA376=C376,1,0)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$AE$12+D377*$AE$13+E377*$AE$14+F377*$AE$15+G377*$AE$16+H377*$AE$17+I377*$AE$18+J377*$AE$19+K377*$AE$20+L377*$AE$21+M377*$AE$22+N377*$AE$23+O377*$AE$24+P377*$AE$25+Q377*$AE$26+R377*$AE$27+S377*$AE$28+T377*$AE$29+U377*$AE$30</f>
        <v/>
      </c>
      <c r="W377" s="8">
        <f>1/(1+EXP(-V377))</f>
        <v/>
      </c>
      <c r="X377" s="9">
        <f>-IF(C377=1,LN(W377),LN(1-W377))</f>
        <v/>
      </c>
      <c r="Y377" s="8">
        <f>'1 prepared data'!V370</f>
        <v/>
      </c>
      <c r="Z377" s="9">
        <f>Y377*X377</f>
        <v/>
      </c>
      <c r="AA377" s="10">
        <f>IF(W377&gt;$AE$33,1,0)</f>
        <v/>
      </c>
      <c r="AB377">
        <f>IF(AA377=C377,1,0)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$AE$12+D378*$AE$13+E378*$AE$14+F378*$AE$15+G378*$AE$16+H378*$AE$17+I378*$AE$18+J378*$AE$19+K378*$AE$20+L378*$AE$21+M378*$AE$22+N378*$AE$23+O378*$AE$24+P378*$AE$25+Q378*$AE$26+R378*$AE$27+S378*$AE$28+T378*$AE$29+U378*$AE$30</f>
        <v/>
      </c>
      <c r="W378" s="8">
        <f>1/(1+EXP(-V378))</f>
        <v/>
      </c>
      <c r="X378" s="9">
        <f>-IF(C378=1,LN(W378),LN(1-W378))</f>
        <v/>
      </c>
      <c r="Y378" s="8">
        <f>'1 prepared data'!V371</f>
        <v/>
      </c>
      <c r="Z378" s="9">
        <f>Y378*X378</f>
        <v/>
      </c>
      <c r="AA378" s="10">
        <f>IF(W378&gt;$AE$33,1,0)</f>
        <v/>
      </c>
      <c r="AB378">
        <f>IF(AA378=C378,1,0)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$AE$12+D379*$AE$13+E379*$AE$14+F379*$AE$15+G379*$AE$16+H379*$AE$17+I379*$AE$18+J379*$AE$19+K379*$AE$20+L379*$AE$21+M379*$AE$22+N379*$AE$23+O379*$AE$24+P379*$AE$25+Q379*$AE$26+R379*$AE$27+S379*$AE$28+T379*$AE$29+U379*$AE$30</f>
        <v/>
      </c>
      <c r="W379" s="8">
        <f>1/(1+EXP(-V379))</f>
        <v/>
      </c>
      <c r="X379" s="9">
        <f>-IF(C379=1,LN(W379),LN(1-W379))</f>
        <v/>
      </c>
      <c r="Y379" s="8">
        <f>'1 prepared data'!V372</f>
        <v/>
      </c>
      <c r="Z379" s="9">
        <f>Y379*X379</f>
        <v/>
      </c>
      <c r="AA379" s="10">
        <f>IF(W379&gt;$AE$33,1,0)</f>
        <v/>
      </c>
      <c r="AB379">
        <f>IF(AA379=C379,1,0)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$AE$12+D380*$AE$13+E380*$AE$14+F380*$AE$15+G380*$AE$16+H380*$AE$17+I380*$AE$18+J380*$AE$19+K380*$AE$20+L380*$AE$21+M380*$AE$22+N380*$AE$23+O380*$AE$24+P380*$AE$25+Q380*$AE$26+R380*$AE$27+S380*$AE$28+T380*$AE$29+U380*$AE$30</f>
        <v/>
      </c>
      <c r="W380" s="8">
        <f>1/(1+EXP(-V380))</f>
        <v/>
      </c>
      <c r="X380" s="9">
        <f>-IF(C380=1,LN(W380),LN(1-W380))</f>
        <v/>
      </c>
      <c r="Y380" s="8">
        <f>'1 prepared data'!V373</f>
        <v/>
      </c>
      <c r="Z380" s="9">
        <f>Y380*X380</f>
        <v/>
      </c>
      <c r="AA380" s="10">
        <f>IF(W380&gt;$AE$33,1,0)</f>
        <v/>
      </c>
      <c r="AB380">
        <f>IF(AA380=C380,1,0)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$AE$12+D381*$AE$13+E381*$AE$14+F381*$AE$15+G381*$AE$16+H381*$AE$17+I381*$AE$18+J381*$AE$19+K381*$AE$20+L381*$AE$21+M381*$AE$22+N381*$AE$23+O381*$AE$24+P381*$AE$25+Q381*$AE$26+R381*$AE$27+S381*$AE$28+T381*$AE$29+U381*$AE$30</f>
        <v/>
      </c>
      <c r="W381" s="8">
        <f>1/(1+EXP(-V381))</f>
        <v/>
      </c>
      <c r="X381" s="9">
        <f>-IF(C381=1,LN(W381),LN(1-W381))</f>
        <v/>
      </c>
      <c r="Y381" s="8">
        <f>'1 prepared data'!V374</f>
        <v/>
      </c>
      <c r="Z381" s="9">
        <f>Y381*X381</f>
        <v/>
      </c>
      <c r="AA381" s="10">
        <f>IF(W381&gt;$AE$33,1,0)</f>
        <v/>
      </c>
      <c r="AB381">
        <f>IF(AA381=C381,1,0)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$AE$12+D382*$AE$13+E382*$AE$14+F382*$AE$15+G382*$AE$16+H382*$AE$17+I382*$AE$18+J382*$AE$19+K382*$AE$20+L382*$AE$21+M382*$AE$22+N382*$AE$23+O382*$AE$24+P382*$AE$25+Q382*$AE$26+R382*$AE$27+S382*$AE$28+T382*$AE$29+U382*$AE$30</f>
        <v/>
      </c>
      <c r="W382" s="8">
        <f>1/(1+EXP(-V382))</f>
        <v/>
      </c>
      <c r="X382" s="9">
        <f>-IF(C382=1,LN(W382),LN(1-W382))</f>
        <v/>
      </c>
      <c r="Y382" s="8">
        <f>'1 prepared data'!V375</f>
        <v/>
      </c>
      <c r="Z382" s="9">
        <f>Y382*X382</f>
        <v/>
      </c>
      <c r="AA382" s="10">
        <f>IF(W382&gt;$AE$33,1,0)</f>
        <v/>
      </c>
      <c r="AB382">
        <f>IF(AA382=C382,1,0)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$AE$12+D383*$AE$13+E383*$AE$14+F383*$AE$15+G383*$AE$16+H383*$AE$17+I383*$AE$18+J383*$AE$19+K383*$AE$20+L383*$AE$21+M383*$AE$22+N383*$AE$23+O383*$AE$24+P383*$AE$25+Q383*$AE$26+R383*$AE$27+S383*$AE$28+T383*$AE$29+U383*$AE$30</f>
        <v/>
      </c>
      <c r="W383" s="8">
        <f>1/(1+EXP(-V383))</f>
        <v/>
      </c>
      <c r="X383" s="9">
        <f>-IF(C383=1,LN(W383),LN(1-W383))</f>
        <v/>
      </c>
      <c r="Y383" s="8">
        <f>'1 prepared data'!V376</f>
        <v/>
      </c>
      <c r="Z383" s="9">
        <f>Y383*X383</f>
        <v/>
      </c>
      <c r="AA383" s="10">
        <f>IF(W383&gt;$AE$33,1,0)</f>
        <v/>
      </c>
      <c r="AB383">
        <f>IF(AA383=C383,1,0)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$AE$12+D384*$AE$13+E384*$AE$14+F384*$AE$15+G384*$AE$16+H384*$AE$17+I384*$AE$18+J384*$AE$19+K384*$AE$20+L384*$AE$21+M384*$AE$22+N384*$AE$23+O384*$AE$24+P384*$AE$25+Q384*$AE$26+R384*$AE$27+S384*$AE$28+T384*$AE$29+U384*$AE$30</f>
        <v/>
      </c>
      <c r="W384" s="8">
        <f>1/(1+EXP(-V384))</f>
        <v/>
      </c>
      <c r="X384" s="9">
        <f>-IF(C384=1,LN(W384),LN(1-W384))</f>
        <v/>
      </c>
      <c r="Y384" s="8">
        <f>'1 prepared data'!V377</f>
        <v/>
      </c>
      <c r="Z384" s="9">
        <f>Y384*X384</f>
        <v/>
      </c>
      <c r="AA384" s="10">
        <f>IF(W384&gt;$AE$33,1,0)</f>
        <v/>
      </c>
      <c r="AB384">
        <f>IF(AA384=C384,1,0)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$AE$12+D385*$AE$13+E385*$AE$14+F385*$AE$15+G385*$AE$16+H385*$AE$17+I385*$AE$18+J385*$AE$19+K385*$AE$20+L385*$AE$21+M385*$AE$22+N385*$AE$23+O385*$AE$24+P385*$AE$25+Q385*$AE$26+R385*$AE$27+S385*$AE$28+T385*$AE$29+U385*$AE$30</f>
        <v/>
      </c>
      <c r="W385" s="8">
        <f>1/(1+EXP(-V385))</f>
        <v/>
      </c>
      <c r="X385" s="9">
        <f>-IF(C385=1,LN(W385),LN(1-W385))</f>
        <v/>
      </c>
      <c r="Y385" s="8">
        <f>'1 prepared data'!V378</f>
        <v/>
      </c>
      <c r="Z385" s="9">
        <f>Y385*X385</f>
        <v/>
      </c>
      <c r="AA385" s="10">
        <f>IF(W385&gt;$AE$33,1,0)</f>
        <v/>
      </c>
      <c r="AB385">
        <f>IF(AA385=C385,1,0)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$AE$12+D386*$AE$13+E386*$AE$14+F386*$AE$15+G386*$AE$16+H386*$AE$17+I386*$AE$18+J386*$AE$19+K386*$AE$20+L386*$AE$21+M386*$AE$22+N386*$AE$23+O386*$AE$24+P386*$AE$25+Q386*$AE$26+R386*$AE$27+S386*$AE$28+T386*$AE$29+U386*$AE$30</f>
        <v/>
      </c>
      <c r="W386" s="8">
        <f>1/(1+EXP(-V386))</f>
        <v/>
      </c>
      <c r="X386" s="9">
        <f>-IF(C386=1,LN(W386),LN(1-W386))</f>
        <v/>
      </c>
      <c r="Y386" s="8">
        <f>'1 prepared data'!V379</f>
        <v/>
      </c>
      <c r="Z386" s="9">
        <f>Y386*X386</f>
        <v/>
      </c>
      <c r="AA386" s="10">
        <f>IF(W386&gt;$AE$33,1,0)</f>
        <v/>
      </c>
      <c r="AB386">
        <f>IF(AA386=C386,1,0)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$AE$12+D387*$AE$13+E387*$AE$14+F387*$AE$15+G387*$AE$16+H387*$AE$17+I387*$AE$18+J387*$AE$19+K387*$AE$20+L387*$AE$21+M387*$AE$22+N387*$AE$23+O387*$AE$24+P387*$AE$25+Q387*$AE$26+R387*$AE$27+S387*$AE$28+T387*$AE$29+U387*$AE$30</f>
        <v/>
      </c>
      <c r="W387" s="8">
        <f>1/(1+EXP(-V387))</f>
        <v/>
      </c>
      <c r="X387" s="9">
        <f>-IF(C387=1,LN(W387),LN(1-W387))</f>
        <v/>
      </c>
      <c r="Y387" s="8">
        <f>'1 prepared data'!V380</f>
        <v/>
      </c>
      <c r="Z387" s="9">
        <f>Y387*X387</f>
        <v/>
      </c>
      <c r="AA387" s="10">
        <f>IF(W387&gt;$AE$33,1,0)</f>
        <v/>
      </c>
      <c r="AB387">
        <f>IF(AA387=C387,1,0)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$AE$12+D388*$AE$13+E388*$AE$14+F388*$AE$15+G388*$AE$16+H388*$AE$17+I388*$AE$18+J388*$AE$19+K388*$AE$20+L388*$AE$21+M388*$AE$22+N388*$AE$23+O388*$AE$24+P388*$AE$25+Q388*$AE$26+R388*$AE$27+S388*$AE$28+T388*$AE$29+U388*$AE$30</f>
        <v/>
      </c>
      <c r="W388" s="8">
        <f>1/(1+EXP(-V388))</f>
        <v/>
      </c>
      <c r="X388" s="9">
        <f>-IF(C388=1,LN(W388),LN(1-W388))</f>
        <v/>
      </c>
      <c r="Y388" s="8">
        <f>'1 prepared data'!V381</f>
        <v/>
      </c>
      <c r="Z388" s="9">
        <f>Y388*X388</f>
        <v/>
      </c>
      <c r="AA388" s="10">
        <f>IF(W388&gt;$AE$33,1,0)</f>
        <v/>
      </c>
      <c r="AB388">
        <f>IF(AA388=C388,1,0)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$AE$12+D389*$AE$13+E389*$AE$14+F389*$AE$15+G389*$AE$16+H389*$AE$17+I389*$AE$18+J389*$AE$19+K389*$AE$20+L389*$AE$21+M389*$AE$22+N389*$AE$23+O389*$AE$24+P389*$AE$25+Q389*$AE$26+R389*$AE$27+S389*$AE$28+T389*$AE$29+U389*$AE$30</f>
        <v/>
      </c>
      <c r="W389" s="8">
        <f>1/(1+EXP(-V389))</f>
        <v/>
      </c>
      <c r="X389" s="9">
        <f>-IF(C389=1,LN(W389),LN(1-W389))</f>
        <v/>
      </c>
      <c r="Y389" s="8">
        <f>'1 prepared data'!V382</f>
        <v/>
      </c>
      <c r="Z389" s="9">
        <f>Y389*X389</f>
        <v/>
      </c>
      <c r="AA389" s="10">
        <f>IF(W389&gt;$AE$33,1,0)</f>
        <v/>
      </c>
      <c r="AB389">
        <f>IF(AA389=C389,1,0)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$AE$12+D390*$AE$13+E390*$AE$14+F390*$AE$15+G390*$AE$16+H390*$AE$17+I390*$AE$18+J390*$AE$19+K390*$AE$20+L390*$AE$21+M390*$AE$22+N390*$AE$23+O390*$AE$24+P390*$AE$25+Q390*$AE$26+R390*$AE$27+S390*$AE$28+T390*$AE$29+U390*$AE$30</f>
        <v/>
      </c>
      <c r="W390" s="8">
        <f>1/(1+EXP(-V390))</f>
        <v/>
      </c>
      <c r="X390" s="9">
        <f>-IF(C390=1,LN(W390),LN(1-W390))</f>
        <v/>
      </c>
      <c r="Y390" s="8">
        <f>'1 prepared data'!V383</f>
        <v/>
      </c>
      <c r="Z390" s="9">
        <f>Y390*X390</f>
        <v/>
      </c>
      <c r="AA390" s="10">
        <f>IF(W390&gt;$AE$33,1,0)</f>
        <v/>
      </c>
      <c r="AB390">
        <f>IF(AA390=C390,1,0)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$AE$12+D391*$AE$13+E391*$AE$14+F391*$AE$15+G391*$AE$16+H391*$AE$17+I391*$AE$18+J391*$AE$19+K391*$AE$20+L391*$AE$21+M391*$AE$22+N391*$AE$23+O391*$AE$24+P391*$AE$25+Q391*$AE$26+R391*$AE$27+S391*$AE$28+T391*$AE$29+U391*$AE$30</f>
        <v/>
      </c>
      <c r="W391" s="8">
        <f>1/(1+EXP(-V391))</f>
        <v/>
      </c>
      <c r="X391" s="9">
        <f>-IF(C391=1,LN(W391),LN(1-W391))</f>
        <v/>
      </c>
      <c r="Y391" s="8">
        <f>'1 prepared data'!V384</f>
        <v/>
      </c>
      <c r="Z391" s="9">
        <f>Y391*X391</f>
        <v/>
      </c>
      <c r="AA391" s="10">
        <f>IF(W391&gt;$AE$33,1,0)</f>
        <v/>
      </c>
      <c r="AB391">
        <f>IF(AA391=C391,1,0)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$AE$12+D392*$AE$13+E392*$AE$14+F392*$AE$15+G392*$AE$16+H392*$AE$17+I392*$AE$18+J392*$AE$19+K392*$AE$20+L392*$AE$21+M392*$AE$22+N392*$AE$23+O392*$AE$24+P392*$AE$25+Q392*$AE$26+R392*$AE$27+S392*$AE$28+T392*$AE$29+U392*$AE$30</f>
        <v/>
      </c>
      <c r="W392" s="8">
        <f>1/(1+EXP(-V392))</f>
        <v/>
      </c>
      <c r="X392" s="9">
        <f>-IF(C392=1,LN(W392),LN(1-W392))</f>
        <v/>
      </c>
      <c r="Y392" s="8">
        <f>'1 prepared data'!V385</f>
        <v/>
      </c>
      <c r="Z392" s="9">
        <f>Y392*X392</f>
        <v/>
      </c>
      <c r="AA392" s="10">
        <f>IF(W392&gt;$AE$33,1,0)</f>
        <v/>
      </c>
      <c r="AB392">
        <f>IF(AA392=C392,1,0)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$AE$12+D393*$AE$13+E393*$AE$14+F393*$AE$15+G393*$AE$16+H393*$AE$17+I393*$AE$18+J393*$AE$19+K393*$AE$20+L393*$AE$21+M393*$AE$22+N393*$AE$23+O393*$AE$24+P393*$AE$25+Q393*$AE$26+R393*$AE$27+S393*$AE$28+T393*$AE$29+U393*$AE$30</f>
        <v/>
      </c>
      <c r="W393" s="8">
        <f>1/(1+EXP(-V393))</f>
        <v/>
      </c>
      <c r="X393" s="9">
        <f>-IF(C393=1,LN(W393),LN(1-W393))</f>
        <v/>
      </c>
      <c r="Y393" s="8">
        <f>'1 prepared data'!V386</f>
        <v/>
      </c>
      <c r="Z393" s="9">
        <f>Y393*X393</f>
        <v/>
      </c>
      <c r="AA393" s="10">
        <f>IF(W393&gt;$AE$33,1,0)</f>
        <v/>
      </c>
      <c r="AB393">
        <f>IF(AA393=C393,1,0)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$AE$12+D394*$AE$13+E394*$AE$14+F394*$AE$15+G394*$AE$16+H394*$AE$17+I394*$AE$18+J394*$AE$19+K394*$AE$20+L394*$AE$21+M394*$AE$22+N394*$AE$23+O394*$AE$24+P394*$AE$25+Q394*$AE$26+R394*$AE$27+S394*$AE$28+T394*$AE$29+U394*$AE$30</f>
        <v/>
      </c>
      <c r="W394" s="8">
        <f>1/(1+EXP(-V394))</f>
        <v/>
      </c>
      <c r="X394" s="9">
        <f>-IF(C394=1,LN(W394),LN(1-W394))</f>
        <v/>
      </c>
      <c r="Y394" s="8">
        <f>'1 prepared data'!V387</f>
        <v/>
      </c>
      <c r="Z394" s="9">
        <f>Y394*X394</f>
        <v/>
      </c>
      <c r="AA394" s="10">
        <f>IF(W394&gt;$AE$33,1,0)</f>
        <v/>
      </c>
      <c r="AB394">
        <f>IF(AA394=C394,1,0)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$AE$12+D395*$AE$13+E395*$AE$14+F395*$AE$15+G395*$AE$16+H395*$AE$17+I395*$AE$18+J395*$AE$19+K395*$AE$20+L395*$AE$21+M395*$AE$22+N395*$AE$23+O395*$AE$24+P395*$AE$25+Q395*$AE$26+R395*$AE$27+S395*$AE$28+T395*$AE$29+U395*$AE$30</f>
        <v/>
      </c>
      <c r="W395" s="8">
        <f>1/(1+EXP(-V395))</f>
        <v/>
      </c>
      <c r="X395" s="9">
        <f>-IF(C395=1,LN(W395),LN(1-W395))</f>
        <v/>
      </c>
      <c r="Y395" s="8">
        <f>'1 prepared data'!V388</f>
        <v/>
      </c>
      <c r="Z395" s="9">
        <f>Y395*X395</f>
        <v/>
      </c>
      <c r="AA395" s="10">
        <f>IF(W395&gt;$AE$33,1,0)</f>
        <v/>
      </c>
      <c r="AB395">
        <f>IF(AA395=C395,1,0)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$AE$12+D396*$AE$13+E396*$AE$14+F396*$AE$15+G396*$AE$16+H396*$AE$17+I396*$AE$18+J396*$AE$19+K396*$AE$20+L396*$AE$21+M396*$AE$22+N396*$AE$23+O396*$AE$24+P396*$AE$25+Q396*$AE$26+R396*$AE$27+S396*$AE$28+T396*$AE$29+U396*$AE$30</f>
        <v/>
      </c>
      <c r="W396" s="8">
        <f>1/(1+EXP(-V396))</f>
        <v/>
      </c>
      <c r="X396" s="9">
        <f>-IF(C396=1,LN(W396),LN(1-W396))</f>
        <v/>
      </c>
      <c r="Y396" s="8">
        <f>'1 prepared data'!V389</f>
        <v/>
      </c>
      <c r="Z396" s="9">
        <f>Y396*X396</f>
        <v/>
      </c>
      <c r="AA396" s="10">
        <f>IF(W396&gt;$AE$33,1,0)</f>
        <v/>
      </c>
      <c r="AB396">
        <f>IF(AA396=C396,1,0)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$AE$12+D397*$AE$13+E397*$AE$14+F397*$AE$15+G397*$AE$16+H397*$AE$17+I397*$AE$18+J397*$AE$19+K397*$AE$20+L397*$AE$21+M397*$AE$22+N397*$AE$23+O397*$AE$24+P397*$AE$25+Q397*$AE$26+R397*$AE$27+S397*$AE$28+T397*$AE$29+U397*$AE$30</f>
        <v/>
      </c>
      <c r="W397" s="8">
        <f>1/(1+EXP(-V397))</f>
        <v/>
      </c>
      <c r="X397" s="9">
        <f>-IF(C397=1,LN(W397),LN(1-W397))</f>
        <v/>
      </c>
      <c r="Y397" s="8">
        <f>'1 prepared data'!V390</f>
        <v/>
      </c>
      <c r="Z397" s="9">
        <f>Y397*X397</f>
        <v/>
      </c>
      <c r="AA397" s="10">
        <f>IF(W397&gt;$AE$33,1,0)</f>
        <v/>
      </c>
      <c r="AB397">
        <f>IF(AA397=C397,1,0)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$AE$12+D398*$AE$13+E398*$AE$14+F398*$AE$15+G398*$AE$16+H398*$AE$17+I398*$AE$18+J398*$AE$19+K398*$AE$20+L398*$AE$21+M398*$AE$22+N398*$AE$23+O398*$AE$24+P398*$AE$25+Q398*$AE$26+R398*$AE$27+S398*$AE$28+T398*$AE$29+U398*$AE$30</f>
        <v/>
      </c>
      <c r="W398" s="8">
        <f>1/(1+EXP(-V398))</f>
        <v/>
      </c>
      <c r="X398" s="9">
        <f>-IF(C398=1,LN(W398),LN(1-W398))</f>
        <v/>
      </c>
      <c r="Y398" s="8">
        <f>'1 prepared data'!V391</f>
        <v/>
      </c>
      <c r="Z398" s="9">
        <f>Y398*X398</f>
        <v/>
      </c>
      <c r="AA398" s="10">
        <f>IF(W398&gt;$AE$33,1,0)</f>
        <v/>
      </c>
      <c r="AB398">
        <f>IF(AA398=C398,1,0)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$AE$12+D399*$AE$13+E399*$AE$14+F399*$AE$15+G399*$AE$16+H399*$AE$17+I399*$AE$18+J399*$AE$19+K399*$AE$20+L399*$AE$21+M399*$AE$22+N399*$AE$23+O399*$AE$24+P399*$AE$25+Q399*$AE$26+R399*$AE$27+S399*$AE$28+T399*$AE$29+U399*$AE$30</f>
        <v/>
      </c>
      <c r="W399" s="8">
        <f>1/(1+EXP(-V399))</f>
        <v/>
      </c>
      <c r="X399" s="9">
        <f>-IF(C399=1,LN(W399),LN(1-W399))</f>
        <v/>
      </c>
      <c r="Y399" s="8">
        <f>'1 prepared data'!V392</f>
        <v/>
      </c>
      <c r="Z399" s="9">
        <f>Y399*X399</f>
        <v/>
      </c>
      <c r="AA399" s="10">
        <f>IF(W399&gt;$AE$33,1,0)</f>
        <v/>
      </c>
      <c r="AB399">
        <f>IF(AA399=C399,1,0)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$AE$12+D400*$AE$13+E400*$AE$14+F400*$AE$15+G400*$AE$16+H400*$AE$17+I400*$AE$18+J400*$AE$19+K400*$AE$20+L400*$AE$21+M400*$AE$22+N400*$AE$23+O400*$AE$24+P400*$AE$25+Q400*$AE$26+R400*$AE$27+S400*$AE$28+T400*$AE$29+U400*$AE$30</f>
        <v/>
      </c>
      <c r="W400" s="8">
        <f>1/(1+EXP(-V400))</f>
        <v/>
      </c>
      <c r="X400" s="9">
        <f>-IF(C400=1,LN(W400),LN(1-W400))</f>
        <v/>
      </c>
      <c r="Y400" s="8">
        <f>'1 prepared data'!V393</f>
        <v/>
      </c>
      <c r="Z400" s="9">
        <f>Y400*X400</f>
        <v/>
      </c>
      <c r="AA400" s="10">
        <f>IF(W400&gt;$AE$33,1,0)</f>
        <v/>
      </c>
      <c r="AB400">
        <f>IF(AA400=C400,1,0)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$AE$12+D401*$AE$13+E401*$AE$14+F401*$AE$15+G401*$AE$16+H401*$AE$17+I401*$AE$18+J401*$AE$19+K401*$AE$20+L401*$AE$21+M401*$AE$22+N401*$AE$23+O401*$AE$24+P401*$AE$25+Q401*$AE$26+R401*$AE$27+S401*$AE$28+T401*$AE$29+U401*$AE$30</f>
        <v/>
      </c>
      <c r="W401" s="8">
        <f>1/(1+EXP(-V401))</f>
        <v/>
      </c>
      <c r="X401" s="9">
        <f>-IF(C401=1,LN(W401),LN(1-W401))</f>
        <v/>
      </c>
      <c r="Y401" s="8">
        <f>'1 prepared data'!V394</f>
        <v/>
      </c>
      <c r="Z401" s="9">
        <f>Y401*X401</f>
        <v/>
      </c>
      <c r="AA401" s="10">
        <f>IF(W401&gt;$AE$33,1,0)</f>
        <v/>
      </c>
      <c r="AB401">
        <f>IF(AA401=C401,1,0)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$AE$12+D402*$AE$13+E402*$AE$14+F402*$AE$15+G402*$AE$16+H402*$AE$17+I402*$AE$18+J402*$AE$19+K402*$AE$20+L402*$AE$21+M402*$AE$22+N402*$AE$23+O402*$AE$24+P402*$AE$25+Q402*$AE$26+R402*$AE$27+S402*$AE$28+T402*$AE$29+U402*$AE$30</f>
        <v/>
      </c>
      <c r="W402" s="8">
        <f>1/(1+EXP(-V402))</f>
        <v/>
      </c>
      <c r="X402" s="9">
        <f>-IF(C402=1,LN(W402),LN(1-W402))</f>
        <v/>
      </c>
      <c r="Y402" s="8">
        <f>'1 prepared data'!V395</f>
        <v/>
      </c>
      <c r="Z402" s="9">
        <f>Y402*X402</f>
        <v/>
      </c>
      <c r="AA402" s="10">
        <f>IF(W402&gt;$AE$33,1,0)</f>
        <v/>
      </c>
      <c r="AB402">
        <f>IF(AA402=C402,1,0)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$AE$12+D403*$AE$13+E403*$AE$14+F403*$AE$15+G403*$AE$16+H403*$AE$17+I403*$AE$18+J403*$AE$19+K403*$AE$20+L403*$AE$21+M403*$AE$22+N403*$AE$23+O403*$AE$24+P403*$AE$25+Q403*$AE$26+R403*$AE$27+S403*$AE$28+T403*$AE$29+U403*$AE$30</f>
        <v/>
      </c>
      <c r="W403" s="8">
        <f>1/(1+EXP(-V403))</f>
        <v/>
      </c>
      <c r="X403" s="9">
        <f>-IF(C403=1,LN(W403),LN(1-W403))</f>
        <v/>
      </c>
      <c r="Y403" s="8">
        <f>'1 prepared data'!V396</f>
        <v/>
      </c>
      <c r="Z403" s="9">
        <f>Y403*X403</f>
        <v/>
      </c>
      <c r="AA403" s="10">
        <f>IF(W403&gt;$AE$33,1,0)</f>
        <v/>
      </c>
      <c r="AB403">
        <f>IF(AA403=C403,1,0)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$AE$12+D404*$AE$13+E404*$AE$14+F404*$AE$15+G404*$AE$16+H404*$AE$17+I404*$AE$18+J404*$AE$19+K404*$AE$20+L404*$AE$21+M404*$AE$22+N404*$AE$23+O404*$AE$24+P404*$AE$25+Q404*$AE$26+R404*$AE$27+S404*$AE$28+T404*$AE$29+U404*$AE$30</f>
        <v/>
      </c>
      <c r="W404" s="8">
        <f>1/(1+EXP(-V404))</f>
        <v/>
      </c>
      <c r="X404" s="9">
        <f>-IF(C404=1,LN(W404),LN(1-W404))</f>
        <v/>
      </c>
      <c r="Y404" s="8">
        <f>'1 prepared data'!V397</f>
        <v/>
      </c>
      <c r="Z404" s="9">
        <f>Y404*X404</f>
        <v/>
      </c>
      <c r="AA404" s="10">
        <f>IF(W404&gt;$AE$33,1,0)</f>
        <v/>
      </c>
      <c r="AB404">
        <f>IF(AA404=C404,1,0)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$AE$12+D405*$AE$13+E405*$AE$14+F405*$AE$15+G405*$AE$16+H405*$AE$17+I405*$AE$18+J405*$AE$19+K405*$AE$20+L405*$AE$21+M405*$AE$22+N405*$AE$23+O405*$AE$24+P405*$AE$25+Q405*$AE$26+R405*$AE$27+S405*$AE$28+T405*$AE$29+U405*$AE$30</f>
        <v/>
      </c>
      <c r="W405" s="8">
        <f>1/(1+EXP(-V405))</f>
        <v/>
      </c>
      <c r="X405" s="9">
        <f>-IF(C405=1,LN(W405),LN(1-W405))</f>
        <v/>
      </c>
      <c r="Y405" s="8">
        <f>'1 prepared data'!V398</f>
        <v/>
      </c>
      <c r="Z405" s="9">
        <f>Y405*X405</f>
        <v/>
      </c>
      <c r="AA405" s="10">
        <f>IF(W405&gt;$AE$33,1,0)</f>
        <v/>
      </c>
      <c r="AB405">
        <f>IF(AA405=C405,1,0)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$AE$12+D406*$AE$13+E406*$AE$14+F406*$AE$15+G406*$AE$16+H406*$AE$17+I406*$AE$18+J406*$AE$19+K406*$AE$20+L406*$AE$21+M406*$AE$22+N406*$AE$23+O406*$AE$24+P406*$AE$25+Q406*$AE$26+R406*$AE$27+S406*$AE$28+T406*$AE$29+U406*$AE$30</f>
        <v/>
      </c>
      <c r="W406" s="8">
        <f>1/(1+EXP(-V406))</f>
        <v/>
      </c>
      <c r="X406" s="9">
        <f>-IF(C406=1,LN(W406),LN(1-W406))</f>
        <v/>
      </c>
      <c r="Y406" s="8">
        <f>'1 prepared data'!V399</f>
        <v/>
      </c>
      <c r="Z406" s="9">
        <f>Y406*X406</f>
        <v/>
      </c>
      <c r="AA406" s="10">
        <f>IF(W406&gt;$AE$33,1,0)</f>
        <v/>
      </c>
      <c r="AB406">
        <f>IF(AA406=C406,1,0)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$AE$12+D407*$AE$13+E407*$AE$14+F407*$AE$15+G407*$AE$16+H407*$AE$17+I407*$AE$18+J407*$AE$19+K407*$AE$20+L407*$AE$21+M407*$AE$22+N407*$AE$23+O407*$AE$24+P407*$AE$25+Q407*$AE$26+R407*$AE$27+S407*$AE$28+T407*$AE$29+U407*$AE$30</f>
        <v/>
      </c>
      <c r="W407" s="8">
        <f>1/(1+EXP(-V407))</f>
        <v/>
      </c>
      <c r="X407" s="9">
        <f>-IF(C407=1,LN(W407),LN(1-W407))</f>
        <v/>
      </c>
      <c r="Y407" s="8">
        <f>'1 prepared data'!V400</f>
        <v/>
      </c>
      <c r="Z407" s="9">
        <f>Y407*X407</f>
        <v/>
      </c>
      <c r="AA407" s="10">
        <f>IF(W407&gt;$AE$33,1,0)</f>
        <v/>
      </c>
      <c r="AB407">
        <f>IF(AA407=C407,1,0)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$AE$12+D408*$AE$13+E408*$AE$14+F408*$AE$15+G408*$AE$16+H408*$AE$17+I408*$AE$18+J408*$AE$19+K408*$AE$20+L408*$AE$21+M408*$AE$22+N408*$AE$23+O408*$AE$24+P408*$AE$25+Q408*$AE$26+R408*$AE$27+S408*$AE$28+T408*$AE$29+U408*$AE$30</f>
        <v/>
      </c>
      <c r="W408" s="8">
        <f>1/(1+EXP(-V408))</f>
        <v/>
      </c>
      <c r="X408" s="9">
        <f>-IF(C408=1,LN(W408),LN(1-W408))</f>
        <v/>
      </c>
      <c r="Y408" s="8">
        <f>'1 prepared data'!V401</f>
        <v/>
      </c>
      <c r="Z408" s="9">
        <f>Y408*X408</f>
        <v/>
      </c>
      <c r="AA408" s="10">
        <f>IF(W408&gt;$AE$33,1,0)</f>
        <v/>
      </c>
      <c r="AB408">
        <f>IF(AA408=C408,1,0)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$AE$12+D409*$AE$13+E409*$AE$14+F409*$AE$15+G409*$AE$16+H409*$AE$17+I409*$AE$18+J409*$AE$19+K409*$AE$20+L409*$AE$21+M409*$AE$22+N409*$AE$23+O409*$AE$24+P409*$AE$25+Q409*$AE$26+R409*$AE$27+S409*$AE$28+T409*$AE$29+U409*$AE$30</f>
        <v/>
      </c>
      <c r="W409" s="8">
        <f>1/(1+EXP(-V409))</f>
        <v/>
      </c>
      <c r="X409" s="9">
        <f>-IF(C409=1,LN(W409),LN(1-W409))</f>
        <v/>
      </c>
      <c r="Y409" s="8">
        <f>'1 prepared data'!V402</f>
        <v/>
      </c>
      <c r="Z409" s="9">
        <f>Y409*X409</f>
        <v/>
      </c>
      <c r="AA409" s="10">
        <f>IF(W409&gt;$AE$33,1,0)</f>
        <v/>
      </c>
      <c r="AB409">
        <f>IF(AA409=C409,1,0)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$AE$12+D410*$AE$13+E410*$AE$14+F410*$AE$15+G410*$AE$16+H410*$AE$17+I410*$AE$18+J410*$AE$19+K410*$AE$20+L410*$AE$21+M410*$AE$22+N410*$AE$23+O410*$AE$24+P410*$AE$25+Q410*$AE$26+R410*$AE$27+S410*$AE$28+T410*$AE$29+U410*$AE$30</f>
        <v/>
      </c>
      <c r="W410" s="8">
        <f>1/(1+EXP(-V410))</f>
        <v/>
      </c>
      <c r="X410" s="9">
        <f>-IF(C410=1,LN(W410),LN(1-W410))</f>
        <v/>
      </c>
      <c r="Y410" s="8">
        <f>'1 prepared data'!V403</f>
        <v/>
      </c>
      <c r="Z410" s="9">
        <f>Y410*X410</f>
        <v/>
      </c>
      <c r="AA410" s="10">
        <f>IF(W410&gt;$AE$33,1,0)</f>
        <v/>
      </c>
      <c r="AB410">
        <f>IF(AA410=C410,1,0)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$AE$12+D411*$AE$13+E411*$AE$14+F411*$AE$15+G411*$AE$16+H411*$AE$17+I411*$AE$18+J411*$AE$19+K411*$AE$20+L411*$AE$21+M411*$AE$22+N411*$AE$23+O411*$AE$24+P411*$AE$25+Q411*$AE$26+R411*$AE$27+S411*$AE$28+T411*$AE$29+U411*$AE$30</f>
        <v/>
      </c>
      <c r="W411" s="8">
        <f>1/(1+EXP(-V411))</f>
        <v/>
      </c>
      <c r="X411" s="9">
        <f>-IF(C411=1,LN(W411),LN(1-W411))</f>
        <v/>
      </c>
      <c r="Y411" s="8">
        <f>'1 prepared data'!V404</f>
        <v/>
      </c>
      <c r="Z411" s="9">
        <f>Y411*X411</f>
        <v/>
      </c>
      <c r="AA411" s="10">
        <f>IF(W411&gt;$AE$33,1,0)</f>
        <v/>
      </c>
      <c r="AB411">
        <f>IF(AA411=C411,1,0)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$AE$12+D412*$AE$13+E412*$AE$14+F412*$AE$15+G412*$AE$16+H412*$AE$17+I412*$AE$18+J412*$AE$19+K412*$AE$20+L412*$AE$21+M412*$AE$22+N412*$AE$23+O412*$AE$24+P412*$AE$25+Q412*$AE$26+R412*$AE$27+S412*$AE$28+T412*$AE$29+U412*$AE$30</f>
        <v/>
      </c>
      <c r="W412" s="8">
        <f>1/(1+EXP(-V412))</f>
        <v/>
      </c>
      <c r="X412" s="9">
        <f>-IF(C412=1,LN(W412),LN(1-W412))</f>
        <v/>
      </c>
      <c r="Y412" s="8">
        <f>'1 prepared data'!V405</f>
        <v/>
      </c>
      <c r="Z412" s="9">
        <f>Y412*X412</f>
        <v/>
      </c>
      <c r="AA412" s="10">
        <f>IF(W412&gt;$AE$33,1,0)</f>
        <v/>
      </c>
      <c r="AB412">
        <f>IF(AA412=C412,1,0)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$AE$12+D413*$AE$13+E413*$AE$14+F413*$AE$15+G413*$AE$16+H413*$AE$17+I413*$AE$18+J413*$AE$19+K413*$AE$20+L413*$AE$21+M413*$AE$22+N413*$AE$23+O413*$AE$24+P413*$AE$25+Q413*$AE$26+R413*$AE$27+S413*$AE$28+T413*$AE$29+U413*$AE$30</f>
        <v/>
      </c>
      <c r="W413" s="8">
        <f>1/(1+EXP(-V413))</f>
        <v/>
      </c>
      <c r="X413" s="9">
        <f>-IF(C413=1,LN(W413),LN(1-W413))</f>
        <v/>
      </c>
      <c r="Y413" s="8">
        <f>'1 prepared data'!V406</f>
        <v/>
      </c>
      <c r="Z413" s="9">
        <f>Y413*X413</f>
        <v/>
      </c>
      <c r="AA413" s="10">
        <f>IF(W413&gt;$AE$33,1,0)</f>
        <v/>
      </c>
      <c r="AB413">
        <f>IF(AA413=C413,1,0)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$AE$12+D414*$AE$13+E414*$AE$14+F414*$AE$15+G414*$AE$16+H414*$AE$17+I414*$AE$18+J414*$AE$19+K414*$AE$20+L414*$AE$21+M414*$AE$22+N414*$AE$23+O414*$AE$24+P414*$AE$25+Q414*$AE$26+R414*$AE$27+S414*$AE$28+T414*$AE$29+U414*$AE$30</f>
        <v/>
      </c>
      <c r="W414" s="8">
        <f>1/(1+EXP(-V414))</f>
        <v/>
      </c>
      <c r="X414" s="9">
        <f>-IF(C414=1,LN(W414),LN(1-W414))</f>
        <v/>
      </c>
      <c r="Y414" s="8">
        <f>'1 prepared data'!V407</f>
        <v/>
      </c>
      <c r="Z414" s="9">
        <f>Y414*X414</f>
        <v/>
      </c>
      <c r="AA414" s="10">
        <f>IF(W414&gt;$AE$33,1,0)</f>
        <v/>
      </c>
      <c r="AB414">
        <f>IF(AA414=C414,1,0)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$AE$12+D415*$AE$13+E415*$AE$14+F415*$AE$15+G415*$AE$16+H415*$AE$17+I415*$AE$18+J415*$AE$19+K415*$AE$20+L415*$AE$21+M415*$AE$22+N415*$AE$23+O415*$AE$24+P415*$AE$25+Q415*$AE$26+R415*$AE$27+S415*$AE$28+T415*$AE$29+U415*$AE$30</f>
        <v/>
      </c>
      <c r="W415" s="8">
        <f>1/(1+EXP(-V415))</f>
        <v/>
      </c>
      <c r="X415" s="9">
        <f>-IF(C415=1,LN(W415),LN(1-W415))</f>
        <v/>
      </c>
      <c r="Y415" s="8">
        <f>'1 prepared data'!V408</f>
        <v/>
      </c>
      <c r="Z415" s="9">
        <f>Y415*X415</f>
        <v/>
      </c>
      <c r="AA415" s="10">
        <f>IF(W415&gt;$AE$33,1,0)</f>
        <v/>
      </c>
      <c r="AB415">
        <f>IF(AA415=C415,1,0)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$AE$12+D416*$AE$13+E416*$AE$14+F416*$AE$15+G416*$AE$16+H416*$AE$17+I416*$AE$18+J416*$AE$19+K416*$AE$20+L416*$AE$21+M416*$AE$22+N416*$AE$23+O416*$AE$24+P416*$AE$25+Q416*$AE$26+R416*$AE$27+S416*$AE$28+T416*$AE$29+U416*$AE$30</f>
        <v/>
      </c>
      <c r="W416" s="8">
        <f>1/(1+EXP(-V416))</f>
        <v/>
      </c>
      <c r="X416" s="9">
        <f>-IF(C416=1,LN(W416),LN(1-W416))</f>
        <v/>
      </c>
      <c r="Y416" s="8">
        <f>'1 prepared data'!V409</f>
        <v/>
      </c>
      <c r="Z416" s="9">
        <f>Y416*X416</f>
        <v/>
      </c>
      <c r="AA416" s="10">
        <f>IF(W416&gt;$AE$33,1,0)</f>
        <v/>
      </c>
      <c r="AB416">
        <f>IF(AA416=C416,1,0)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$AE$12+D417*$AE$13+E417*$AE$14+F417*$AE$15+G417*$AE$16+H417*$AE$17+I417*$AE$18+J417*$AE$19+K417*$AE$20+L417*$AE$21+M417*$AE$22+N417*$AE$23+O417*$AE$24+P417*$AE$25+Q417*$AE$26+R417*$AE$27+S417*$AE$28+T417*$AE$29+U417*$AE$30</f>
        <v/>
      </c>
      <c r="W417" s="8">
        <f>1/(1+EXP(-V417))</f>
        <v/>
      </c>
      <c r="X417" s="9">
        <f>-IF(C417=1,LN(W417),LN(1-W417))</f>
        <v/>
      </c>
      <c r="Y417" s="8">
        <f>'1 prepared data'!V410</f>
        <v/>
      </c>
      <c r="Z417" s="9">
        <f>Y417*X417</f>
        <v/>
      </c>
      <c r="AA417" s="10">
        <f>IF(W417&gt;$AE$33,1,0)</f>
        <v/>
      </c>
      <c r="AB417">
        <f>IF(AA417=C417,1,0)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$AE$12+D418*$AE$13+E418*$AE$14+F418*$AE$15+G418*$AE$16+H418*$AE$17+I418*$AE$18+J418*$AE$19+K418*$AE$20+L418*$AE$21+M418*$AE$22+N418*$AE$23+O418*$AE$24+P418*$AE$25+Q418*$AE$26+R418*$AE$27+S418*$AE$28+T418*$AE$29+U418*$AE$30</f>
        <v/>
      </c>
      <c r="W418" s="8">
        <f>1/(1+EXP(-V418))</f>
        <v/>
      </c>
      <c r="X418" s="9">
        <f>-IF(C418=1,LN(W418),LN(1-W418))</f>
        <v/>
      </c>
      <c r="Y418" s="8">
        <f>'1 prepared data'!V411</f>
        <v/>
      </c>
      <c r="Z418" s="9">
        <f>Y418*X418</f>
        <v/>
      </c>
      <c r="AA418" s="10">
        <f>IF(W418&gt;$AE$33,1,0)</f>
        <v/>
      </c>
      <c r="AB418">
        <f>IF(AA418=C418,1,0)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$AE$12+D419*$AE$13+E419*$AE$14+F419*$AE$15+G419*$AE$16+H419*$AE$17+I419*$AE$18+J419*$AE$19+K419*$AE$20+L419*$AE$21+M419*$AE$22+N419*$AE$23+O419*$AE$24+P419*$AE$25+Q419*$AE$26+R419*$AE$27+S419*$AE$28+T419*$AE$29+U419*$AE$30</f>
        <v/>
      </c>
      <c r="W419" s="8">
        <f>1/(1+EXP(-V419))</f>
        <v/>
      </c>
      <c r="X419" s="9">
        <f>-IF(C419=1,LN(W419),LN(1-W419))</f>
        <v/>
      </c>
      <c r="Y419" s="8">
        <f>'1 prepared data'!V412</f>
        <v/>
      </c>
      <c r="Z419" s="9">
        <f>Y419*X419</f>
        <v/>
      </c>
      <c r="AA419" s="10">
        <f>IF(W419&gt;$AE$33,1,0)</f>
        <v/>
      </c>
      <c r="AB419">
        <f>IF(AA419=C419,1,0)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$AE$12+D420*$AE$13+E420*$AE$14+F420*$AE$15+G420*$AE$16+H420*$AE$17+I420*$AE$18+J420*$AE$19+K420*$AE$20+L420*$AE$21+M420*$AE$22+N420*$AE$23+O420*$AE$24+P420*$AE$25+Q420*$AE$26+R420*$AE$27+S420*$AE$28+T420*$AE$29+U420*$AE$30</f>
        <v/>
      </c>
      <c r="W420" s="8">
        <f>1/(1+EXP(-V420))</f>
        <v/>
      </c>
      <c r="X420" s="9">
        <f>-IF(C420=1,LN(W420),LN(1-W420))</f>
        <v/>
      </c>
      <c r="Y420" s="8">
        <f>'1 prepared data'!V413</f>
        <v/>
      </c>
      <c r="Z420" s="9">
        <f>Y420*X420</f>
        <v/>
      </c>
      <c r="AA420" s="10">
        <f>IF(W420&gt;$AE$33,1,0)</f>
        <v/>
      </c>
      <c r="AB420">
        <f>IF(AA420=C420,1,0)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$AE$12+D421*$AE$13+E421*$AE$14+F421*$AE$15+G421*$AE$16+H421*$AE$17+I421*$AE$18+J421*$AE$19+K421*$AE$20+L421*$AE$21+M421*$AE$22+N421*$AE$23+O421*$AE$24+P421*$AE$25+Q421*$AE$26+R421*$AE$27+S421*$AE$28+T421*$AE$29+U421*$AE$30</f>
        <v/>
      </c>
      <c r="W421" s="8">
        <f>1/(1+EXP(-V421))</f>
        <v/>
      </c>
      <c r="X421" s="9">
        <f>-IF(C421=1,LN(W421),LN(1-W421))</f>
        <v/>
      </c>
      <c r="Y421" s="8">
        <f>'1 prepared data'!V414</f>
        <v/>
      </c>
      <c r="Z421" s="9">
        <f>Y421*X421</f>
        <v/>
      </c>
      <c r="AA421" s="10">
        <f>IF(W421&gt;$AE$33,1,0)</f>
        <v/>
      </c>
      <c r="AB421">
        <f>IF(AA421=C421,1,0)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$AE$12+D422*$AE$13+E422*$AE$14+F422*$AE$15+G422*$AE$16+H422*$AE$17+I422*$AE$18+J422*$AE$19+K422*$AE$20+L422*$AE$21+M422*$AE$22+N422*$AE$23+O422*$AE$24+P422*$AE$25+Q422*$AE$26+R422*$AE$27+S422*$AE$28+T422*$AE$29+U422*$AE$30</f>
        <v/>
      </c>
      <c r="W422" s="8">
        <f>1/(1+EXP(-V422))</f>
        <v/>
      </c>
      <c r="X422" s="9">
        <f>-IF(C422=1,LN(W422),LN(1-W422))</f>
        <v/>
      </c>
      <c r="Y422" s="8">
        <f>'1 prepared data'!V415</f>
        <v/>
      </c>
      <c r="Z422" s="9">
        <f>Y422*X422</f>
        <v/>
      </c>
      <c r="AA422" s="10">
        <f>IF(W422&gt;$AE$33,1,0)</f>
        <v/>
      </c>
      <c r="AB422">
        <f>IF(AA422=C422,1,0)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$AE$12+D423*$AE$13+E423*$AE$14+F423*$AE$15+G423*$AE$16+H423*$AE$17+I423*$AE$18+J423*$AE$19+K423*$AE$20+L423*$AE$21+M423*$AE$22+N423*$AE$23+O423*$AE$24+P423*$AE$25+Q423*$AE$26+R423*$AE$27+S423*$AE$28+T423*$AE$29+U423*$AE$30</f>
        <v/>
      </c>
      <c r="W423" s="8">
        <f>1/(1+EXP(-V423))</f>
        <v/>
      </c>
      <c r="X423" s="9">
        <f>-IF(C423=1,LN(W423),LN(1-W423))</f>
        <v/>
      </c>
      <c r="Y423" s="8">
        <f>'1 prepared data'!V416</f>
        <v/>
      </c>
      <c r="Z423" s="9">
        <f>Y423*X423</f>
        <v/>
      </c>
      <c r="AA423" s="10">
        <f>IF(W423&gt;$AE$33,1,0)</f>
        <v/>
      </c>
      <c r="AB423">
        <f>IF(AA423=C423,1,0)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$AE$12+D424*$AE$13+E424*$AE$14+F424*$AE$15+G424*$AE$16+H424*$AE$17+I424*$AE$18+J424*$AE$19+K424*$AE$20+L424*$AE$21+M424*$AE$22+N424*$AE$23+O424*$AE$24+P424*$AE$25+Q424*$AE$26+R424*$AE$27+S424*$AE$28+T424*$AE$29+U424*$AE$30</f>
        <v/>
      </c>
      <c r="W424" s="8">
        <f>1/(1+EXP(-V424))</f>
        <v/>
      </c>
      <c r="X424" s="9">
        <f>-IF(C424=1,LN(W424),LN(1-W424))</f>
        <v/>
      </c>
      <c r="Y424" s="8">
        <f>'1 prepared data'!V417</f>
        <v/>
      </c>
      <c r="Z424" s="9">
        <f>Y424*X424</f>
        <v/>
      </c>
      <c r="AA424" s="10">
        <f>IF(W424&gt;$AE$33,1,0)</f>
        <v/>
      </c>
      <c r="AB424">
        <f>IF(AA424=C424,1,0)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$AE$12+D425*$AE$13+E425*$AE$14+F425*$AE$15+G425*$AE$16+H425*$AE$17+I425*$AE$18+J425*$AE$19+K425*$AE$20+L425*$AE$21+M425*$AE$22+N425*$AE$23+O425*$AE$24+P425*$AE$25+Q425*$AE$26+R425*$AE$27+S425*$AE$28+T425*$AE$29+U425*$AE$30</f>
        <v/>
      </c>
      <c r="W425" s="8">
        <f>1/(1+EXP(-V425))</f>
        <v/>
      </c>
      <c r="X425" s="9">
        <f>-IF(C425=1,LN(W425),LN(1-W425))</f>
        <v/>
      </c>
      <c r="Y425" s="8">
        <f>'1 prepared data'!V418</f>
        <v/>
      </c>
      <c r="Z425" s="9">
        <f>Y425*X425</f>
        <v/>
      </c>
      <c r="AA425" s="10">
        <f>IF(W425&gt;$AE$33,1,0)</f>
        <v/>
      </c>
      <c r="AB425">
        <f>IF(AA425=C425,1,0)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$AE$12+D426*$AE$13+E426*$AE$14+F426*$AE$15+G426*$AE$16+H426*$AE$17+I426*$AE$18+J426*$AE$19+K426*$AE$20+L426*$AE$21+M426*$AE$22+N426*$AE$23+O426*$AE$24+P426*$AE$25+Q426*$AE$26+R426*$AE$27+S426*$AE$28+T426*$AE$29+U426*$AE$30</f>
        <v/>
      </c>
      <c r="W426" s="8">
        <f>1/(1+EXP(-V426))</f>
        <v/>
      </c>
      <c r="X426" s="9">
        <f>-IF(C426=1,LN(W426),LN(1-W426))</f>
        <v/>
      </c>
      <c r="Y426" s="8">
        <f>'1 prepared data'!V419</f>
        <v/>
      </c>
      <c r="Z426" s="9">
        <f>Y426*X426</f>
        <v/>
      </c>
      <c r="AA426" s="10">
        <f>IF(W426&gt;$AE$33,1,0)</f>
        <v/>
      </c>
      <c r="AB426">
        <f>IF(AA426=C426,1,0)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$AE$12+D427*$AE$13+E427*$AE$14+F427*$AE$15+G427*$AE$16+H427*$AE$17+I427*$AE$18+J427*$AE$19+K427*$AE$20+L427*$AE$21+M427*$AE$22+N427*$AE$23+O427*$AE$24+P427*$AE$25+Q427*$AE$26+R427*$AE$27+S427*$AE$28+T427*$AE$29+U427*$AE$30</f>
        <v/>
      </c>
      <c r="W427" s="8">
        <f>1/(1+EXP(-V427))</f>
        <v/>
      </c>
      <c r="X427" s="9">
        <f>-IF(C427=1,LN(W427),LN(1-W427))</f>
        <v/>
      </c>
      <c r="Y427" s="8">
        <f>'1 prepared data'!V420</f>
        <v/>
      </c>
      <c r="Z427" s="9">
        <f>Y427*X427</f>
        <v/>
      </c>
      <c r="AA427" s="10">
        <f>IF(W427&gt;$AE$33,1,0)</f>
        <v/>
      </c>
      <c r="AB427">
        <f>IF(AA427=C427,1,0)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$AE$12+D428*$AE$13+E428*$AE$14+F428*$AE$15+G428*$AE$16+H428*$AE$17+I428*$AE$18+J428*$AE$19+K428*$AE$20+L428*$AE$21+M428*$AE$22+N428*$AE$23+O428*$AE$24+P428*$AE$25+Q428*$AE$26+R428*$AE$27+S428*$AE$28+T428*$AE$29+U428*$AE$30</f>
        <v/>
      </c>
      <c r="W428" s="8">
        <f>1/(1+EXP(-V428))</f>
        <v/>
      </c>
      <c r="X428" s="9">
        <f>-IF(C428=1,LN(W428),LN(1-W428))</f>
        <v/>
      </c>
      <c r="Y428" s="8">
        <f>'1 prepared data'!V421</f>
        <v/>
      </c>
      <c r="Z428" s="9">
        <f>Y428*X428</f>
        <v/>
      </c>
      <c r="AA428" s="10">
        <f>IF(W428&gt;$AE$33,1,0)</f>
        <v/>
      </c>
      <c r="AB428">
        <f>IF(AA428=C428,1,0)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$AE$12+D429*$AE$13+E429*$AE$14+F429*$AE$15+G429*$AE$16+H429*$AE$17+I429*$AE$18+J429*$AE$19+K429*$AE$20+L429*$AE$21+M429*$AE$22+N429*$AE$23+O429*$AE$24+P429*$AE$25+Q429*$AE$26+R429*$AE$27+S429*$AE$28+T429*$AE$29+U429*$AE$30</f>
        <v/>
      </c>
      <c r="W429" s="8">
        <f>1/(1+EXP(-V429))</f>
        <v/>
      </c>
      <c r="X429" s="9">
        <f>-IF(C429=1,LN(W429),LN(1-W429))</f>
        <v/>
      </c>
      <c r="Y429" s="8">
        <f>'1 prepared data'!V422</f>
        <v/>
      </c>
      <c r="Z429" s="9">
        <f>Y429*X429</f>
        <v/>
      </c>
      <c r="AA429" s="10">
        <f>IF(W429&gt;$AE$33,1,0)</f>
        <v/>
      </c>
      <c r="AB429">
        <f>IF(AA429=C429,1,0)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$AE$12+D430*$AE$13+E430*$AE$14+F430*$AE$15+G430*$AE$16+H430*$AE$17+I430*$AE$18+J430*$AE$19+K430*$AE$20+L430*$AE$21+M430*$AE$22+N430*$AE$23+O430*$AE$24+P430*$AE$25+Q430*$AE$26+R430*$AE$27+S430*$AE$28+T430*$AE$29+U430*$AE$30</f>
        <v/>
      </c>
      <c r="W430" s="8">
        <f>1/(1+EXP(-V430))</f>
        <v/>
      </c>
      <c r="X430" s="9">
        <f>-IF(C430=1,LN(W430),LN(1-W430))</f>
        <v/>
      </c>
      <c r="Y430" s="8">
        <f>'1 prepared data'!V423</f>
        <v/>
      </c>
      <c r="Z430" s="9">
        <f>Y430*X430</f>
        <v/>
      </c>
      <c r="AA430" s="10">
        <f>IF(W430&gt;$AE$33,1,0)</f>
        <v/>
      </c>
      <c r="AB430">
        <f>IF(AA430=C430,1,0)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$AE$12+D431*$AE$13+E431*$AE$14+F431*$AE$15+G431*$AE$16+H431*$AE$17+I431*$AE$18+J431*$AE$19+K431*$AE$20+L431*$AE$21+M431*$AE$22+N431*$AE$23+O431*$AE$24+P431*$AE$25+Q431*$AE$26+R431*$AE$27+S431*$AE$28+T431*$AE$29+U431*$AE$30</f>
        <v/>
      </c>
      <c r="W431" s="8">
        <f>1/(1+EXP(-V431))</f>
        <v/>
      </c>
      <c r="X431" s="9">
        <f>-IF(C431=1,LN(W431),LN(1-W431))</f>
        <v/>
      </c>
      <c r="Y431" s="8">
        <f>'1 prepared data'!V424</f>
        <v/>
      </c>
      <c r="Z431" s="9">
        <f>Y431*X431</f>
        <v/>
      </c>
      <c r="AA431" s="10">
        <f>IF(W431&gt;$AE$33,1,0)</f>
        <v/>
      </c>
      <c r="AB431">
        <f>IF(AA431=C431,1,0)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$AE$12+D432*$AE$13+E432*$AE$14+F432*$AE$15+G432*$AE$16+H432*$AE$17+I432*$AE$18+J432*$AE$19+K432*$AE$20+L432*$AE$21+M432*$AE$22+N432*$AE$23+O432*$AE$24+P432*$AE$25+Q432*$AE$26+R432*$AE$27+S432*$AE$28+T432*$AE$29+U432*$AE$30</f>
        <v/>
      </c>
      <c r="W432" s="8">
        <f>1/(1+EXP(-V432))</f>
        <v/>
      </c>
      <c r="X432" s="9">
        <f>-IF(C432=1,LN(W432),LN(1-W432))</f>
        <v/>
      </c>
      <c r="Y432" s="8">
        <f>'1 prepared data'!V425</f>
        <v/>
      </c>
      <c r="Z432" s="9">
        <f>Y432*X432</f>
        <v/>
      </c>
      <c r="AA432" s="10">
        <f>IF(W432&gt;$AE$33,1,0)</f>
        <v/>
      </c>
      <c r="AB432">
        <f>IF(AA432=C432,1,0)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$AE$12+D433*$AE$13+E433*$AE$14+F433*$AE$15+G433*$AE$16+H433*$AE$17+I433*$AE$18+J433*$AE$19+K433*$AE$20+L433*$AE$21+M433*$AE$22+N433*$AE$23+O433*$AE$24+P433*$AE$25+Q433*$AE$26+R433*$AE$27+S433*$AE$28+T433*$AE$29+U433*$AE$30</f>
        <v/>
      </c>
      <c r="W433" s="8">
        <f>1/(1+EXP(-V433))</f>
        <v/>
      </c>
      <c r="X433" s="9">
        <f>-IF(C433=1,LN(W433),LN(1-W433))</f>
        <v/>
      </c>
      <c r="Y433" s="8">
        <f>'1 prepared data'!V426</f>
        <v/>
      </c>
      <c r="Z433" s="9">
        <f>Y433*X433</f>
        <v/>
      </c>
      <c r="AA433" s="10">
        <f>IF(W433&gt;$AE$33,1,0)</f>
        <v/>
      </c>
      <c r="AB433">
        <f>IF(AA433=C433,1,0)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$AE$12+D434*$AE$13+E434*$AE$14+F434*$AE$15+G434*$AE$16+H434*$AE$17+I434*$AE$18+J434*$AE$19+K434*$AE$20+L434*$AE$21+M434*$AE$22+N434*$AE$23+O434*$AE$24+P434*$AE$25+Q434*$AE$26+R434*$AE$27+S434*$AE$28+T434*$AE$29+U434*$AE$30</f>
        <v/>
      </c>
      <c r="W434" s="8">
        <f>1/(1+EXP(-V434))</f>
        <v/>
      </c>
      <c r="X434" s="9">
        <f>-IF(C434=1,LN(W434),LN(1-W434))</f>
        <v/>
      </c>
      <c r="Y434" s="8">
        <f>'1 prepared data'!V427</f>
        <v/>
      </c>
      <c r="Z434" s="9">
        <f>Y434*X434</f>
        <v/>
      </c>
      <c r="AA434" s="10">
        <f>IF(W434&gt;$AE$33,1,0)</f>
        <v/>
      </c>
      <c r="AB434">
        <f>IF(AA434=C434,1,0)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$AE$12+D435*$AE$13+E435*$AE$14+F435*$AE$15+G435*$AE$16+H435*$AE$17+I435*$AE$18+J435*$AE$19+K435*$AE$20+L435*$AE$21+M435*$AE$22+N435*$AE$23+O435*$AE$24+P435*$AE$25+Q435*$AE$26+R435*$AE$27+S435*$AE$28+T435*$AE$29+U435*$AE$30</f>
        <v/>
      </c>
      <c r="W435" s="8">
        <f>1/(1+EXP(-V435))</f>
        <v/>
      </c>
      <c r="X435" s="9">
        <f>-IF(C435=1,LN(W435),LN(1-W435))</f>
        <v/>
      </c>
      <c r="Y435" s="8">
        <f>'1 prepared data'!V428</f>
        <v/>
      </c>
      <c r="Z435" s="9">
        <f>Y435*X435</f>
        <v/>
      </c>
      <c r="AA435" s="10">
        <f>IF(W435&gt;$AE$33,1,0)</f>
        <v/>
      </c>
      <c r="AB435">
        <f>IF(AA435=C435,1,0)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$AE$12+D436*$AE$13+E436*$AE$14+F436*$AE$15+G436*$AE$16+H436*$AE$17+I436*$AE$18+J436*$AE$19+K436*$AE$20+L436*$AE$21+M436*$AE$22+N436*$AE$23+O436*$AE$24+P436*$AE$25+Q436*$AE$26+R436*$AE$27+S436*$AE$28+T436*$AE$29+U436*$AE$30</f>
        <v/>
      </c>
      <c r="W436" s="8">
        <f>1/(1+EXP(-V436))</f>
        <v/>
      </c>
      <c r="X436" s="9">
        <f>-IF(C436=1,LN(W436),LN(1-W436))</f>
        <v/>
      </c>
      <c r="Y436" s="8">
        <f>'1 prepared data'!V429</f>
        <v/>
      </c>
      <c r="Z436" s="9">
        <f>Y436*X436</f>
        <v/>
      </c>
      <c r="AA436" s="10">
        <f>IF(W436&gt;$AE$33,1,0)</f>
        <v/>
      </c>
      <c r="AB436">
        <f>IF(AA436=C436,1,0)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$AE$12+D437*$AE$13+E437*$AE$14+F437*$AE$15+G437*$AE$16+H437*$AE$17+I437*$AE$18+J437*$AE$19+K437*$AE$20+L437*$AE$21+M437*$AE$22+N437*$AE$23+O437*$AE$24+P437*$AE$25+Q437*$AE$26+R437*$AE$27+S437*$AE$28+T437*$AE$29+U437*$AE$30</f>
        <v/>
      </c>
      <c r="W437" s="8">
        <f>1/(1+EXP(-V437))</f>
        <v/>
      </c>
      <c r="X437" s="9">
        <f>-IF(C437=1,LN(W437),LN(1-W437))</f>
        <v/>
      </c>
      <c r="Y437" s="8">
        <f>'1 prepared data'!V430</f>
        <v/>
      </c>
      <c r="Z437" s="9">
        <f>Y437*X437</f>
        <v/>
      </c>
      <c r="AA437" s="10">
        <f>IF(W437&gt;$AE$33,1,0)</f>
        <v/>
      </c>
      <c r="AB437">
        <f>IF(AA437=C437,1,0)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$AE$12+D438*$AE$13+E438*$AE$14+F438*$AE$15+G438*$AE$16+H438*$AE$17+I438*$AE$18+J438*$AE$19+K438*$AE$20+L438*$AE$21+M438*$AE$22+N438*$AE$23+O438*$AE$24+P438*$AE$25+Q438*$AE$26+R438*$AE$27+S438*$AE$28+T438*$AE$29+U438*$AE$30</f>
        <v/>
      </c>
      <c r="W438" s="8">
        <f>1/(1+EXP(-V438))</f>
        <v/>
      </c>
      <c r="X438" s="9">
        <f>-IF(C438=1,LN(W438),LN(1-W438))</f>
        <v/>
      </c>
      <c r="Y438" s="8">
        <f>'1 prepared data'!V431</f>
        <v/>
      </c>
      <c r="Z438" s="9">
        <f>Y438*X438</f>
        <v/>
      </c>
      <c r="AA438" s="10">
        <f>IF(W438&gt;$AE$33,1,0)</f>
        <v/>
      </c>
      <c r="AB438">
        <f>IF(AA438=C438,1,0)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$AE$12+D439*$AE$13+E439*$AE$14+F439*$AE$15+G439*$AE$16+H439*$AE$17+I439*$AE$18+J439*$AE$19+K439*$AE$20+L439*$AE$21+M439*$AE$22+N439*$AE$23+O439*$AE$24+P439*$AE$25+Q439*$AE$26+R439*$AE$27+S439*$AE$28+T439*$AE$29+U439*$AE$30</f>
        <v/>
      </c>
      <c r="W439" s="8">
        <f>1/(1+EXP(-V439))</f>
        <v/>
      </c>
      <c r="X439" s="9">
        <f>-IF(C439=1,LN(W439),LN(1-W439))</f>
        <v/>
      </c>
      <c r="Y439" s="8">
        <f>'1 prepared data'!V432</f>
        <v/>
      </c>
      <c r="Z439" s="9">
        <f>Y439*X439</f>
        <v/>
      </c>
      <c r="AA439" s="10">
        <f>IF(W439&gt;$AE$33,1,0)</f>
        <v/>
      </c>
      <c r="AB439">
        <f>IF(AA439=C439,1,0)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$AE$12+D440*$AE$13+E440*$AE$14+F440*$AE$15+G440*$AE$16+H440*$AE$17+I440*$AE$18+J440*$AE$19+K440*$AE$20+L440*$AE$21+M440*$AE$22+N440*$AE$23+O440*$AE$24+P440*$AE$25+Q440*$AE$26+R440*$AE$27+S440*$AE$28+T440*$AE$29+U440*$AE$30</f>
        <v/>
      </c>
      <c r="W440" s="8">
        <f>1/(1+EXP(-V440))</f>
        <v/>
      </c>
      <c r="X440" s="9">
        <f>-IF(C440=1,LN(W440),LN(1-W440))</f>
        <v/>
      </c>
      <c r="Y440" s="8">
        <f>'1 prepared data'!V433</f>
        <v/>
      </c>
      <c r="Z440" s="9">
        <f>Y440*X440</f>
        <v/>
      </c>
      <c r="AA440" s="10">
        <f>IF(W440&gt;$AE$33,1,0)</f>
        <v/>
      </c>
      <c r="AB440">
        <f>IF(AA440=C440,1,0)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$AE$12+D441*$AE$13+E441*$AE$14+F441*$AE$15+G441*$AE$16+H441*$AE$17+I441*$AE$18+J441*$AE$19+K441*$AE$20+L441*$AE$21+M441*$AE$22+N441*$AE$23+O441*$AE$24+P441*$AE$25+Q441*$AE$26+R441*$AE$27+S441*$AE$28+T441*$AE$29+U441*$AE$30</f>
        <v/>
      </c>
      <c r="W441" s="8">
        <f>1/(1+EXP(-V441))</f>
        <v/>
      </c>
      <c r="X441" s="9">
        <f>-IF(C441=1,LN(W441),LN(1-W441))</f>
        <v/>
      </c>
      <c r="Y441" s="8">
        <f>'1 prepared data'!V434</f>
        <v/>
      </c>
      <c r="Z441" s="9">
        <f>Y441*X441</f>
        <v/>
      </c>
      <c r="AA441" s="10">
        <f>IF(W441&gt;$AE$33,1,0)</f>
        <v/>
      </c>
      <c r="AB441">
        <f>IF(AA441=C441,1,0)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$AE$12+D442*$AE$13+E442*$AE$14+F442*$AE$15+G442*$AE$16+H442*$AE$17+I442*$AE$18+J442*$AE$19+K442*$AE$20+L442*$AE$21+M442*$AE$22+N442*$AE$23+O442*$AE$24+P442*$AE$25+Q442*$AE$26+R442*$AE$27+S442*$AE$28+T442*$AE$29+U442*$AE$30</f>
        <v/>
      </c>
      <c r="W442" s="8">
        <f>1/(1+EXP(-V442))</f>
        <v/>
      </c>
      <c r="X442" s="9">
        <f>-IF(C442=1,LN(W442),LN(1-W442))</f>
        <v/>
      </c>
      <c r="Y442" s="8">
        <f>'1 prepared data'!V435</f>
        <v/>
      </c>
      <c r="Z442" s="9">
        <f>Y442*X442</f>
        <v/>
      </c>
      <c r="AA442" s="10">
        <f>IF(W442&gt;$AE$33,1,0)</f>
        <v/>
      </c>
      <c r="AB442">
        <f>IF(AA442=C442,1,0)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$AE$12+D443*$AE$13+E443*$AE$14+F443*$AE$15+G443*$AE$16+H443*$AE$17+I443*$AE$18+J443*$AE$19+K443*$AE$20+L443*$AE$21+M443*$AE$22+N443*$AE$23+O443*$AE$24+P443*$AE$25+Q443*$AE$26+R443*$AE$27+S443*$AE$28+T443*$AE$29+U443*$AE$30</f>
        <v/>
      </c>
      <c r="W443" s="8">
        <f>1/(1+EXP(-V443))</f>
        <v/>
      </c>
      <c r="X443" s="9">
        <f>-IF(C443=1,LN(W443),LN(1-W443))</f>
        <v/>
      </c>
      <c r="Y443" s="8">
        <f>'1 prepared data'!V436</f>
        <v/>
      </c>
      <c r="Z443" s="9">
        <f>Y443*X443</f>
        <v/>
      </c>
      <c r="AA443" s="10">
        <f>IF(W443&gt;$AE$33,1,0)</f>
        <v/>
      </c>
      <c r="AB443">
        <f>IF(AA443=C443,1,0)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$AE$12+D444*$AE$13+E444*$AE$14+F444*$AE$15+G444*$AE$16+H444*$AE$17+I444*$AE$18+J444*$AE$19+K444*$AE$20+L444*$AE$21+M444*$AE$22+N444*$AE$23+O444*$AE$24+P444*$AE$25+Q444*$AE$26+R444*$AE$27+S444*$AE$28+T444*$AE$29+U444*$AE$30</f>
        <v/>
      </c>
      <c r="W444" s="8">
        <f>1/(1+EXP(-V444))</f>
        <v/>
      </c>
      <c r="X444" s="9">
        <f>-IF(C444=1,LN(W444),LN(1-W444))</f>
        <v/>
      </c>
      <c r="Y444" s="8">
        <f>'1 prepared data'!V437</f>
        <v/>
      </c>
      <c r="Z444" s="9">
        <f>Y444*X444</f>
        <v/>
      </c>
      <c r="AA444" s="10">
        <f>IF(W444&gt;$AE$33,1,0)</f>
        <v/>
      </c>
      <c r="AB444">
        <f>IF(AA444=C444,1,0)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$AE$12+D445*$AE$13+E445*$AE$14+F445*$AE$15+G445*$AE$16+H445*$AE$17+I445*$AE$18+J445*$AE$19+K445*$AE$20+L445*$AE$21+M445*$AE$22+N445*$AE$23+O445*$AE$24+P445*$AE$25+Q445*$AE$26+R445*$AE$27+S445*$AE$28+T445*$AE$29+U445*$AE$30</f>
        <v/>
      </c>
      <c r="W445" s="8">
        <f>1/(1+EXP(-V445))</f>
        <v/>
      </c>
      <c r="X445" s="9">
        <f>-IF(C445=1,LN(W445),LN(1-W445))</f>
        <v/>
      </c>
      <c r="Y445" s="8">
        <f>'1 prepared data'!V438</f>
        <v/>
      </c>
      <c r="Z445" s="9">
        <f>Y445*X445</f>
        <v/>
      </c>
      <c r="AA445" s="10">
        <f>IF(W445&gt;$AE$33,1,0)</f>
        <v/>
      </c>
      <c r="AB445">
        <f>IF(AA445=C445,1,0)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$AE$12+D446*$AE$13+E446*$AE$14+F446*$AE$15+G446*$AE$16+H446*$AE$17+I446*$AE$18+J446*$AE$19+K446*$AE$20+L446*$AE$21+M446*$AE$22+N446*$AE$23+O446*$AE$24+P446*$AE$25+Q446*$AE$26+R446*$AE$27+S446*$AE$28+T446*$AE$29+U446*$AE$30</f>
        <v/>
      </c>
      <c r="W446" s="8">
        <f>1/(1+EXP(-V446))</f>
        <v/>
      </c>
      <c r="X446" s="9">
        <f>-IF(C446=1,LN(W446),LN(1-W446))</f>
        <v/>
      </c>
      <c r="Y446" s="8">
        <f>'1 prepared data'!V439</f>
        <v/>
      </c>
      <c r="Z446" s="9">
        <f>Y446*X446</f>
        <v/>
      </c>
      <c r="AA446" s="10">
        <f>IF(W446&gt;$AE$33,1,0)</f>
        <v/>
      </c>
      <c r="AB446">
        <f>IF(AA446=C446,1,0)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$AE$12+D447*$AE$13+E447*$AE$14+F447*$AE$15+G447*$AE$16+H447*$AE$17+I447*$AE$18+J447*$AE$19+K447*$AE$20+L447*$AE$21+M447*$AE$22+N447*$AE$23+O447*$AE$24+P447*$AE$25+Q447*$AE$26+R447*$AE$27+S447*$AE$28+T447*$AE$29+U447*$AE$30</f>
        <v/>
      </c>
      <c r="W447" s="8">
        <f>1/(1+EXP(-V447))</f>
        <v/>
      </c>
      <c r="X447" s="9">
        <f>-IF(C447=1,LN(W447),LN(1-W447))</f>
        <v/>
      </c>
      <c r="Y447" s="8">
        <f>'1 prepared data'!V440</f>
        <v/>
      </c>
      <c r="Z447" s="9">
        <f>Y447*X447</f>
        <v/>
      </c>
      <c r="AA447" s="10">
        <f>IF(W447&gt;$AE$33,1,0)</f>
        <v/>
      </c>
      <c r="AB447">
        <f>IF(AA447=C447,1,0)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$AE$12+D448*$AE$13+E448*$AE$14+F448*$AE$15+G448*$AE$16+H448*$AE$17+I448*$AE$18+J448*$AE$19+K448*$AE$20+L448*$AE$21+M448*$AE$22+N448*$AE$23+O448*$AE$24+P448*$AE$25+Q448*$AE$26+R448*$AE$27+S448*$AE$28+T448*$AE$29+U448*$AE$30</f>
        <v/>
      </c>
      <c r="W448" s="8">
        <f>1/(1+EXP(-V448))</f>
        <v/>
      </c>
      <c r="X448" s="9">
        <f>-IF(C448=1,LN(W448),LN(1-W448))</f>
        <v/>
      </c>
      <c r="Y448" s="8">
        <f>'1 prepared data'!V441</f>
        <v/>
      </c>
      <c r="Z448" s="9">
        <f>Y448*X448</f>
        <v/>
      </c>
      <c r="AA448" s="10">
        <f>IF(W448&gt;$AE$33,1,0)</f>
        <v/>
      </c>
      <c r="AB448">
        <f>IF(AA448=C448,1,0)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$AE$12+D449*$AE$13+E449*$AE$14+F449*$AE$15+G449*$AE$16+H449*$AE$17+I449*$AE$18+J449*$AE$19+K449*$AE$20+L449*$AE$21+M449*$AE$22+N449*$AE$23+O449*$AE$24+P449*$AE$25+Q449*$AE$26+R449*$AE$27+S449*$AE$28+T449*$AE$29+U449*$AE$30</f>
        <v/>
      </c>
      <c r="W449" s="8">
        <f>1/(1+EXP(-V449))</f>
        <v/>
      </c>
      <c r="X449" s="9">
        <f>-IF(C449=1,LN(W449),LN(1-W449))</f>
        <v/>
      </c>
      <c r="Y449" s="8">
        <f>'1 prepared data'!V442</f>
        <v/>
      </c>
      <c r="Z449" s="9">
        <f>Y449*X449</f>
        <v/>
      </c>
      <c r="AA449" s="10">
        <f>IF(W449&gt;$AE$33,1,0)</f>
        <v/>
      </c>
      <c r="AB449">
        <f>IF(AA449=C449,1,0)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$AE$12+D450*$AE$13+E450*$AE$14+F450*$AE$15+G450*$AE$16+H450*$AE$17+I450*$AE$18+J450*$AE$19+K450*$AE$20+L450*$AE$21+M450*$AE$22+N450*$AE$23+O450*$AE$24+P450*$AE$25+Q450*$AE$26+R450*$AE$27+S450*$AE$28+T450*$AE$29+U450*$AE$30</f>
        <v/>
      </c>
      <c r="W450" s="8">
        <f>1/(1+EXP(-V450))</f>
        <v/>
      </c>
      <c r="X450" s="9">
        <f>-IF(C450=1,LN(W450),LN(1-W450))</f>
        <v/>
      </c>
      <c r="Y450" s="8">
        <f>'1 prepared data'!V443</f>
        <v/>
      </c>
      <c r="Z450" s="9">
        <f>Y450*X450</f>
        <v/>
      </c>
      <c r="AA450" s="10">
        <f>IF(W450&gt;$AE$33,1,0)</f>
        <v/>
      </c>
      <c r="AB450">
        <f>IF(AA450=C450,1,0)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$AE$12+D451*$AE$13+E451*$AE$14+F451*$AE$15+G451*$AE$16+H451*$AE$17+I451*$AE$18+J451*$AE$19+K451*$AE$20+L451*$AE$21+M451*$AE$22+N451*$AE$23+O451*$AE$24+P451*$AE$25+Q451*$AE$26+R451*$AE$27+S451*$AE$28+T451*$AE$29+U451*$AE$30</f>
        <v/>
      </c>
      <c r="W451" s="8">
        <f>1/(1+EXP(-V451))</f>
        <v/>
      </c>
      <c r="X451" s="9">
        <f>-IF(C451=1,LN(W451),LN(1-W451))</f>
        <v/>
      </c>
      <c r="Y451" s="8">
        <f>'1 prepared data'!V444</f>
        <v/>
      </c>
      <c r="Z451" s="9">
        <f>Y451*X451</f>
        <v/>
      </c>
      <c r="AA451" s="10">
        <f>IF(W451&gt;$AE$33,1,0)</f>
        <v/>
      </c>
      <c r="AB451">
        <f>IF(AA451=C451,1,0)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$AE$12+D452*$AE$13+E452*$AE$14+F452*$AE$15+G452*$AE$16+H452*$AE$17+I452*$AE$18+J452*$AE$19+K452*$AE$20+L452*$AE$21+M452*$AE$22+N452*$AE$23+O452*$AE$24+P452*$AE$25+Q452*$AE$26+R452*$AE$27+S452*$AE$28+T452*$AE$29+U452*$AE$30</f>
        <v/>
      </c>
      <c r="W452" s="8">
        <f>1/(1+EXP(-V452))</f>
        <v/>
      </c>
      <c r="X452" s="9">
        <f>-IF(C452=1,LN(W452),LN(1-W452))</f>
        <v/>
      </c>
      <c r="Y452" s="8">
        <f>'1 prepared data'!V445</f>
        <v/>
      </c>
      <c r="Z452" s="9">
        <f>Y452*X452</f>
        <v/>
      </c>
      <c r="AA452" s="10">
        <f>IF(W452&gt;$AE$33,1,0)</f>
        <v/>
      </c>
      <c r="AB452">
        <f>IF(AA452=C452,1,0)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$AE$12+D453*$AE$13+E453*$AE$14+F453*$AE$15+G453*$AE$16+H453*$AE$17+I453*$AE$18+J453*$AE$19+K453*$AE$20+L453*$AE$21+M453*$AE$22+N453*$AE$23+O453*$AE$24+P453*$AE$25+Q453*$AE$26+R453*$AE$27+S453*$AE$28+T453*$AE$29+U453*$AE$30</f>
        <v/>
      </c>
      <c r="W453" s="8">
        <f>1/(1+EXP(-V453))</f>
        <v/>
      </c>
      <c r="X453" s="9">
        <f>-IF(C453=1,LN(W453),LN(1-W453))</f>
        <v/>
      </c>
      <c r="Y453" s="8">
        <f>'1 prepared data'!V446</f>
        <v/>
      </c>
      <c r="Z453" s="9">
        <f>Y453*X453</f>
        <v/>
      </c>
      <c r="AA453" s="10">
        <f>IF(W453&gt;$AE$33,1,0)</f>
        <v/>
      </c>
      <c r="AB453">
        <f>IF(AA453=C453,1,0)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$AE$12+D454*$AE$13+E454*$AE$14+F454*$AE$15+G454*$AE$16+H454*$AE$17+I454*$AE$18+J454*$AE$19+K454*$AE$20+L454*$AE$21+M454*$AE$22+N454*$AE$23+O454*$AE$24+P454*$AE$25+Q454*$AE$26+R454*$AE$27+S454*$AE$28+T454*$AE$29+U454*$AE$30</f>
        <v/>
      </c>
      <c r="W454" s="8">
        <f>1/(1+EXP(-V454))</f>
        <v/>
      </c>
      <c r="X454" s="9">
        <f>-IF(C454=1,LN(W454),LN(1-W454))</f>
        <v/>
      </c>
      <c r="Y454" s="8">
        <f>'1 prepared data'!V447</f>
        <v/>
      </c>
      <c r="Z454" s="9">
        <f>Y454*X454</f>
        <v/>
      </c>
      <c r="AA454" s="10">
        <f>IF(W454&gt;$AE$33,1,0)</f>
        <v/>
      </c>
      <c r="AB454">
        <f>IF(AA454=C454,1,0)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$AE$12+D455*$AE$13+E455*$AE$14+F455*$AE$15+G455*$AE$16+H455*$AE$17+I455*$AE$18+J455*$AE$19+K455*$AE$20+L455*$AE$21+M455*$AE$22+N455*$AE$23+O455*$AE$24+P455*$AE$25+Q455*$AE$26+R455*$AE$27+S455*$AE$28+T455*$AE$29+U455*$AE$30</f>
        <v/>
      </c>
      <c r="W455" s="8">
        <f>1/(1+EXP(-V455))</f>
        <v/>
      </c>
      <c r="X455" s="9">
        <f>-IF(C455=1,LN(W455),LN(1-W455))</f>
        <v/>
      </c>
      <c r="Y455" s="8">
        <f>'1 prepared data'!V448</f>
        <v/>
      </c>
      <c r="Z455" s="9">
        <f>Y455*X455</f>
        <v/>
      </c>
      <c r="AA455" s="10">
        <f>IF(W455&gt;$AE$33,1,0)</f>
        <v/>
      </c>
      <c r="AB455">
        <f>IF(AA455=C455,1,0)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$AE$12+D456*$AE$13+E456*$AE$14+F456*$AE$15+G456*$AE$16+H456*$AE$17+I456*$AE$18+J456*$AE$19+K456*$AE$20+L456*$AE$21+M456*$AE$22+N456*$AE$23+O456*$AE$24+P456*$AE$25+Q456*$AE$26+R456*$AE$27+S456*$AE$28+T456*$AE$29+U456*$AE$30</f>
        <v/>
      </c>
      <c r="W456" s="8">
        <f>1/(1+EXP(-V456))</f>
        <v/>
      </c>
      <c r="X456" s="9">
        <f>-IF(C456=1,LN(W456),LN(1-W456))</f>
        <v/>
      </c>
      <c r="Y456" s="8">
        <f>'1 prepared data'!V449</f>
        <v/>
      </c>
      <c r="Z456" s="9">
        <f>Y456*X456</f>
        <v/>
      </c>
      <c r="AA456" s="10">
        <f>IF(W456&gt;$AE$33,1,0)</f>
        <v/>
      </c>
      <c r="AB456">
        <f>IF(AA456=C456,1,0)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$AE$12+D457*$AE$13+E457*$AE$14+F457*$AE$15+G457*$AE$16+H457*$AE$17+I457*$AE$18+J457*$AE$19+K457*$AE$20+L457*$AE$21+M457*$AE$22+N457*$AE$23+O457*$AE$24+P457*$AE$25+Q457*$AE$26+R457*$AE$27+S457*$AE$28+T457*$AE$29+U457*$AE$30</f>
        <v/>
      </c>
      <c r="W457" s="8">
        <f>1/(1+EXP(-V457))</f>
        <v/>
      </c>
      <c r="X457" s="9">
        <f>-IF(C457=1,LN(W457),LN(1-W457))</f>
        <v/>
      </c>
      <c r="Y457" s="8">
        <f>'1 prepared data'!V450</f>
        <v/>
      </c>
      <c r="Z457" s="9">
        <f>Y457*X457</f>
        <v/>
      </c>
      <c r="AA457" s="10">
        <f>IF(W457&gt;$AE$33,1,0)</f>
        <v/>
      </c>
      <c r="AB457">
        <f>IF(AA457=C457,1,0)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$AE$12+D458*$AE$13+E458*$AE$14+F458*$AE$15+G458*$AE$16+H458*$AE$17+I458*$AE$18+J458*$AE$19+K458*$AE$20+L458*$AE$21+M458*$AE$22+N458*$AE$23+O458*$AE$24+P458*$AE$25+Q458*$AE$26+R458*$AE$27+S458*$AE$28+T458*$AE$29+U458*$AE$30</f>
        <v/>
      </c>
      <c r="W458" s="8">
        <f>1/(1+EXP(-V458))</f>
        <v/>
      </c>
      <c r="X458" s="9">
        <f>-IF(C458=1,LN(W458),LN(1-W458))</f>
        <v/>
      </c>
      <c r="Y458" s="8">
        <f>'1 prepared data'!V451</f>
        <v/>
      </c>
      <c r="Z458" s="9">
        <f>Y458*X458</f>
        <v/>
      </c>
      <c r="AA458" s="10">
        <f>IF(W458&gt;$AE$33,1,0)</f>
        <v/>
      </c>
      <c r="AB458">
        <f>IF(AA458=C458,1,0)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$AE$12+D459*$AE$13+E459*$AE$14+F459*$AE$15+G459*$AE$16+H459*$AE$17+I459*$AE$18+J459*$AE$19+K459*$AE$20+L459*$AE$21+M459*$AE$22+N459*$AE$23+O459*$AE$24+P459*$AE$25+Q459*$AE$26+R459*$AE$27+S459*$AE$28+T459*$AE$29+U459*$AE$30</f>
        <v/>
      </c>
      <c r="W459" s="8">
        <f>1/(1+EXP(-V459))</f>
        <v/>
      </c>
      <c r="X459" s="9">
        <f>-IF(C459=1,LN(W459),LN(1-W459))</f>
        <v/>
      </c>
      <c r="Y459" s="8">
        <f>'1 prepared data'!V452</f>
        <v/>
      </c>
      <c r="Z459" s="9">
        <f>Y459*X459</f>
        <v/>
      </c>
      <c r="AA459" s="10">
        <f>IF(W459&gt;$AE$33,1,0)</f>
        <v/>
      </c>
      <c r="AB459">
        <f>IF(AA459=C459,1,0)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$AE$12+D460*$AE$13+E460*$AE$14+F460*$AE$15+G460*$AE$16+H460*$AE$17+I460*$AE$18+J460*$AE$19+K460*$AE$20+L460*$AE$21+M460*$AE$22+N460*$AE$23+O460*$AE$24+P460*$AE$25+Q460*$AE$26+R460*$AE$27+S460*$AE$28+T460*$AE$29+U460*$AE$30</f>
        <v/>
      </c>
      <c r="W460" s="8">
        <f>1/(1+EXP(-V460))</f>
        <v/>
      </c>
      <c r="X460" s="9">
        <f>-IF(C460=1,LN(W460),LN(1-W460))</f>
        <v/>
      </c>
      <c r="Y460" s="8">
        <f>'1 prepared data'!V453</f>
        <v/>
      </c>
      <c r="Z460" s="9">
        <f>Y460*X460</f>
        <v/>
      </c>
      <c r="AA460" s="10">
        <f>IF(W460&gt;$AE$33,1,0)</f>
        <v/>
      </c>
      <c r="AB460">
        <f>IF(AA460=C460,1,0)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$AE$12+D461*$AE$13+E461*$AE$14+F461*$AE$15+G461*$AE$16+H461*$AE$17+I461*$AE$18+J461*$AE$19+K461*$AE$20+L461*$AE$21+M461*$AE$22+N461*$AE$23+O461*$AE$24+P461*$AE$25+Q461*$AE$26+R461*$AE$27+S461*$AE$28+T461*$AE$29+U461*$AE$30</f>
        <v/>
      </c>
      <c r="W461" s="8">
        <f>1/(1+EXP(-V461))</f>
        <v/>
      </c>
      <c r="X461" s="9">
        <f>-IF(C461=1,LN(W461),LN(1-W461))</f>
        <v/>
      </c>
      <c r="Y461" s="8">
        <f>'1 prepared data'!V454</f>
        <v/>
      </c>
      <c r="Z461" s="9">
        <f>Y461*X461</f>
        <v/>
      </c>
      <c r="AA461" s="10">
        <f>IF(W461&gt;$AE$33,1,0)</f>
        <v/>
      </c>
      <c r="AB461">
        <f>IF(AA461=C461,1,0)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$AE$12+D462*$AE$13+E462*$AE$14+F462*$AE$15+G462*$AE$16+H462*$AE$17+I462*$AE$18+J462*$AE$19+K462*$AE$20+L462*$AE$21+M462*$AE$22+N462*$AE$23+O462*$AE$24+P462*$AE$25+Q462*$AE$26+R462*$AE$27+S462*$AE$28+T462*$AE$29+U462*$AE$30</f>
        <v/>
      </c>
      <c r="W462" s="8">
        <f>1/(1+EXP(-V462))</f>
        <v/>
      </c>
      <c r="X462" s="9">
        <f>-IF(C462=1,LN(W462),LN(1-W462))</f>
        <v/>
      </c>
      <c r="Y462" s="8">
        <f>'1 prepared data'!V455</f>
        <v/>
      </c>
      <c r="Z462" s="9">
        <f>Y462*X462</f>
        <v/>
      </c>
      <c r="AA462" s="10">
        <f>IF(W462&gt;$AE$33,1,0)</f>
        <v/>
      </c>
      <c r="AB462">
        <f>IF(AA462=C462,1,0)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$AE$12+D463*$AE$13+E463*$AE$14+F463*$AE$15+G463*$AE$16+H463*$AE$17+I463*$AE$18+J463*$AE$19+K463*$AE$20+L463*$AE$21+M463*$AE$22+N463*$AE$23+O463*$AE$24+P463*$AE$25+Q463*$AE$26+R463*$AE$27+S463*$AE$28+T463*$AE$29+U463*$AE$30</f>
        <v/>
      </c>
      <c r="W463" s="8">
        <f>1/(1+EXP(-V463))</f>
        <v/>
      </c>
      <c r="X463" s="9">
        <f>-IF(C463=1,LN(W463),LN(1-W463))</f>
        <v/>
      </c>
      <c r="Y463" s="8">
        <f>'1 prepared data'!V456</f>
        <v/>
      </c>
      <c r="Z463" s="9">
        <f>Y463*X463</f>
        <v/>
      </c>
      <c r="AA463" s="10">
        <f>IF(W463&gt;$AE$33,1,0)</f>
        <v/>
      </c>
      <c r="AB463">
        <f>IF(AA463=C463,1,0)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$AE$12+D464*$AE$13+E464*$AE$14+F464*$AE$15+G464*$AE$16+H464*$AE$17+I464*$AE$18+J464*$AE$19+K464*$AE$20+L464*$AE$21+M464*$AE$22+N464*$AE$23+O464*$AE$24+P464*$AE$25+Q464*$AE$26+R464*$AE$27+S464*$AE$28+T464*$AE$29+U464*$AE$30</f>
        <v/>
      </c>
      <c r="W464" s="8">
        <f>1/(1+EXP(-V464))</f>
        <v/>
      </c>
      <c r="X464" s="9">
        <f>-IF(C464=1,LN(W464),LN(1-W464))</f>
        <v/>
      </c>
      <c r="Y464" s="8">
        <f>'1 prepared data'!V457</f>
        <v/>
      </c>
      <c r="Z464" s="9">
        <f>Y464*X464</f>
        <v/>
      </c>
      <c r="AA464" s="10">
        <f>IF(W464&gt;$AE$33,1,0)</f>
        <v/>
      </c>
      <c r="AB464">
        <f>IF(AA464=C464,1,0)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$AE$12+D465*$AE$13+E465*$AE$14+F465*$AE$15+G465*$AE$16+H465*$AE$17+I465*$AE$18+J465*$AE$19+K465*$AE$20+L465*$AE$21+M465*$AE$22+N465*$AE$23+O465*$AE$24+P465*$AE$25+Q465*$AE$26+R465*$AE$27+S465*$AE$28+T465*$AE$29+U465*$AE$30</f>
        <v/>
      </c>
      <c r="W465" s="8">
        <f>1/(1+EXP(-V465))</f>
        <v/>
      </c>
      <c r="X465" s="9">
        <f>-IF(C465=1,LN(W465),LN(1-W465))</f>
        <v/>
      </c>
      <c r="Y465" s="8">
        <f>'1 prepared data'!V458</f>
        <v/>
      </c>
      <c r="Z465" s="9">
        <f>Y465*X465</f>
        <v/>
      </c>
      <c r="AA465" s="10">
        <f>IF(W465&gt;$AE$33,1,0)</f>
        <v/>
      </c>
      <c r="AB465">
        <f>IF(AA465=C465,1,0)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$AE$12+D466*$AE$13+E466*$AE$14+F466*$AE$15+G466*$AE$16+H466*$AE$17+I466*$AE$18+J466*$AE$19+K466*$AE$20+L466*$AE$21+M466*$AE$22+N466*$AE$23+O466*$AE$24+P466*$AE$25+Q466*$AE$26+R466*$AE$27+S466*$AE$28+T466*$AE$29+U466*$AE$30</f>
        <v/>
      </c>
      <c r="W466" s="8">
        <f>1/(1+EXP(-V466))</f>
        <v/>
      </c>
      <c r="X466" s="9">
        <f>-IF(C466=1,LN(W466),LN(1-W466))</f>
        <v/>
      </c>
      <c r="Y466" s="8">
        <f>'1 prepared data'!V459</f>
        <v/>
      </c>
      <c r="Z466" s="9">
        <f>Y466*X466</f>
        <v/>
      </c>
      <c r="AA466" s="10">
        <f>IF(W466&gt;$AE$33,1,0)</f>
        <v/>
      </c>
      <c r="AB466">
        <f>IF(AA466=C466,1,0)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$AE$12+D467*$AE$13+E467*$AE$14+F467*$AE$15+G467*$AE$16+H467*$AE$17+I467*$AE$18+J467*$AE$19+K467*$AE$20+L467*$AE$21+M467*$AE$22+N467*$AE$23+O467*$AE$24+P467*$AE$25+Q467*$AE$26+R467*$AE$27+S467*$AE$28+T467*$AE$29+U467*$AE$30</f>
        <v/>
      </c>
      <c r="W467" s="8">
        <f>1/(1+EXP(-V467))</f>
        <v/>
      </c>
      <c r="X467" s="9">
        <f>-IF(C467=1,LN(W467),LN(1-W467))</f>
        <v/>
      </c>
      <c r="Y467" s="8">
        <f>'1 prepared data'!V460</f>
        <v/>
      </c>
      <c r="Z467" s="9">
        <f>Y467*X467</f>
        <v/>
      </c>
      <c r="AA467" s="10">
        <f>IF(W467&gt;$AE$33,1,0)</f>
        <v/>
      </c>
      <c r="AB467">
        <f>IF(AA467=C467,1,0)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$AE$12+D468*$AE$13+E468*$AE$14+F468*$AE$15+G468*$AE$16+H468*$AE$17+I468*$AE$18+J468*$AE$19+K468*$AE$20+L468*$AE$21+M468*$AE$22+N468*$AE$23+O468*$AE$24+P468*$AE$25+Q468*$AE$26+R468*$AE$27+S468*$AE$28+T468*$AE$29+U468*$AE$30</f>
        <v/>
      </c>
      <c r="W468" s="8">
        <f>1/(1+EXP(-V468))</f>
        <v/>
      </c>
      <c r="X468" s="9">
        <f>-IF(C468=1,LN(W468),LN(1-W468))</f>
        <v/>
      </c>
      <c r="Y468" s="8">
        <f>'1 prepared data'!V461</f>
        <v/>
      </c>
      <c r="Z468" s="9">
        <f>Y468*X468</f>
        <v/>
      </c>
      <c r="AA468" s="10">
        <f>IF(W468&gt;$AE$33,1,0)</f>
        <v/>
      </c>
      <c r="AB468">
        <f>IF(AA468=C468,1,0)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$AE$12+D469*$AE$13+E469*$AE$14+F469*$AE$15+G469*$AE$16+H469*$AE$17+I469*$AE$18+J469*$AE$19+K469*$AE$20+L469*$AE$21+M469*$AE$22+N469*$AE$23+O469*$AE$24+P469*$AE$25+Q469*$AE$26+R469*$AE$27+S469*$AE$28+T469*$AE$29+U469*$AE$30</f>
        <v/>
      </c>
      <c r="W469" s="8">
        <f>1/(1+EXP(-V469))</f>
        <v/>
      </c>
      <c r="X469" s="9">
        <f>-IF(C469=1,LN(W469),LN(1-W469))</f>
        <v/>
      </c>
      <c r="Y469" s="8">
        <f>'1 prepared data'!V462</f>
        <v/>
      </c>
      <c r="Z469" s="9">
        <f>Y469*X469</f>
        <v/>
      </c>
      <c r="AA469" s="10">
        <f>IF(W469&gt;$AE$33,1,0)</f>
        <v/>
      </c>
      <c r="AB469">
        <f>IF(AA469=C469,1,0)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$AE$12+D470*$AE$13+E470*$AE$14+F470*$AE$15+G470*$AE$16+H470*$AE$17+I470*$AE$18+J470*$AE$19+K470*$AE$20+L470*$AE$21+M470*$AE$22+N470*$AE$23+O470*$AE$24+P470*$AE$25+Q470*$AE$26+R470*$AE$27+S470*$AE$28+T470*$AE$29+U470*$AE$30</f>
        <v/>
      </c>
      <c r="W470" s="8">
        <f>1/(1+EXP(-V470))</f>
        <v/>
      </c>
      <c r="X470" s="9">
        <f>-IF(C470=1,LN(W470),LN(1-W470))</f>
        <v/>
      </c>
      <c r="Y470" s="8">
        <f>'1 prepared data'!V463</f>
        <v/>
      </c>
      <c r="Z470" s="9">
        <f>Y470*X470</f>
        <v/>
      </c>
      <c r="AA470" s="10">
        <f>IF(W470&gt;$AE$33,1,0)</f>
        <v/>
      </c>
      <c r="AB470">
        <f>IF(AA470=C470,1,0)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$AE$12+D471*$AE$13+E471*$AE$14+F471*$AE$15+G471*$AE$16+H471*$AE$17+I471*$AE$18+J471*$AE$19+K471*$AE$20+L471*$AE$21+M471*$AE$22+N471*$AE$23+O471*$AE$24+P471*$AE$25+Q471*$AE$26+R471*$AE$27+S471*$AE$28+T471*$AE$29+U471*$AE$30</f>
        <v/>
      </c>
      <c r="W471" s="8">
        <f>1/(1+EXP(-V471))</f>
        <v/>
      </c>
      <c r="X471" s="9">
        <f>-IF(C471=1,LN(W471),LN(1-W471))</f>
        <v/>
      </c>
      <c r="Y471" s="8">
        <f>'1 prepared data'!V464</f>
        <v/>
      </c>
      <c r="Z471" s="9">
        <f>Y471*X471</f>
        <v/>
      </c>
      <c r="AA471" s="10">
        <f>IF(W471&gt;$AE$33,1,0)</f>
        <v/>
      </c>
      <c r="AB471">
        <f>IF(AA471=C471,1,0)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$AE$12+D472*$AE$13+E472*$AE$14+F472*$AE$15+G472*$AE$16+H472*$AE$17+I472*$AE$18+J472*$AE$19+K472*$AE$20+L472*$AE$21+M472*$AE$22+N472*$AE$23+O472*$AE$24+P472*$AE$25+Q472*$AE$26+R472*$AE$27+S472*$AE$28+T472*$AE$29+U472*$AE$30</f>
        <v/>
      </c>
      <c r="W472" s="8">
        <f>1/(1+EXP(-V472))</f>
        <v/>
      </c>
      <c r="X472" s="9">
        <f>-IF(C472=1,LN(W472),LN(1-W472))</f>
        <v/>
      </c>
      <c r="Y472" s="8">
        <f>'1 prepared data'!V465</f>
        <v/>
      </c>
      <c r="Z472" s="9">
        <f>Y472*X472</f>
        <v/>
      </c>
      <c r="AA472" s="10">
        <f>IF(W472&gt;$AE$33,1,0)</f>
        <v/>
      </c>
      <c r="AB472">
        <f>IF(AA472=C472,1,0)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$AE$12+D473*$AE$13+E473*$AE$14+F473*$AE$15+G473*$AE$16+H473*$AE$17+I473*$AE$18+J473*$AE$19+K473*$AE$20+L473*$AE$21+M473*$AE$22+N473*$AE$23+O473*$AE$24+P473*$AE$25+Q473*$AE$26+R473*$AE$27+S473*$AE$28+T473*$AE$29+U473*$AE$30</f>
        <v/>
      </c>
      <c r="W473" s="8">
        <f>1/(1+EXP(-V473))</f>
        <v/>
      </c>
      <c r="X473" s="9">
        <f>-IF(C473=1,LN(W473),LN(1-W473))</f>
        <v/>
      </c>
      <c r="Y473" s="8">
        <f>'1 prepared data'!V466</f>
        <v/>
      </c>
      <c r="Z473" s="9">
        <f>Y473*X473</f>
        <v/>
      </c>
      <c r="AA473" s="10">
        <f>IF(W473&gt;$AE$33,1,0)</f>
        <v/>
      </c>
      <c r="AB473">
        <f>IF(AA473=C473,1,0)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$AE$12+D474*$AE$13+E474*$AE$14+F474*$AE$15+G474*$AE$16+H474*$AE$17+I474*$AE$18+J474*$AE$19+K474*$AE$20+L474*$AE$21+M474*$AE$22+N474*$AE$23+O474*$AE$24+P474*$AE$25+Q474*$AE$26+R474*$AE$27+S474*$AE$28+T474*$AE$29+U474*$AE$30</f>
        <v/>
      </c>
      <c r="W474" s="8">
        <f>1/(1+EXP(-V474))</f>
        <v/>
      </c>
      <c r="X474" s="9">
        <f>-IF(C474=1,LN(W474),LN(1-W474))</f>
        <v/>
      </c>
      <c r="Y474" s="8">
        <f>'1 prepared data'!V467</f>
        <v/>
      </c>
      <c r="Z474" s="9">
        <f>Y474*X474</f>
        <v/>
      </c>
      <c r="AA474" s="10">
        <f>IF(W474&gt;$AE$33,1,0)</f>
        <v/>
      </c>
      <c r="AB474">
        <f>IF(AA474=C474,1,0)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$AE$12+D475*$AE$13+E475*$AE$14+F475*$AE$15+G475*$AE$16+H475*$AE$17+I475*$AE$18+J475*$AE$19+K475*$AE$20+L475*$AE$21+M475*$AE$22+N475*$AE$23+O475*$AE$24+P475*$AE$25+Q475*$AE$26+R475*$AE$27+S475*$AE$28+T475*$AE$29+U475*$AE$30</f>
        <v/>
      </c>
      <c r="W475" s="8">
        <f>1/(1+EXP(-V475))</f>
        <v/>
      </c>
      <c r="X475" s="9">
        <f>-IF(C475=1,LN(W475),LN(1-W475))</f>
        <v/>
      </c>
      <c r="Y475" s="8">
        <f>'1 prepared data'!V468</f>
        <v/>
      </c>
      <c r="Z475" s="9">
        <f>Y475*X475</f>
        <v/>
      </c>
      <c r="AA475" s="10">
        <f>IF(W475&gt;$AE$33,1,0)</f>
        <v/>
      </c>
      <c r="AB475">
        <f>IF(AA475=C475,1,0)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$AE$12+D476*$AE$13+E476*$AE$14+F476*$AE$15+G476*$AE$16+H476*$AE$17+I476*$AE$18+J476*$AE$19+K476*$AE$20+L476*$AE$21+M476*$AE$22+N476*$AE$23+O476*$AE$24+P476*$AE$25+Q476*$AE$26+R476*$AE$27+S476*$AE$28+T476*$AE$29+U476*$AE$30</f>
        <v/>
      </c>
      <c r="W476" s="8">
        <f>1/(1+EXP(-V476))</f>
        <v/>
      </c>
      <c r="X476" s="9">
        <f>-IF(C476=1,LN(W476),LN(1-W476))</f>
        <v/>
      </c>
      <c r="Y476" s="8">
        <f>'1 prepared data'!V469</f>
        <v/>
      </c>
      <c r="Z476" s="9">
        <f>Y476*X476</f>
        <v/>
      </c>
      <c r="AA476" s="10">
        <f>IF(W476&gt;$AE$33,1,0)</f>
        <v/>
      </c>
      <c r="AB476">
        <f>IF(AA476=C476,1,0)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$AE$12+D477*$AE$13+E477*$AE$14+F477*$AE$15+G477*$AE$16+H477*$AE$17+I477*$AE$18+J477*$AE$19+K477*$AE$20+L477*$AE$21+M477*$AE$22+N477*$AE$23+O477*$AE$24+P477*$AE$25+Q477*$AE$26+R477*$AE$27+S477*$AE$28+T477*$AE$29+U477*$AE$30</f>
        <v/>
      </c>
      <c r="W477" s="8">
        <f>1/(1+EXP(-V477))</f>
        <v/>
      </c>
      <c r="X477" s="9">
        <f>-IF(C477=1,LN(W477),LN(1-W477))</f>
        <v/>
      </c>
      <c r="Y477" s="8">
        <f>'1 prepared data'!V470</f>
        <v/>
      </c>
      <c r="Z477" s="9">
        <f>Y477*X477</f>
        <v/>
      </c>
      <c r="AA477" s="10">
        <f>IF(W477&gt;$AE$33,1,0)</f>
        <v/>
      </c>
      <c r="AB477">
        <f>IF(AA477=C477,1,0)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$AE$12+D478*$AE$13+E478*$AE$14+F478*$AE$15+G478*$AE$16+H478*$AE$17+I478*$AE$18+J478*$AE$19+K478*$AE$20+L478*$AE$21+M478*$AE$22+N478*$AE$23+O478*$AE$24+P478*$AE$25+Q478*$AE$26+R478*$AE$27+S478*$AE$28+T478*$AE$29+U478*$AE$30</f>
        <v/>
      </c>
      <c r="W478" s="8">
        <f>1/(1+EXP(-V478))</f>
        <v/>
      </c>
      <c r="X478" s="9">
        <f>-IF(C478=1,LN(W478),LN(1-W478))</f>
        <v/>
      </c>
      <c r="Y478" s="8">
        <f>'1 prepared data'!V471</f>
        <v/>
      </c>
      <c r="Z478" s="9">
        <f>Y478*X478</f>
        <v/>
      </c>
      <c r="AA478" s="10">
        <f>IF(W478&gt;$AE$33,1,0)</f>
        <v/>
      </c>
      <c r="AB478">
        <f>IF(AA478=C478,1,0)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$AE$12+D479*$AE$13+E479*$AE$14+F479*$AE$15+G479*$AE$16+H479*$AE$17+I479*$AE$18+J479*$AE$19+K479*$AE$20+L479*$AE$21+M479*$AE$22+N479*$AE$23+O479*$AE$24+P479*$AE$25+Q479*$AE$26+R479*$AE$27+S479*$AE$28+T479*$AE$29+U479*$AE$30</f>
        <v/>
      </c>
      <c r="W479" s="8">
        <f>1/(1+EXP(-V479))</f>
        <v/>
      </c>
      <c r="X479" s="9">
        <f>-IF(C479=1,LN(W479),LN(1-W479))</f>
        <v/>
      </c>
      <c r="Y479" s="8">
        <f>'1 prepared data'!V472</f>
        <v/>
      </c>
      <c r="Z479" s="9">
        <f>Y479*X479</f>
        <v/>
      </c>
      <c r="AA479" s="10">
        <f>IF(W479&gt;$AE$33,1,0)</f>
        <v/>
      </c>
      <c r="AB479">
        <f>IF(AA479=C479,1,0)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$AE$12+D480*$AE$13+E480*$AE$14+F480*$AE$15+G480*$AE$16+H480*$AE$17+I480*$AE$18+J480*$AE$19+K480*$AE$20+L480*$AE$21+M480*$AE$22+N480*$AE$23+O480*$AE$24+P480*$AE$25+Q480*$AE$26+R480*$AE$27+S480*$AE$28+T480*$AE$29+U480*$AE$30</f>
        <v/>
      </c>
      <c r="W480" s="8">
        <f>1/(1+EXP(-V480))</f>
        <v/>
      </c>
      <c r="X480" s="9">
        <f>-IF(C480=1,LN(W480),LN(1-W480))</f>
        <v/>
      </c>
      <c r="Y480" s="8">
        <f>'1 prepared data'!V473</f>
        <v/>
      </c>
      <c r="Z480" s="9">
        <f>Y480*X480</f>
        <v/>
      </c>
      <c r="AA480" s="10">
        <f>IF(W480&gt;$AE$33,1,0)</f>
        <v/>
      </c>
      <c r="AB480">
        <f>IF(AA480=C480,1,0)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$AE$12+D481*$AE$13+E481*$AE$14+F481*$AE$15+G481*$AE$16+H481*$AE$17+I481*$AE$18+J481*$AE$19+K481*$AE$20+L481*$AE$21+M481*$AE$22+N481*$AE$23+O481*$AE$24+P481*$AE$25+Q481*$AE$26+R481*$AE$27+S481*$AE$28+T481*$AE$29+U481*$AE$30</f>
        <v/>
      </c>
      <c r="W481" s="8">
        <f>1/(1+EXP(-V481))</f>
        <v/>
      </c>
      <c r="X481" s="9">
        <f>-IF(C481=1,LN(W481),LN(1-W481))</f>
        <v/>
      </c>
      <c r="Y481" s="8">
        <f>'1 prepared data'!V474</f>
        <v/>
      </c>
      <c r="Z481" s="9">
        <f>Y481*X481</f>
        <v/>
      </c>
      <c r="AA481" s="10">
        <f>IF(W481&gt;$AE$33,1,0)</f>
        <v/>
      </c>
      <c r="AB481">
        <f>IF(AA481=C481,1,0)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$AE$12+D482*$AE$13+E482*$AE$14+F482*$AE$15+G482*$AE$16+H482*$AE$17+I482*$AE$18+J482*$AE$19+K482*$AE$20+L482*$AE$21+M482*$AE$22+N482*$AE$23+O482*$AE$24+P482*$AE$25+Q482*$AE$26+R482*$AE$27+S482*$AE$28+T482*$AE$29+U482*$AE$30</f>
        <v/>
      </c>
      <c r="W482" s="8">
        <f>1/(1+EXP(-V482))</f>
        <v/>
      </c>
      <c r="X482" s="9">
        <f>-IF(C482=1,LN(W482),LN(1-W482))</f>
        <v/>
      </c>
      <c r="Y482" s="8">
        <f>'1 prepared data'!V475</f>
        <v/>
      </c>
      <c r="Z482" s="9">
        <f>Y482*X482</f>
        <v/>
      </c>
      <c r="AA482" s="10">
        <f>IF(W482&gt;$AE$33,1,0)</f>
        <v/>
      </c>
      <c r="AB482">
        <f>IF(AA482=C482,1,0)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$AE$12+D483*$AE$13+E483*$AE$14+F483*$AE$15+G483*$AE$16+H483*$AE$17+I483*$AE$18+J483*$AE$19+K483*$AE$20+L483*$AE$21+M483*$AE$22+N483*$AE$23+O483*$AE$24+P483*$AE$25+Q483*$AE$26+R483*$AE$27+S483*$AE$28+T483*$AE$29+U483*$AE$30</f>
        <v/>
      </c>
      <c r="W483" s="8">
        <f>1/(1+EXP(-V483))</f>
        <v/>
      </c>
      <c r="X483" s="9">
        <f>-IF(C483=1,LN(W483),LN(1-W483))</f>
        <v/>
      </c>
      <c r="Y483" s="8">
        <f>'1 prepared data'!V476</f>
        <v/>
      </c>
      <c r="Z483" s="9">
        <f>Y483*X483</f>
        <v/>
      </c>
      <c r="AA483" s="10">
        <f>IF(W483&gt;$AE$33,1,0)</f>
        <v/>
      </c>
      <c r="AB483">
        <f>IF(AA483=C483,1,0)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$AE$12+D484*$AE$13+E484*$AE$14+F484*$AE$15+G484*$AE$16+H484*$AE$17+I484*$AE$18+J484*$AE$19+K484*$AE$20+L484*$AE$21+M484*$AE$22+N484*$AE$23+O484*$AE$24+P484*$AE$25+Q484*$AE$26+R484*$AE$27+S484*$AE$28+T484*$AE$29+U484*$AE$30</f>
        <v/>
      </c>
      <c r="W484" s="8">
        <f>1/(1+EXP(-V484))</f>
        <v/>
      </c>
      <c r="X484" s="9">
        <f>-IF(C484=1,LN(W484),LN(1-W484))</f>
        <v/>
      </c>
      <c r="Y484" s="8">
        <f>'1 prepared data'!V477</f>
        <v/>
      </c>
      <c r="Z484" s="9">
        <f>Y484*X484</f>
        <v/>
      </c>
      <c r="AA484" s="10">
        <f>IF(W484&gt;$AE$33,1,0)</f>
        <v/>
      </c>
      <c r="AB484">
        <f>IF(AA484=C484,1,0)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$AE$12+D485*$AE$13+E485*$AE$14+F485*$AE$15+G485*$AE$16+H485*$AE$17+I485*$AE$18+J485*$AE$19+K485*$AE$20+L485*$AE$21+M485*$AE$22+N485*$AE$23+O485*$AE$24+P485*$AE$25+Q485*$AE$26+R485*$AE$27+S485*$AE$28+T485*$AE$29+U485*$AE$30</f>
        <v/>
      </c>
      <c r="W485" s="8">
        <f>1/(1+EXP(-V485))</f>
        <v/>
      </c>
      <c r="X485" s="9">
        <f>-IF(C485=1,LN(W485),LN(1-W485))</f>
        <v/>
      </c>
      <c r="Y485" s="8">
        <f>'1 prepared data'!V478</f>
        <v/>
      </c>
      <c r="Z485" s="9">
        <f>Y485*X485</f>
        <v/>
      </c>
      <c r="AA485" s="10">
        <f>IF(W485&gt;$AE$33,1,0)</f>
        <v/>
      </c>
      <c r="AB485">
        <f>IF(AA485=C485,1,0)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$AE$12+D486*$AE$13+E486*$AE$14+F486*$AE$15+G486*$AE$16+H486*$AE$17+I486*$AE$18+J486*$AE$19+K486*$AE$20+L486*$AE$21+M486*$AE$22+N486*$AE$23+O486*$AE$24+P486*$AE$25+Q486*$AE$26+R486*$AE$27+S486*$AE$28+T486*$AE$29+U486*$AE$30</f>
        <v/>
      </c>
      <c r="W486" s="8">
        <f>1/(1+EXP(-V486))</f>
        <v/>
      </c>
      <c r="X486" s="9">
        <f>-IF(C486=1,LN(W486),LN(1-W486))</f>
        <v/>
      </c>
      <c r="Y486" s="8">
        <f>'1 prepared data'!V479</f>
        <v/>
      </c>
      <c r="Z486" s="9">
        <f>Y486*X486</f>
        <v/>
      </c>
      <c r="AA486" s="10">
        <f>IF(W486&gt;$AE$33,1,0)</f>
        <v/>
      </c>
      <c r="AB486">
        <f>IF(AA486=C486,1,0)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$AE$12+D487*$AE$13+E487*$AE$14+F487*$AE$15+G487*$AE$16+H487*$AE$17+I487*$AE$18+J487*$AE$19+K487*$AE$20+L487*$AE$21+M487*$AE$22+N487*$AE$23+O487*$AE$24+P487*$AE$25+Q487*$AE$26+R487*$AE$27+S487*$AE$28+T487*$AE$29+U487*$AE$30</f>
        <v/>
      </c>
      <c r="W487" s="8">
        <f>1/(1+EXP(-V487))</f>
        <v/>
      </c>
      <c r="X487" s="9">
        <f>-IF(C487=1,LN(W487),LN(1-W487))</f>
        <v/>
      </c>
      <c r="Y487" s="8">
        <f>'1 prepared data'!V480</f>
        <v/>
      </c>
      <c r="Z487" s="9">
        <f>Y487*X487</f>
        <v/>
      </c>
      <c r="AA487" s="10">
        <f>IF(W487&gt;$AE$33,1,0)</f>
        <v/>
      </c>
      <c r="AB487">
        <f>IF(AA487=C487,1,0)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$AE$12+D488*$AE$13+E488*$AE$14+F488*$AE$15+G488*$AE$16+H488*$AE$17+I488*$AE$18+J488*$AE$19+K488*$AE$20+L488*$AE$21+M488*$AE$22+N488*$AE$23+O488*$AE$24+P488*$AE$25+Q488*$AE$26+R488*$AE$27+S488*$AE$28+T488*$AE$29+U488*$AE$30</f>
        <v/>
      </c>
      <c r="W488" s="8">
        <f>1/(1+EXP(-V488))</f>
        <v/>
      </c>
      <c r="X488" s="9">
        <f>-IF(C488=1,LN(W488),LN(1-W488))</f>
        <v/>
      </c>
      <c r="Y488" s="8">
        <f>'1 prepared data'!V481</f>
        <v/>
      </c>
      <c r="Z488" s="9">
        <f>Y488*X488</f>
        <v/>
      </c>
      <c r="AA488" s="10">
        <f>IF(W488&gt;$AE$33,1,0)</f>
        <v/>
      </c>
      <c r="AB488">
        <f>IF(AA488=C488,1,0)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$AE$12+D489*$AE$13+E489*$AE$14+F489*$AE$15+G489*$AE$16+H489*$AE$17+I489*$AE$18+J489*$AE$19+K489*$AE$20+L489*$AE$21+M489*$AE$22+N489*$AE$23+O489*$AE$24+P489*$AE$25+Q489*$AE$26+R489*$AE$27+S489*$AE$28+T489*$AE$29+U489*$AE$30</f>
        <v/>
      </c>
      <c r="W489" s="8">
        <f>1/(1+EXP(-V489))</f>
        <v/>
      </c>
      <c r="X489" s="9">
        <f>-IF(C489=1,LN(W489),LN(1-W489))</f>
        <v/>
      </c>
      <c r="Y489" s="8">
        <f>'1 prepared data'!V482</f>
        <v/>
      </c>
      <c r="Z489" s="9">
        <f>Y489*X489</f>
        <v/>
      </c>
      <c r="AA489" s="10">
        <f>IF(W489&gt;$AE$33,1,0)</f>
        <v/>
      </c>
      <c r="AB489">
        <f>IF(AA489=C489,1,0)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$AE$12+D490*$AE$13+E490*$AE$14+F490*$AE$15+G490*$AE$16+H490*$AE$17+I490*$AE$18+J490*$AE$19+K490*$AE$20+L490*$AE$21+M490*$AE$22+N490*$AE$23+O490*$AE$24+P490*$AE$25+Q490*$AE$26+R490*$AE$27+S490*$AE$28+T490*$AE$29+U490*$AE$30</f>
        <v/>
      </c>
      <c r="W490" s="8">
        <f>1/(1+EXP(-V490))</f>
        <v/>
      </c>
      <c r="X490" s="9">
        <f>-IF(C490=1,LN(W490),LN(1-W490))</f>
        <v/>
      </c>
      <c r="Y490" s="8">
        <f>'1 prepared data'!V483</f>
        <v/>
      </c>
      <c r="Z490" s="9">
        <f>Y490*X490</f>
        <v/>
      </c>
      <c r="AA490" s="10">
        <f>IF(W490&gt;$AE$33,1,0)</f>
        <v/>
      </c>
      <c r="AB490">
        <f>IF(AA490=C490,1,0)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$AE$12+D491*$AE$13+E491*$AE$14+F491*$AE$15+G491*$AE$16+H491*$AE$17+I491*$AE$18+J491*$AE$19+K491*$AE$20+L491*$AE$21+M491*$AE$22+N491*$AE$23+O491*$AE$24+P491*$AE$25+Q491*$AE$26+R491*$AE$27+S491*$AE$28+T491*$AE$29+U491*$AE$30</f>
        <v/>
      </c>
      <c r="W491" s="8">
        <f>1/(1+EXP(-V491))</f>
        <v/>
      </c>
      <c r="X491" s="9">
        <f>-IF(C491=1,LN(W491),LN(1-W491))</f>
        <v/>
      </c>
      <c r="Y491" s="8">
        <f>'1 prepared data'!V484</f>
        <v/>
      </c>
      <c r="Z491" s="9">
        <f>Y491*X491</f>
        <v/>
      </c>
      <c r="AA491" s="10">
        <f>IF(W491&gt;$AE$33,1,0)</f>
        <v/>
      </c>
      <c r="AB491">
        <f>IF(AA491=C491,1,0)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$AE$12+D492*$AE$13+E492*$AE$14+F492*$AE$15+G492*$AE$16+H492*$AE$17+I492*$AE$18+J492*$AE$19+K492*$AE$20+L492*$AE$21+M492*$AE$22+N492*$AE$23+O492*$AE$24+P492*$AE$25+Q492*$AE$26+R492*$AE$27+S492*$AE$28+T492*$AE$29+U492*$AE$30</f>
        <v/>
      </c>
      <c r="W492" s="8">
        <f>1/(1+EXP(-V492))</f>
        <v/>
      </c>
      <c r="X492" s="9">
        <f>-IF(C492=1,LN(W492),LN(1-W492))</f>
        <v/>
      </c>
      <c r="Y492" s="8">
        <f>'1 prepared data'!V485</f>
        <v/>
      </c>
      <c r="Z492" s="9">
        <f>Y492*X492</f>
        <v/>
      </c>
      <c r="AA492" s="10">
        <f>IF(W492&gt;$AE$33,1,0)</f>
        <v/>
      </c>
      <c r="AB492">
        <f>IF(AA492=C492,1,0)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$AE$12+D493*$AE$13+E493*$AE$14+F493*$AE$15+G493*$AE$16+H493*$AE$17+I493*$AE$18+J493*$AE$19+K493*$AE$20+L493*$AE$21+M493*$AE$22+N493*$AE$23+O493*$AE$24+P493*$AE$25+Q493*$AE$26+R493*$AE$27+S493*$AE$28+T493*$AE$29+U493*$AE$30</f>
        <v/>
      </c>
      <c r="W493" s="8">
        <f>1/(1+EXP(-V493))</f>
        <v/>
      </c>
      <c r="X493" s="9">
        <f>-IF(C493=1,LN(W493),LN(1-W493))</f>
        <v/>
      </c>
      <c r="Y493" s="8">
        <f>'1 prepared data'!V486</f>
        <v/>
      </c>
      <c r="Z493" s="9">
        <f>Y493*X493</f>
        <v/>
      </c>
      <c r="AA493" s="10">
        <f>IF(W493&gt;$AE$33,1,0)</f>
        <v/>
      </c>
      <c r="AB493">
        <f>IF(AA493=C493,1,0)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$AE$12+D494*$AE$13+E494*$AE$14+F494*$AE$15+G494*$AE$16+H494*$AE$17+I494*$AE$18+J494*$AE$19+K494*$AE$20+L494*$AE$21+M494*$AE$22+N494*$AE$23+O494*$AE$24+P494*$AE$25+Q494*$AE$26+R494*$AE$27+S494*$AE$28+T494*$AE$29+U494*$AE$30</f>
        <v/>
      </c>
      <c r="W494" s="8">
        <f>1/(1+EXP(-V494))</f>
        <v/>
      </c>
      <c r="X494" s="9">
        <f>-IF(C494=1,LN(W494),LN(1-W494))</f>
        <v/>
      </c>
      <c r="Y494" s="8">
        <f>'1 prepared data'!V487</f>
        <v/>
      </c>
      <c r="Z494" s="9">
        <f>Y494*X494</f>
        <v/>
      </c>
      <c r="AA494" s="10">
        <f>IF(W494&gt;$AE$33,1,0)</f>
        <v/>
      </c>
      <c r="AB494">
        <f>IF(AA494=C494,1,0)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$AE$12+D495*$AE$13+E495*$AE$14+F495*$AE$15+G495*$AE$16+H495*$AE$17+I495*$AE$18+J495*$AE$19+K495*$AE$20+L495*$AE$21+M495*$AE$22+N495*$AE$23+O495*$AE$24+P495*$AE$25+Q495*$AE$26+R495*$AE$27+S495*$AE$28+T495*$AE$29+U495*$AE$30</f>
        <v/>
      </c>
      <c r="W495" s="8">
        <f>1/(1+EXP(-V495))</f>
        <v/>
      </c>
      <c r="X495" s="9">
        <f>-IF(C495=1,LN(W495),LN(1-W495))</f>
        <v/>
      </c>
      <c r="Y495" s="8">
        <f>'1 prepared data'!V488</f>
        <v/>
      </c>
      <c r="Z495" s="9">
        <f>Y495*X495</f>
        <v/>
      </c>
      <c r="AA495" s="10">
        <f>IF(W495&gt;$AE$33,1,0)</f>
        <v/>
      </c>
      <c r="AB495">
        <f>IF(AA495=C495,1,0)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$AE$12+D496*$AE$13+E496*$AE$14+F496*$AE$15+G496*$AE$16+H496*$AE$17+I496*$AE$18+J496*$AE$19+K496*$AE$20+L496*$AE$21+M496*$AE$22+N496*$AE$23+O496*$AE$24+P496*$AE$25+Q496*$AE$26+R496*$AE$27+S496*$AE$28+T496*$AE$29+U496*$AE$30</f>
        <v/>
      </c>
      <c r="W496" s="8">
        <f>1/(1+EXP(-V496))</f>
        <v/>
      </c>
      <c r="X496" s="9">
        <f>-IF(C496=1,LN(W496),LN(1-W496))</f>
        <v/>
      </c>
      <c r="Y496" s="8">
        <f>'1 prepared data'!V489</f>
        <v/>
      </c>
      <c r="Z496" s="9">
        <f>Y496*X496</f>
        <v/>
      </c>
      <c r="AA496" s="10">
        <f>IF(W496&gt;$AE$33,1,0)</f>
        <v/>
      </c>
      <c r="AB496">
        <f>IF(AA496=C496,1,0)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$AE$12+D497*$AE$13+E497*$AE$14+F497*$AE$15+G497*$AE$16+H497*$AE$17+I497*$AE$18+J497*$AE$19+K497*$AE$20+L497*$AE$21+M497*$AE$22+N497*$AE$23+O497*$AE$24+P497*$AE$25+Q497*$AE$26+R497*$AE$27+S497*$AE$28+T497*$AE$29+U497*$AE$30</f>
        <v/>
      </c>
      <c r="W497" s="8">
        <f>1/(1+EXP(-V497))</f>
        <v/>
      </c>
      <c r="X497" s="9">
        <f>-IF(C497=1,LN(W497),LN(1-W497))</f>
        <v/>
      </c>
      <c r="Y497" s="8">
        <f>'1 prepared data'!V490</f>
        <v/>
      </c>
      <c r="Z497" s="9">
        <f>Y497*X497</f>
        <v/>
      </c>
      <c r="AA497" s="10">
        <f>IF(W497&gt;$AE$33,1,0)</f>
        <v/>
      </c>
      <c r="AB497">
        <f>IF(AA497=C497,1,0)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$AE$12+D498*$AE$13+E498*$AE$14+F498*$AE$15+G498*$AE$16+H498*$AE$17+I498*$AE$18+J498*$AE$19+K498*$AE$20+L498*$AE$21+M498*$AE$22+N498*$AE$23+O498*$AE$24+P498*$AE$25+Q498*$AE$26+R498*$AE$27+S498*$AE$28+T498*$AE$29+U498*$AE$30</f>
        <v/>
      </c>
      <c r="W498" s="8">
        <f>1/(1+EXP(-V498))</f>
        <v/>
      </c>
      <c r="X498" s="9">
        <f>-IF(C498=1,LN(W498),LN(1-W498))</f>
        <v/>
      </c>
      <c r="Y498" s="8">
        <f>'1 prepared data'!V491</f>
        <v/>
      </c>
      <c r="Z498" s="9">
        <f>Y498*X498</f>
        <v/>
      </c>
      <c r="AA498" s="10">
        <f>IF(W498&gt;$AE$33,1,0)</f>
        <v/>
      </c>
      <c r="AB498">
        <f>IF(AA498=C498,1,0)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$AE$12+D499*$AE$13+E499*$AE$14+F499*$AE$15+G499*$AE$16+H499*$AE$17+I499*$AE$18+J499*$AE$19+K499*$AE$20+L499*$AE$21+M499*$AE$22+N499*$AE$23+O499*$AE$24+P499*$AE$25+Q499*$AE$26+R499*$AE$27+S499*$AE$28+T499*$AE$29+U499*$AE$30</f>
        <v/>
      </c>
      <c r="W499" s="8">
        <f>1/(1+EXP(-V499))</f>
        <v/>
      </c>
      <c r="X499" s="9">
        <f>-IF(C499=1,LN(W499),LN(1-W499))</f>
        <v/>
      </c>
      <c r="Y499" s="8">
        <f>'1 prepared data'!V492</f>
        <v/>
      </c>
      <c r="Z499" s="9">
        <f>Y499*X499</f>
        <v/>
      </c>
      <c r="AA499" s="10">
        <f>IF(W499&gt;$AE$33,1,0)</f>
        <v/>
      </c>
      <c r="AB499">
        <f>IF(AA499=C499,1,0)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$AE$12+D500*$AE$13+E500*$AE$14+F500*$AE$15+G500*$AE$16+H500*$AE$17+I500*$AE$18+J500*$AE$19+K500*$AE$20+L500*$AE$21+M500*$AE$22+N500*$AE$23+O500*$AE$24+P500*$AE$25+Q500*$AE$26+R500*$AE$27+S500*$AE$28+T500*$AE$29+U500*$AE$30</f>
        <v/>
      </c>
      <c r="W500" s="8">
        <f>1/(1+EXP(-V500))</f>
        <v/>
      </c>
      <c r="X500" s="9">
        <f>-IF(C500=1,LN(W500),LN(1-W500))</f>
        <v/>
      </c>
      <c r="Y500" s="8">
        <f>'1 prepared data'!V493</f>
        <v/>
      </c>
      <c r="Z500" s="9">
        <f>Y500*X500</f>
        <v/>
      </c>
      <c r="AA500" s="10">
        <f>IF(W500&gt;$AE$33,1,0)</f>
        <v/>
      </c>
      <c r="AB500">
        <f>IF(AA500=C500,1,0)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$AE$12+D501*$AE$13+E501*$AE$14+F501*$AE$15+G501*$AE$16+H501*$AE$17+I501*$AE$18+J501*$AE$19+K501*$AE$20+L501*$AE$21+M501*$AE$22+N501*$AE$23+O501*$AE$24+P501*$AE$25+Q501*$AE$26+R501*$AE$27+S501*$AE$28+T501*$AE$29+U501*$AE$30</f>
        <v/>
      </c>
      <c r="W501" s="8">
        <f>1/(1+EXP(-V501))</f>
        <v/>
      </c>
      <c r="X501" s="9">
        <f>-IF(C501=1,LN(W501),LN(1-W501))</f>
        <v/>
      </c>
      <c r="Y501" s="8">
        <f>'1 prepared data'!V494</f>
        <v/>
      </c>
      <c r="Z501" s="9">
        <f>Y501*X501</f>
        <v/>
      </c>
      <c r="AA501" s="10">
        <f>IF(W501&gt;$AE$33,1,0)</f>
        <v/>
      </c>
      <c r="AB501">
        <f>IF(AA501=C501,1,0)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$AE$12+D502*$AE$13+E502*$AE$14+F502*$AE$15+G502*$AE$16+H502*$AE$17+I502*$AE$18+J502*$AE$19+K502*$AE$20+L502*$AE$21+M502*$AE$22+N502*$AE$23+O502*$AE$24+P502*$AE$25+Q502*$AE$26+R502*$AE$27+S502*$AE$28+T502*$AE$29+U502*$AE$30</f>
        <v/>
      </c>
      <c r="W502" s="8">
        <f>1/(1+EXP(-V502))</f>
        <v/>
      </c>
      <c r="X502" s="9">
        <f>-IF(C502=1,LN(W502),LN(1-W502))</f>
        <v/>
      </c>
      <c r="Y502" s="8">
        <f>'1 prepared data'!V495</f>
        <v/>
      </c>
      <c r="Z502" s="9">
        <f>Y502*X502</f>
        <v/>
      </c>
      <c r="AA502" s="10">
        <f>IF(W502&gt;$AE$33,1,0)</f>
        <v/>
      </c>
      <c r="AB502">
        <f>IF(AA502=C502,1,0)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$AE$12+D503*$AE$13+E503*$AE$14+F503*$AE$15+G503*$AE$16+H503*$AE$17+I503*$AE$18+J503*$AE$19+K503*$AE$20+L503*$AE$21+M503*$AE$22+N503*$AE$23+O503*$AE$24+P503*$AE$25+Q503*$AE$26+R503*$AE$27+S503*$AE$28+T503*$AE$29+U503*$AE$30</f>
        <v/>
      </c>
      <c r="W503" s="8">
        <f>1/(1+EXP(-V503))</f>
        <v/>
      </c>
      <c r="X503" s="9">
        <f>-IF(C503=1,LN(W503),LN(1-W503))</f>
        <v/>
      </c>
      <c r="Y503" s="8">
        <f>'1 prepared data'!V496</f>
        <v/>
      </c>
      <c r="Z503" s="9">
        <f>Y503*X503</f>
        <v/>
      </c>
      <c r="AA503" s="10">
        <f>IF(W503&gt;$AE$33,1,0)</f>
        <v/>
      </c>
      <c r="AB503">
        <f>IF(AA503=C503,1,0)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$AE$12+D504*$AE$13+E504*$AE$14+F504*$AE$15+G504*$AE$16+H504*$AE$17+I504*$AE$18+J504*$AE$19+K504*$AE$20+L504*$AE$21+M504*$AE$22+N504*$AE$23+O504*$AE$24+P504*$AE$25+Q504*$AE$26+R504*$AE$27+S504*$AE$28+T504*$AE$29+U504*$AE$30</f>
        <v/>
      </c>
      <c r="W504" s="8">
        <f>1/(1+EXP(-V504))</f>
        <v/>
      </c>
      <c r="X504" s="9">
        <f>-IF(C504=1,LN(W504),LN(1-W504))</f>
        <v/>
      </c>
      <c r="Y504" s="8">
        <f>'1 prepared data'!V497</f>
        <v/>
      </c>
      <c r="Z504" s="9">
        <f>Y504*X504</f>
        <v/>
      </c>
      <c r="AA504" s="10">
        <f>IF(W504&gt;$AE$33,1,0)</f>
        <v/>
      </c>
      <c r="AB504">
        <f>IF(AA504=C504,1,0)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$AE$12+D505*$AE$13+E505*$AE$14+F505*$AE$15+G505*$AE$16+H505*$AE$17+I505*$AE$18+J505*$AE$19+K505*$AE$20+L505*$AE$21+M505*$AE$22+N505*$AE$23+O505*$AE$24+P505*$AE$25+Q505*$AE$26+R505*$AE$27+S505*$AE$28+T505*$AE$29+U505*$AE$30</f>
        <v/>
      </c>
      <c r="W505" s="8">
        <f>1/(1+EXP(-V505))</f>
        <v/>
      </c>
      <c r="X505" s="9">
        <f>-IF(C505=1,LN(W505),LN(1-W505))</f>
        <v/>
      </c>
      <c r="Y505" s="8">
        <f>'1 prepared data'!V498</f>
        <v/>
      </c>
      <c r="Z505" s="9">
        <f>Y505*X505</f>
        <v/>
      </c>
      <c r="AA505" s="10">
        <f>IF(W505&gt;$AE$33,1,0)</f>
        <v/>
      </c>
      <c r="AB505">
        <f>IF(AA505=C505,1,0)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$AE$12+D506*$AE$13+E506*$AE$14+F506*$AE$15+G506*$AE$16+H506*$AE$17+I506*$AE$18+J506*$AE$19+K506*$AE$20+L506*$AE$21+M506*$AE$22+N506*$AE$23+O506*$AE$24+P506*$AE$25+Q506*$AE$26+R506*$AE$27+S506*$AE$28+T506*$AE$29+U506*$AE$30</f>
        <v/>
      </c>
      <c r="W506" s="8">
        <f>1/(1+EXP(-V506))</f>
        <v/>
      </c>
      <c r="X506" s="9">
        <f>-IF(C506=1,LN(W506),LN(1-W506))</f>
        <v/>
      </c>
      <c r="Y506" s="8">
        <f>'1 prepared data'!V499</f>
        <v/>
      </c>
      <c r="Z506" s="9">
        <f>Y506*X506</f>
        <v/>
      </c>
      <c r="AA506" s="10">
        <f>IF(W506&gt;$AE$33,1,0)</f>
        <v/>
      </c>
      <c r="AB506">
        <f>IF(AA506=C506,1,0)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$AE$12+D507*$AE$13+E507*$AE$14+F507*$AE$15+G507*$AE$16+H507*$AE$17+I507*$AE$18+J507*$AE$19+K507*$AE$20+L507*$AE$21+M507*$AE$22+N507*$AE$23+O507*$AE$24+P507*$AE$25+Q507*$AE$26+R507*$AE$27+S507*$AE$28+T507*$AE$29+U507*$AE$30</f>
        <v/>
      </c>
      <c r="W507" s="8">
        <f>1/(1+EXP(-V507))</f>
        <v/>
      </c>
      <c r="X507" s="9">
        <f>-IF(C507=1,LN(W507),LN(1-W507))</f>
        <v/>
      </c>
      <c r="Y507" s="8">
        <f>'1 prepared data'!V500</f>
        <v/>
      </c>
      <c r="Z507" s="9">
        <f>Y507*X507</f>
        <v/>
      </c>
      <c r="AA507" s="10">
        <f>IF(W507&gt;$AE$33,1,0)</f>
        <v/>
      </c>
      <c r="AB507">
        <f>IF(AA507=C507,1,0)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$AE$12+D508*$AE$13+E508*$AE$14+F508*$AE$15+G508*$AE$16+H508*$AE$17+I508*$AE$18+J508*$AE$19+K508*$AE$20+L508*$AE$21+M508*$AE$22+N508*$AE$23+O508*$AE$24+P508*$AE$25+Q508*$AE$26+R508*$AE$27+S508*$AE$28+T508*$AE$29+U508*$AE$30</f>
        <v/>
      </c>
      <c r="W508" s="8">
        <f>1/(1+EXP(-V508))</f>
        <v/>
      </c>
      <c r="X508" s="9">
        <f>-IF(C508=1,LN(W508),LN(1-W508))</f>
        <v/>
      </c>
      <c r="Y508" s="8">
        <f>'1 prepared data'!V501</f>
        <v/>
      </c>
      <c r="Z508" s="9">
        <f>Y508*X508</f>
        <v/>
      </c>
      <c r="AA508" s="10">
        <f>IF(W508&gt;$AE$33,1,0)</f>
        <v/>
      </c>
      <c r="AB508">
        <f>IF(AA508=C508,1,0)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$AE$12+D509*$AE$13+E509*$AE$14+F509*$AE$15+G509*$AE$16+H509*$AE$17+I509*$AE$18+J509*$AE$19+K509*$AE$20+L509*$AE$21+M509*$AE$22+N509*$AE$23+O509*$AE$24+P509*$AE$25+Q509*$AE$26+R509*$AE$27+S509*$AE$28+T509*$AE$29+U509*$AE$30</f>
        <v/>
      </c>
      <c r="W509" s="8">
        <f>1/(1+EXP(-V509))</f>
        <v/>
      </c>
      <c r="X509" s="9">
        <f>-IF(C509=1,LN(W509),LN(1-W509))</f>
        <v/>
      </c>
      <c r="Y509" s="8">
        <f>'1 prepared data'!V502</f>
        <v/>
      </c>
      <c r="Z509" s="9">
        <f>Y509*X509</f>
        <v/>
      </c>
      <c r="AA509" s="10">
        <f>IF(W509&gt;$AE$33,1,0)</f>
        <v/>
      </c>
      <c r="AB509">
        <f>IF(AA509=C509,1,0)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$AE$12+D510*$AE$13+E510*$AE$14+F510*$AE$15+G510*$AE$16+H510*$AE$17+I510*$AE$18+J510*$AE$19+K510*$AE$20+L510*$AE$21+M510*$AE$22+N510*$AE$23+O510*$AE$24+P510*$AE$25+Q510*$AE$26+R510*$AE$27+S510*$AE$28+T510*$AE$29+U510*$AE$30</f>
        <v/>
      </c>
      <c r="W510" s="8">
        <f>1/(1+EXP(-V510))</f>
        <v/>
      </c>
      <c r="X510" s="9">
        <f>-IF(C510=1,LN(W510),LN(1-W510))</f>
        <v/>
      </c>
      <c r="Y510" s="8">
        <f>'1 prepared data'!V503</f>
        <v/>
      </c>
      <c r="Z510" s="9">
        <f>Y510*X510</f>
        <v/>
      </c>
      <c r="AA510" s="10">
        <f>IF(W510&gt;$AE$33,1,0)</f>
        <v/>
      </c>
      <c r="AB510">
        <f>IF(AA510=C510,1,0)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$AE$12+D511*$AE$13+E511*$AE$14+F511*$AE$15+G511*$AE$16+H511*$AE$17+I511*$AE$18+J511*$AE$19+K511*$AE$20+L511*$AE$21+M511*$AE$22+N511*$AE$23+O511*$AE$24+P511*$AE$25+Q511*$AE$26+R511*$AE$27+S511*$AE$28+T511*$AE$29+U511*$AE$30</f>
        <v/>
      </c>
      <c r="W511" s="8">
        <f>1/(1+EXP(-V511))</f>
        <v/>
      </c>
      <c r="X511" s="9">
        <f>-IF(C511=1,LN(W511),LN(1-W511))</f>
        <v/>
      </c>
      <c r="Y511" s="8">
        <f>'1 prepared data'!V504</f>
        <v/>
      </c>
      <c r="Z511" s="9">
        <f>Y511*X511</f>
        <v/>
      </c>
      <c r="AA511" s="10">
        <f>IF(W511&gt;$AE$33,1,0)</f>
        <v/>
      </c>
      <c r="AB511">
        <f>IF(AA511=C511,1,0)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$AE$12+D512*$AE$13+E512*$AE$14+F512*$AE$15+G512*$AE$16+H512*$AE$17+I512*$AE$18+J512*$AE$19+K512*$AE$20+L512*$AE$21+M512*$AE$22+N512*$AE$23+O512*$AE$24+P512*$AE$25+Q512*$AE$26+R512*$AE$27+S512*$AE$28+T512*$AE$29+U512*$AE$30</f>
        <v/>
      </c>
      <c r="W512" s="8">
        <f>1/(1+EXP(-V512))</f>
        <v/>
      </c>
      <c r="X512" s="9">
        <f>-IF(C512=1,LN(W512),LN(1-W512))</f>
        <v/>
      </c>
      <c r="Y512" s="8">
        <f>'1 prepared data'!V505</f>
        <v/>
      </c>
      <c r="Z512" s="9">
        <f>Y512*X512</f>
        <v/>
      </c>
      <c r="AA512" s="10">
        <f>IF(W512&gt;$AE$33,1,0)</f>
        <v/>
      </c>
      <c r="AB512">
        <f>IF(AA512=C512,1,0)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$AE$12+D513*$AE$13+E513*$AE$14+F513*$AE$15+G513*$AE$16+H513*$AE$17+I513*$AE$18+J513*$AE$19+K513*$AE$20+L513*$AE$21+M513*$AE$22+N513*$AE$23+O513*$AE$24+P513*$AE$25+Q513*$AE$26+R513*$AE$27+S513*$AE$28+T513*$AE$29+U513*$AE$30</f>
        <v/>
      </c>
      <c r="W513" s="8">
        <f>1/(1+EXP(-V513))</f>
        <v/>
      </c>
      <c r="X513" s="9">
        <f>-IF(C513=1,LN(W513),LN(1-W513))</f>
        <v/>
      </c>
      <c r="Y513" s="8">
        <f>'1 prepared data'!V506</f>
        <v/>
      </c>
      <c r="Z513" s="9">
        <f>Y513*X513</f>
        <v/>
      </c>
      <c r="AA513" s="10">
        <f>IF(W513&gt;$AE$33,1,0)</f>
        <v/>
      </c>
      <c r="AB513">
        <f>IF(AA513=C513,1,0)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$AE$12+D514*$AE$13+E514*$AE$14+F514*$AE$15+G514*$AE$16+H514*$AE$17+I514*$AE$18+J514*$AE$19+K514*$AE$20+L514*$AE$21+M514*$AE$22+N514*$AE$23+O514*$AE$24+P514*$AE$25+Q514*$AE$26+R514*$AE$27+S514*$AE$28+T514*$AE$29+U514*$AE$30</f>
        <v/>
      </c>
      <c r="W514" s="8">
        <f>1/(1+EXP(-V514))</f>
        <v/>
      </c>
      <c r="X514" s="9">
        <f>-IF(C514=1,LN(W514),LN(1-W514))</f>
        <v/>
      </c>
      <c r="Y514" s="8">
        <f>'1 prepared data'!V507</f>
        <v/>
      </c>
      <c r="Z514" s="9">
        <f>Y514*X514</f>
        <v/>
      </c>
      <c r="AA514" s="10">
        <f>IF(W514&gt;$AE$33,1,0)</f>
        <v/>
      </c>
      <c r="AB514">
        <f>IF(AA514=C514,1,0)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$AE$12+D515*$AE$13+E515*$AE$14+F515*$AE$15+G515*$AE$16+H515*$AE$17+I515*$AE$18+J515*$AE$19+K515*$AE$20+L515*$AE$21+M515*$AE$22+N515*$AE$23+O515*$AE$24+P515*$AE$25+Q515*$AE$26+R515*$AE$27+S515*$AE$28+T515*$AE$29+U515*$AE$30</f>
        <v/>
      </c>
      <c r="W515" s="8">
        <f>1/(1+EXP(-V515))</f>
        <v/>
      </c>
      <c r="X515" s="9">
        <f>-IF(C515=1,LN(W515),LN(1-W515))</f>
        <v/>
      </c>
      <c r="Y515" s="8">
        <f>'1 prepared data'!V508</f>
        <v/>
      </c>
      <c r="Z515" s="9">
        <f>Y515*X515</f>
        <v/>
      </c>
      <c r="AA515" s="10">
        <f>IF(W515&gt;$AE$33,1,0)</f>
        <v/>
      </c>
      <c r="AB515">
        <f>IF(AA515=C515,1,0)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$AE$12+D516*$AE$13+E516*$AE$14+F516*$AE$15+G516*$AE$16+H516*$AE$17+I516*$AE$18+J516*$AE$19+K516*$AE$20+L516*$AE$21+M516*$AE$22+N516*$AE$23+O516*$AE$24+P516*$AE$25+Q516*$AE$26+R516*$AE$27+S516*$AE$28+T516*$AE$29+U516*$AE$30</f>
        <v/>
      </c>
      <c r="W516" s="8">
        <f>1/(1+EXP(-V516))</f>
        <v/>
      </c>
      <c r="X516" s="9">
        <f>-IF(C516=1,LN(W516),LN(1-W516))</f>
        <v/>
      </c>
      <c r="Y516" s="8">
        <f>'1 prepared data'!V509</f>
        <v/>
      </c>
      <c r="Z516" s="9">
        <f>Y516*X516</f>
        <v/>
      </c>
      <c r="AA516" s="10">
        <f>IF(W516&gt;$AE$33,1,0)</f>
        <v/>
      </c>
      <c r="AB516">
        <f>IF(AA516=C516,1,0)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$AE$12+D517*$AE$13+E517*$AE$14+F517*$AE$15+G517*$AE$16+H517*$AE$17+I517*$AE$18+J517*$AE$19+K517*$AE$20+L517*$AE$21+M517*$AE$22+N517*$AE$23+O517*$AE$24+P517*$AE$25+Q517*$AE$26+R517*$AE$27+S517*$AE$28+T517*$AE$29+U517*$AE$30</f>
        <v/>
      </c>
      <c r="W517" s="8">
        <f>1/(1+EXP(-V517))</f>
        <v/>
      </c>
      <c r="X517" s="9">
        <f>-IF(C517=1,LN(W517),LN(1-W517))</f>
        <v/>
      </c>
      <c r="Y517" s="8">
        <f>'1 prepared data'!V510</f>
        <v/>
      </c>
      <c r="Z517" s="9">
        <f>Y517*X517</f>
        <v/>
      </c>
      <c r="AA517" s="10">
        <f>IF(W517&gt;$AE$33,1,0)</f>
        <v/>
      </c>
      <c r="AB517">
        <f>IF(AA517=C517,1,0)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$AE$12+D518*$AE$13+E518*$AE$14+F518*$AE$15+G518*$AE$16+H518*$AE$17+I518*$AE$18+J518*$AE$19+K518*$AE$20+L518*$AE$21+M518*$AE$22+N518*$AE$23+O518*$AE$24+P518*$AE$25+Q518*$AE$26+R518*$AE$27+S518*$AE$28+T518*$AE$29+U518*$AE$30</f>
        <v/>
      </c>
      <c r="W518" s="8">
        <f>1/(1+EXP(-V518))</f>
        <v/>
      </c>
      <c r="X518" s="9">
        <f>-IF(C518=1,LN(W518),LN(1-W518))</f>
        <v/>
      </c>
      <c r="Y518" s="8">
        <f>'1 prepared data'!V511</f>
        <v/>
      </c>
      <c r="Z518" s="9">
        <f>Y518*X518</f>
        <v/>
      </c>
      <c r="AA518" s="10">
        <f>IF(W518&gt;$AE$33,1,0)</f>
        <v/>
      </c>
      <c r="AB518">
        <f>IF(AA518=C518,1,0)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$AE$12+D519*$AE$13+E519*$AE$14+F519*$AE$15+G519*$AE$16+H519*$AE$17+I519*$AE$18+J519*$AE$19+K519*$AE$20+L519*$AE$21+M519*$AE$22+N519*$AE$23+O519*$AE$24+P519*$AE$25+Q519*$AE$26+R519*$AE$27+S519*$AE$28+T519*$AE$29+U519*$AE$30</f>
        <v/>
      </c>
      <c r="W519" s="8">
        <f>1/(1+EXP(-V519))</f>
        <v/>
      </c>
      <c r="X519" s="9">
        <f>-IF(C519=1,LN(W519),LN(1-W519))</f>
        <v/>
      </c>
      <c r="Y519" s="8">
        <f>'1 prepared data'!V512</f>
        <v/>
      </c>
      <c r="Z519" s="9">
        <f>Y519*X519</f>
        <v/>
      </c>
      <c r="AA519" s="10">
        <f>IF(W519&gt;$AE$33,1,0)</f>
        <v/>
      </c>
      <c r="AB519">
        <f>IF(AA519=C519,1,0)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$AE$12+D520*$AE$13+E520*$AE$14+F520*$AE$15+G520*$AE$16+H520*$AE$17+I520*$AE$18+J520*$AE$19+K520*$AE$20+L520*$AE$21+M520*$AE$22+N520*$AE$23+O520*$AE$24+P520*$AE$25+Q520*$AE$26+R520*$AE$27+S520*$AE$28+T520*$AE$29+U520*$AE$30</f>
        <v/>
      </c>
      <c r="W520" s="8">
        <f>1/(1+EXP(-V520))</f>
        <v/>
      </c>
      <c r="X520" s="9">
        <f>-IF(C520=1,LN(W520),LN(1-W520))</f>
        <v/>
      </c>
      <c r="Y520" s="8">
        <f>'1 prepared data'!V513</f>
        <v/>
      </c>
      <c r="Z520" s="9">
        <f>Y520*X520</f>
        <v/>
      </c>
      <c r="AA520" s="10">
        <f>IF(W520&gt;$AE$33,1,0)</f>
        <v/>
      </c>
      <c r="AB520">
        <f>IF(AA520=C520,1,0)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$AE$12+D521*$AE$13+E521*$AE$14+F521*$AE$15+G521*$AE$16+H521*$AE$17+I521*$AE$18+J521*$AE$19+K521*$AE$20+L521*$AE$21+M521*$AE$22+N521*$AE$23+O521*$AE$24+P521*$AE$25+Q521*$AE$26+R521*$AE$27+S521*$AE$28+T521*$AE$29+U521*$AE$30</f>
        <v/>
      </c>
      <c r="W521" s="8">
        <f>1/(1+EXP(-V521))</f>
        <v/>
      </c>
      <c r="X521" s="9">
        <f>-IF(C521=1,LN(W521),LN(1-W521))</f>
        <v/>
      </c>
      <c r="Y521" s="8">
        <f>'1 prepared data'!V514</f>
        <v/>
      </c>
      <c r="Z521" s="9">
        <f>Y521*X521</f>
        <v/>
      </c>
      <c r="AA521" s="10">
        <f>IF(W521&gt;$AE$33,1,0)</f>
        <v/>
      </c>
      <c r="AB521">
        <f>IF(AA521=C521,1,0)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$AE$12+D522*$AE$13+E522*$AE$14+F522*$AE$15+G522*$AE$16+H522*$AE$17+I522*$AE$18+J522*$AE$19+K522*$AE$20+L522*$AE$21+M522*$AE$22+N522*$AE$23+O522*$AE$24+P522*$AE$25+Q522*$AE$26+R522*$AE$27+S522*$AE$28+T522*$AE$29+U522*$AE$30</f>
        <v/>
      </c>
      <c r="W522" s="8">
        <f>1/(1+EXP(-V522))</f>
        <v/>
      </c>
      <c r="X522" s="9">
        <f>-IF(C522=1,LN(W522),LN(1-W522))</f>
        <v/>
      </c>
      <c r="Y522" s="8">
        <f>'1 prepared data'!V515</f>
        <v/>
      </c>
      <c r="Z522" s="9">
        <f>Y522*X522</f>
        <v/>
      </c>
      <c r="AA522" s="10">
        <f>IF(W522&gt;$AE$33,1,0)</f>
        <v/>
      </c>
      <c r="AB522">
        <f>IF(AA522=C522,1,0)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$AE$12+D523*$AE$13+E523*$AE$14+F523*$AE$15+G523*$AE$16+H523*$AE$17+I523*$AE$18+J523*$AE$19+K523*$AE$20+L523*$AE$21+M523*$AE$22+N523*$AE$23+O523*$AE$24+P523*$AE$25+Q523*$AE$26+R523*$AE$27+S523*$AE$28+T523*$AE$29+U523*$AE$30</f>
        <v/>
      </c>
      <c r="W523" s="8">
        <f>1/(1+EXP(-V523))</f>
        <v/>
      </c>
      <c r="X523" s="9">
        <f>-IF(C523=1,LN(W523),LN(1-W523))</f>
        <v/>
      </c>
      <c r="Y523" s="8">
        <f>'1 prepared data'!V516</f>
        <v/>
      </c>
      <c r="Z523" s="9">
        <f>Y523*X523</f>
        <v/>
      </c>
      <c r="AA523" s="10">
        <f>IF(W523&gt;$AE$33,1,0)</f>
        <v/>
      </c>
      <c r="AB523">
        <f>IF(AA523=C523,1,0)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$AE$12+D524*$AE$13+E524*$AE$14+F524*$AE$15+G524*$AE$16+H524*$AE$17+I524*$AE$18+J524*$AE$19+K524*$AE$20+L524*$AE$21+M524*$AE$22+N524*$AE$23+O524*$AE$24+P524*$AE$25+Q524*$AE$26+R524*$AE$27+S524*$AE$28+T524*$AE$29+U524*$AE$30</f>
        <v/>
      </c>
      <c r="W524" s="8">
        <f>1/(1+EXP(-V524))</f>
        <v/>
      </c>
      <c r="X524" s="9">
        <f>-IF(C524=1,LN(W524),LN(1-W524))</f>
        <v/>
      </c>
      <c r="Y524" s="8">
        <f>'1 prepared data'!V517</f>
        <v/>
      </c>
      <c r="Z524" s="9">
        <f>Y524*X524</f>
        <v/>
      </c>
      <c r="AA524" s="10">
        <f>IF(W524&gt;$AE$33,1,0)</f>
        <v/>
      </c>
      <c r="AB524">
        <f>IF(AA524=C524,1,0)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$AE$12+D525*$AE$13+E525*$AE$14+F525*$AE$15+G525*$AE$16+H525*$AE$17+I525*$AE$18+J525*$AE$19+K525*$AE$20+L525*$AE$21+M525*$AE$22+N525*$AE$23+O525*$AE$24+P525*$AE$25+Q525*$AE$26+R525*$AE$27+S525*$AE$28+T525*$AE$29+U525*$AE$30</f>
        <v/>
      </c>
      <c r="W525" s="8">
        <f>1/(1+EXP(-V525))</f>
        <v/>
      </c>
      <c r="X525" s="9">
        <f>-IF(C525=1,LN(W525),LN(1-W525))</f>
        <v/>
      </c>
      <c r="Y525" s="8">
        <f>'1 prepared data'!V518</f>
        <v/>
      </c>
      <c r="Z525" s="9">
        <f>Y525*X525</f>
        <v/>
      </c>
      <c r="AA525" s="10">
        <f>IF(W525&gt;$AE$33,1,0)</f>
        <v/>
      </c>
      <c r="AB525">
        <f>IF(AA525=C525,1,0)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$AE$12+D526*$AE$13+E526*$AE$14+F526*$AE$15+G526*$AE$16+H526*$AE$17+I526*$AE$18+J526*$AE$19+K526*$AE$20+L526*$AE$21+M526*$AE$22+N526*$AE$23+O526*$AE$24+P526*$AE$25+Q526*$AE$26+R526*$AE$27+S526*$AE$28+T526*$AE$29+U526*$AE$30</f>
        <v/>
      </c>
      <c r="W526" s="8">
        <f>1/(1+EXP(-V526))</f>
        <v/>
      </c>
      <c r="X526" s="9">
        <f>-IF(C526=1,LN(W526),LN(1-W526))</f>
        <v/>
      </c>
      <c r="Y526" s="8">
        <f>'1 prepared data'!V519</f>
        <v/>
      </c>
      <c r="Z526" s="9">
        <f>Y526*X526</f>
        <v/>
      </c>
      <c r="AA526" s="10">
        <f>IF(W526&gt;$AE$33,1,0)</f>
        <v/>
      </c>
      <c r="AB526">
        <f>IF(AA526=C526,1,0)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$AE$12+D527*$AE$13+E527*$AE$14+F527*$AE$15+G527*$AE$16+H527*$AE$17+I527*$AE$18+J527*$AE$19+K527*$AE$20+L527*$AE$21+M527*$AE$22+N527*$AE$23+O527*$AE$24+P527*$AE$25+Q527*$AE$26+R527*$AE$27+S527*$AE$28+T527*$AE$29+U527*$AE$30</f>
        <v/>
      </c>
      <c r="W527" s="8">
        <f>1/(1+EXP(-V527))</f>
        <v/>
      </c>
      <c r="X527" s="9">
        <f>-IF(C527=1,LN(W527),LN(1-W527))</f>
        <v/>
      </c>
      <c r="Y527" s="8">
        <f>'1 prepared data'!V520</f>
        <v/>
      </c>
      <c r="Z527" s="9">
        <f>Y527*X527</f>
        <v/>
      </c>
      <c r="AA527" s="10">
        <f>IF(W527&gt;$AE$33,1,0)</f>
        <v/>
      </c>
      <c r="AB527">
        <f>IF(AA527=C527,1,0)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$AE$12+D528*$AE$13+E528*$AE$14+F528*$AE$15+G528*$AE$16+H528*$AE$17+I528*$AE$18+J528*$AE$19+K528*$AE$20+L528*$AE$21+M528*$AE$22+N528*$AE$23+O528*$AE$24+P528*$AE$25+Q528*$AE$26+R528*$AE$27+S528*$AE$28+T528*$AE$29+U528*$AE$30</f>
        <v/>
      </c>
      <c r="W528" s="8">
        <f>1/(1+EXP(-V528))</f>
        <v/>
      </c>
      <c r="X528" s="9">
        <f>-IF(C528=1,LN(W528),LN(1-W528))</f>
        <v/>
      </c>
      <c r="Y528" s="8">
        <f>'1 prepared data'!V521</f>
        <v/>
      </c>
      <c r="Z528" s="9">
        <f>Y528*X528</f>
        <v/>
      </c>
      <c r="AA528" s="10">
        <f>IF(W528&gt;$AE$33,1,0)</f>
        <v/>
      </c>
      <c r="AB528">
        <f>IF(AA528=C528,1,0)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$AE$12+D529*$AE$13+E529*$AE$14+F529*$AE$15+G529*$AE$16+H529*$AE$17+I529*$AE$18+J529*$AE$19+K529*$AE$20+L529*$AE$21+M529*$AE$22+N529*$AE$23+O529*$AE$24+P529*$AE$25+Q529*$AE$26+R529*$AE$27+S529*$AE$28+T529*$AE$29+U529*$AE$30</f>
        <v/>
      </c>
      <c r="W529" s="8">
        <f>1/(1+EXP(-V529))</f>
        <v/>
      </c>
      <c r="X529" s="9">
        <f>-IF(C529=1,LN(W529),LN(1-W529))</f>
        <v/>
      </c>
      <c r="Y529" s="8">
        <f>'1 prepared data'!V522</f>
        <v/>
      </c>
      <c r="Z529" s="9">
        <f>Y529*X529</f>
        <v/>
      </c>
      <c r="AA529" s="10">
        <f>IF(W529&gt;$AE$33,1,0)</f>
        <v/>
      </c>
      <c r="AB529">
        <f>IF(AA529=C529,1,0)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$AE$12+D530*$AE$13+E530*$AE$14+F530*$AE$15+G530*$AE$16+H530*$AE$17+I530*$AE$18+J530*$AE$19+K530*$AE$20+L530*$AE$21+M530*$AE$22+N530*$AE$23+O530*$AE$24+P530*$AE$25+Q530*$AE$26+R530*$AE$27+S530*$AE$28+T530*$AE$29+U530*$AE$30</f>
        <v/>
      </c>
      <c r="W530" s="8">
        <f>1/(1+EXP(-V530))</f>
        <v/>
      </c>
      <c r="X530" s="9">
        <f>-IF(C530=1,LN(W530),LN(1-W530))</f>
        <v/>
      </c>
      <c r="Y530" s="8">
        <f>'1 prepared data'!V523</f>
        <v/>
      </c>
      <c r="Z530" s="9">
        <f>Y530*X530</f>
        <v/>
      </c>
      <c r="AA530" s="10">
        <f>IF(W530&gt;$AE$33,1,0)</f>
        <v/>
      </c>
      <c r="AB530">
        <f>IF(AA530=C530,1,0)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$AE$12+D531*$AE$13+E531*$AE$14+F531*$AE$15+G531*$AE$16+H531*$AE$17+I531*$AE$18+J531*$AE$19+K531*$AE$20+L531*$AE$21+M531*$AE$22+N531*$AE$23+O531*$AE$24+P531*$AE$25+Q531*$AE$26+R531*$AE$27+S531*$AE$28+T531*$AE$29+U531*$AE$30</f>
        <v/>
      </c>
      <c r="W531" s="8">
        <f>1/(1+EXP(-V531))</f>
        <v/>
      </c>
      <c r="X531" s="9">
        <f>-IF(C531=1,LN(W531),LN(1-W531))</f>
        <v/>
      </c>
      <c r="Y531" s="8">
        <f>'1 prepared data'!V524</f>
        <v/>
      </c>
      <c r="Z531" s="9">
        <f>Y531*X531</f>
        <v/>
      </c>
      <c r="AA531" s="10">
        <f>IF(W531&gt;$AE$33,1,0)</f>
        <v/>
      </c>
      <c r="AB531">
        <f>IF(AA531=C531,1,0)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$AE$12+D532*$AE$13+E532*$AE$14+F532*$AE$15+G532*$AE$16+H532*$AE$17+I532*$AE$18+J532*$AE$19+K532*$AE$20+L532*$AE$21+M532*$AE$22+N532*$AE$23+O532*$AE$24+P532*$AE$25+Q532*$AE$26+R532*$AE$27+S532*$AE$28+T532*$AE$29+U532*$AE$30</f>
        <v/>
      </c>
      <c r="W532" s="8">
        <f>1/(1+EXP(-V532))</f>
        <v/>
      </c>
      <c r="X532" s="9">
        <f>-IF(C532=1,LN(W532),LN(1-W532))</f>
        <v/>
      </c>
      <c r="Y532" s="8">
        <f>'1 prepared data'!V525</f>
        <v/>
      </c>
      <c r="Z532" s="9">
        <f>Y532*X532</f>
        <v/>
      </c>
      <c r="AA532" s="10">
        <f>IF(W532&gt;$AE$33,1,0)</f>
        <v/>
      </c>
      <c r="AB532">
        <f>IF(AA532=C532,1,0)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$AE$12+D533*$AE$13+E533*$AE$14+F533*$AE$15+G533*$AE$16+H533*$AE$17+I533*$AE$18+J533*$AE$19+K533*$AE$20+L533*$AE$21+M533*$AE$22+N533*$AE$23+O533*$AE$24+P533*$AE$25+Q533*$AE$26+R533*$AE$27+S533*$AE$28+T533*$AE$29+U533*$AE$30</f>
        <v/>
      </c>
      <c r="W533" s="8">
        <f>1/(1+EXP(-V533))</f>
        <v/>
      </c>
      <c r="X533" s="9">
        <f>-IF(C533=1,LN(W533),LN(1-W533))</f>
        <v/>
      </c>
      <c r="Y533" s="8">
        <f>'1 prepared data'!V526</f>
        <v/>
      </c>
      <c r="Z533" s="9">
        <f>Y533*X533</f>
        <v/>
      </c>
      <c r="AA533" s="10">
        <f>IF(W533&gt;$AE$33,1,0)</f>
        <v/>
      </c>
      <c r="AB533">
        <f>IF(AA533=C533,1,0)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$AE$12+D534*$AE$13+E534*$AE$14+F534*$AE$15+G534*$AE$16+H534*$AE$17+I534*$AE$18+J534*$AE$19+K534*$AE$20+L534*$AE$21+M534*$AE$22+N534*$AE$23+O534*$AE$24+P534*$AE$25+Q534*$AE$26+R534*$AE$27+S534*$AE$28+T534*$AE$29+U534*$AE$30</f>
        <v/>
      </c>
      <c r="W534" s="8">
        <f>1/(1+EXP(-V534))</f>
        <v/>
      </c>
      <c r="X534" s="9">
        <f>-IF(C534=1,LN(W534),LN(1-W534))</f>
        <v/>
      </c>
      <c r="Y534" s="8">
        <f>'1 prepared data'!V527</f>
        <v/>
      </c>
      <c r="Z534" s="9">
        <f>Y534*X534</f>
        <v/>
      </c>
      <c r="AA534" s="10">
        <f>IF(W534&gt;$AE$33,1,0)</f>
        <v/>
      </c>
      <c r="AB534">
        <f>IF(AA534=C534,1,0)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$AE$12+D535*$AE$13+E535*$AE$14+F535*$AE$15+G535*$AE$16+H535*$AE$17+I535*$AE$18+J535*$AE$19+K535*$AE$20+L535*$AE$21+M535*$AE$22+N535*$AE$23+O535*$AE$24+P535*$AE$25+Q535*$AE$26+R535*$AE$27+S535*$AE$28+T535*$AE$29+U535*$AE$30</f>
        <v/>
      </c>
      <c r="W535" s="8">
        <f>1/(1+EXP(-V535))</f>
        <v/>
      </c>
      <c r="X535" s="9">
        <f>-IF(C535=1,LN(W535),LN(1-W535))</f>
        <v/>
      </c>
      <c r="Y535" s="8">
        <f>'1 prepared data'!V528</f>
        <v/>
      </c>
      <c r="Z535" s="9">
        <f>Y535*X535</f>
        <v/>
      </c>
      <c r="AA535" s="10">
        <f>IF(W535&gt;$AE$33,1,0)</f>
        <v/>
      </c>
      <c r="AB535">
        <f>IF(AA535=C535,1,0)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$AE$12+D536*$AE$13+E536*$AE$14+F536*$AE$15+G536*$AE$16+H536*$AE$17+I536*$AE$18+J536*$AE$19+K536*$AE$20+L536*$AE$21+M536*$AE$22+N536*$AE$23+O536*$AE$24+P536*$AE$25+Q536*$AE$26+R536*$AE$27+S536*$AE$28+T536*$AE$29+U536*$AE$30</f>
        <v/>
      </c>
      <c r="W536" s="8">
        <f>1/(1+EXP(-V536))</f>
        <v/>
      </c>
      <c r="X536" s="9">
        <f>-IF(C536=1,LN(W536),LN(1-W536))</f>
        <v/>
      </c>
      <c r="Y536" s="8">
        <f>'1 prepared data'!V529</f>
        <v/>
      </c>
      <c r="Z536" s="9">
        <f>Y536*X536</f>
        <v/>
      </c>
      <c r="AA536" s="10">
        <f>IF(W536&gt;$AE$33,1,0)</f>
        <v/>
      </c>
      <c r="AB536">
        <f>IF(AA536=C536,1,0)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$AE$12+D537*$AE$13+E537*$AE$14+F537*$AE$15+G537*$AE$16+H537*$AE$17+I537*$AE$18+J537*$AE$19+K537*$AE$20+L537*$AE$21+M537*$AE$22+N537*$AE$23+O537*$AE$24+P537*$AE$25+Q537*$AE$26+R537*$AE$27+S537*$AE$28+T537*$AE$29+U537*$AE$30</f>
        <v/>
      </c>
      <c r="W537" s="8">
        <f>1/(1+EXP(-V537))</f>
        <v/>
      </c>
      <c r="X537" s="9">
        <f>-IF(C537=1,LN(W537),LN(1-W537))</f>
        <v/>
      </c>
      <c r="Y537" s="8">
        <f>'1 prepared data'!V530</f>
        <v/>
      </c>
      <c r="Z537" s="9">
        <f>Y537*X537</f>
        <v/>
      </c>
      <c r="AA537" s="10">
        <f>IF(W537&gt;$AE$33,1,0)</f>
        <v/>
      </c>
      <c r="AB537">
        <f>IF(AA537=C537,1,0)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$AE$12+D538*$AE$13+E538*$AE$14+F538*$AE$15+G538*$AE$16+H538*$AE$17+I538*$AE$18+J538*$AE$19+K538*$AE$20+L538*$AE$21+M538*$AE$22+N538*$AE$23+O538*$AE$24+P538*$AE$25+Q538*$AE$26+R538*$AE$27+S538*$AE$28+T538*$AE$29+U538*$AE$30</f>
        <v/>
      </c>
      <c r="W538" s="8">
        <f>1/(1+EXP(-V538))</f>
        <v/>
      </c>
      <c r="X538" s="9">
        <f>-IF(C538=1,LN(W538),LN(1-W538))</f>
        <v/>
      </c>
      <c r="Y538" s="8">
        <f>'1 prepared data'!V531</f>
        <v/>
      </c>
      <c r="Z538" s="9">
        <f>Y538*X538</f>
        <v/>
      </c>
      <c r="AA538" s="10">
        <f>IF(W538&gt;$AE$33,1,0)</f>
        <v/>
      </c>
      <c r="AB538">
        <f>IF(AA538=C538,1,0)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$AE$12+D539*$AE$13+E539*$AE$14+F539*$AE$15+G539*$AE$16+H539*$AE$17+I539*$AE$18+J539*$AE$19+K539*$AE$20+L539*$AE$21+M539*$AE$22+N539*$AE$23+O539*$AE$24+P539*$AE$25+Q539*$AE$26+R539*$AE$27+S539*$AE$28+T539*$AE$29+U539*$AE$30</f>
        <v/>
      </c>
      <c r="W539" s="8">
        <f>1/(1+EXP(-V539))</f>
        <v/>
      </c>
      <c r="X539" s="9">
        <f>-IF(C539=1,LN(W539),LN(1-W539))</f>
        <v/>
      </c>
      <c r="Y539" s="8">
        <f>'1 prepared data'!V532</f>
        <v/>
      </c>
      <c r="Z539" s="9">
        <f>Y539*X539</f>
        <v/>
      </c>
      <c r="AA539" s="10">
        <f>IF(W539&gt;$AE$33,1,0)</f>
        <v/>
      </c>
      <c r="AB539">
        <f>IF(AA539=C539,1,0)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$AE$12+D540*$AE$13+E540*$AE$14+F540*$AE$15+G540*$AE$16+H540*$AE$17+I540*$AE$18+J540*$AE$19+K540*$AE$20+L540*$AE$21+M540*$AE$22+N540*$AE$23+O540*$AE$24+P540*$AE$25+Q540*$AE$26+R540*$AE$27+S540*$AE$28+T540*$AE$29+U540*$AE$30</f>
        <v/>
      </c>
      <c r="W540" s="8">
        <f>1/(1+EXP(-V540))</f>
        <v/>
      </c>
      <c r="X540" s="9">
        <f>-IF(C540=1,LN(W540),LN(1-W540))</f>
        <v/>
      </c>
      <c r="Y540" s="8">
        <f>'1 prepared data'!V533</f>
        <v/>
      </c>
      <c r="Z540" s="9">
        <f>Y540*X540</f>
        <v/>
      </c>
      <c r="AA540" s="10">
        <f>IF(W540&gt;$AE$33,1,0)</f>
        <v/>
      </c>
      <c r="AB540">
        <f>IF(AA540=C540,1,0)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$AE$12+D541*$AE$13+E541*$AE$14+F541*$AE$15+G541*$AE$16+H541*$AE$17+I541*$AE$18+J541*$AE$19+K541*$AE$20+L541*$AE$21+M541*$AE$22+N541*$AE$23+O541*$AE$24+P541*$AE$25+Q541*$AE$26+R541*$AE$27+S541*$AE$28+T541*$AE$29+U541*$AE$30</f>
        <v/>
      </c>
      <c r="W541" s="8">
        <f>1/(1+EXP(-V541))</f>
        <v/>
      </c>
      <c r="X541" s="9">
        <f>-IF(C541=1,LN(W541),LN(1-W541))</f>
        <v/>
      </c>
      <c r="Y541" s="8">
        <f>'1 prepared data'!V534</f>
        <v/>
      </c>
      <c r="Z541" s="9">
        <f>Y541*X541</f>
        <v/>
      </c>
      <c r="AA541" s="10">
        <f>IF(W541&gt;$AE$33,1,0)</f>
        <v/>
      </c>
      <c r="AB541">
        <f>IF(AA541=C541,1,0)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$AE$12+D542*$AE$13+E542*$AE$14+F542*$AE$15+G542*$AE$16+H542*$AE$17+I542*$AE$18+J542*$AE$19+K542*$AE$20+L542*$AE$21+M542*$AE$22+N542*$AE$23+O542*$AE$24+P542*$AE$25+Q542*$AE$26+R542*$AE$27+S542*$AE$28+T542*$AE$29+U542*$AE$30</f>
        <v/>
      </c>
      <c r="W542" s="8">
        <f>1/(1+EXP(-V542))</f>
        <v/>
      </c>
      <c r="X542" s="9">
        <f>-IF(C542=1,LN(W542),LN(1-W542))</f>
        <v/>
      </c>
      <c r="Y542" s="8">
        <f>'1 prepared data'!V535</f>
        <v/>
      </c>
      <c r="Z542" s="9">
        <f>Y542*X542</f>
        <v/>
      </c>
      <c r="AA542" s="10">
        <f>IF(W542&gt;$AE$33,1,0)</f>
        <v/>
      </c>
      <c r="AB542">
        <f>IF(AA542=C542,1,0)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$AE$12+D543*$AE$13+E543*$AE$14+F543*$AE$15+G543*$AE$16+H543*$AE$17+I543*$AE$18+J543*$AE$19+K543*$AE$20+L543*$AE$21+M543*$AE$22+N543*$AE$23+O543*$AE$24+P543*$AE$25+Q543*$AE$26+R543*$AE$27+S543*$AE$28+T543*$AE$29+U543*$AE$30</f>
        <v/>
      </c>
      <c r="W543" s="8">
        <f>1/(1+EXP(-V543))</f>
        <v/>
      </c>
      <c r="X543" s="9">
        <f>-IF(C543=1,LN(W543),LN(1-W543))</f>
        <v/>
      </c>
      <c r="Y543" s="8">
        <f>'1 prepared data'!V536</f>
        <v/>
      </c>
      <c r="Z543" s="9">
        <f>Y543*X543</f>
        <v/>
      </c>
      <c r="AA543" s="10">
        <f>IF(W543&gt;$AE$33,1,0)</f>
        <v/>
      </c>
      <c r="AB543">
        <f>IF(AA543=C543,1,0)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$AE$12+D544*$AE$13+E544*$AE$14+F544*$AE$15+G544*$AE$16+H544*$AE$17+I544*$AE$18+J544*$AE$19+K544*$AE$20+L544*$AE$21+M544*$AE$22+N544*$AE$23+O544*$AE$24+P544*$AE$25+Q544*$AE$26+R544*$AE$27+S544*$AE$28+T544*$AE$29+U544*$AE$30</f>
        <v/>
      </c>
      <c r="W544" s="8">
        <f>1/(1+EXP(-V544))</f>
        <v/>
      </c>
      <c r="X544" s="9">
        <f>-IF(C544=1,LN(W544),LN(1-W544))</f>
        <v/>
      </c>
      <c r="Y544" s="8">
        <f>'1 prepared data'!V537</f>
        <v/>
      </c>
      <c r="Z544" s="9">
        <f>Y544*X544</f>
        <v/>
      </c>
      <c r="AA544" s="10">
        <f>IF(W544&gt;$AE$33,1,0)</f>
        <v/>
      </c>
      <c r="AB544">
        <f>IF(AA544=C544,1,0)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$AE$12+D545*$AE$13+E545*$AE$14+F545*$AE$15+G545*$AE$16+H545*$AE$17+I545*$AE$18+J545*$AE$19+K545*$AE$20+L545*$AE$21+M545*$AE$22+N545*$AE$23+O545*$AE$24+P545*$AE$25+Q545*$AE$26+R545*$AE$27+S545*$AE$28+T545*$AE$29+U545*$AE$30</f>
        <v/>
      </c>
      <c r="W545" s="8">
        <f>1/(1+EXP(-V545))</f>
        <v/>
      </c>
      <c r="X545" s="9">
        <f>-IF(C545=1,LN(W545),LN(1-W545))</f>
        <v/>
      </c>
      <c r="Y545" s="8">
        <f>'1 prepared data'!V538</f>
        <v/>
      </c>
      <c r="Z545" s="9">
        <f>Y545*X545</f>
        <v/>
      </c>
      <c r="AA545" s="10">
        <f>IF(W545&gt;$AE$33,1,0)</f>
        <v/>
      </c>
      <c r="AB545">
        <f>IF(AA545=C545,1,0)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$AE$12+D546*$AE$13+E546*$AE$14+F546*$AE$15+G546*$AE$16+H546*$AE$17+I546*$AE$18+J546*$AE$19+K546*$AE$20+L546*$AE$21+M546*$AE$22+N546*$AE$23+O546*$AE$24+P546*$AE$25+Q546*$AE$26+R546*$AE$27+S546*$AE$28+T546*$AE$29+U546*$AE$30</f>
        <v/>
      </c>
      <c r="W546" s="8">
        <f>1/(1+EXP(-V546))</f>
        <v/>
      </c>
      <c r="X546" s="9">
        <f>-IF(C546=1,LN(W546),LN(1-W546))</f>
        <v/>
      </c>
      <c r="Y546" s="8">
        <f>'1 prepared data'!V539</f>
        <v/>
      </c>
      <c r="Z546" s="9">
        <f>Y546*X546</f>
        <v/>
      </c>
      <c r="AA546" s="10">
        <f>IF(W546&gt;$AE$33,1,0)</f>
        <v/>
      </c>
      <c r="AB546">
        <f>IF(AA546=C546,1,0)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$AE$12+D547*$AE$13+E547*$AE$14+F547*$AE$15+G547*$AE$16+H547*$AE$17+I547*$AE$18+J547*$AE$19+K547*$AE$20+L547*$AE$21+M547*$AE$22+N547*$AE$23+O547*$AE$24+P547*$AE$25+Q547*$AE$26+R547*$AE$27+S547*$AE$28+T547*$AE$29+U547*$AE$30</f>
        <v/>
      </c>
      <c r="W547" s="8">
        <f>1/(1+EXP(-V547))</f>
        <v/>
      </c>
      <c r="X547" s="9">
        <f>-IF(C547=1,LN(W547),LN(1-W547))</f>
        <v/>
      </c>
      <c r="Y547" s="8">
        <f>'1 prepared data'!V540</f>
        <v/>
      </c>
      <c r="Z547" s="9">
        <f>Y547*X547</f>
        <v/>
      </c>
      <c r="AA547" s="10">
        <f>IF(W547&gt;$AE$33,1,0)</f>
        <v/>
      </c>
      <c r="AB547">
        <f>IF(AA547=C547,1,0)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$AE$12+D548*$AE$13+E548*$AE$14+F548*$AE$15+G548*$AE$16+H548*$AE$17+I548*$AE$18+J548*$AE$19+K548*$AE$20+L548*$AE$21+M548*$AE$22+N548*$AE$23+O548*$AE$24+P548*$AE$25+Q548*$AE$26+R548*$AE$27+S548*$AE$28+T548*$AE$29+U548*$AE$30</f>
        <v/>
      </c>
      <c r="W548" s="8">
        <f>1/(1+EXP(-V548))</f>
        <v/>
      </c>
      <c r="X548" s="9">
        <f>-IF(C548=1,LN(W548),LN(1-W548))</f>
        <v/>
      </c>
      <c r="Y548" s="8">
        <f>'1 prepared data'!V541</f>
        <v/>
      </c>
      <c r="Z548" s="9">
        <f>Y548*X548</f>
        <v/>
      </c>
      <c r="AA548" s="10">
        <f>IF(W548&gt;$AE$33,1,0)</f>
        <v/>
      </c>
      <c r="AB548">
        <f>IF(AA548=C548,1,0)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$AE$12+D549*$AE$13+E549*$AE$14+F549*$AE$15+G549*$AE$16+H549*$AE$17+I549*$AE$18+J549*$AE$19+K549*$AE$20+L549*$AE$21+M549*$AE$22+N549*$AE$23+O549*$AE$24+P549*$AE$25+Q549*$AE$26+R549*$AE$27+S549*$AE$28+T549*$AE$29+U549*$AE$30</f>
        <v/>
      </c>
      <c r="W549" s="8">
        <f>1/(1+EXP(-V549))</f>
        <v/>
      </c>
      <c r="X549" s="9">
        <f>-IF(C549=1,LN(W549),LN(1-W549))</f>
        <v/>
      </c>
      <c r="Y549" s="8">
        <f>'1 prepared data'!V542</f>
        <v/>
      </c>
      <c r="Z549" s="9">
        <f>Y549*X549</f>
        <v/>
      </c>
      <c r="AA549" s="10">
        <f>IF(W549&gt;$AE$33,1,0)</f>
        <v/>
      </c>
      <c r="AB549">
        <f>IF(AA549=C549,1,0)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$AE$12+D550*$AE$13+E550*$AE$14+F550*$AE$15+G550*$AE$16+H550*$AE$17+I550*$AE$18+J550*$AE$19+K550*$AE$20+L550*$AE$21+M550*$AE$22+N550*$AE$23+O550*$AE$24+P550*$AE$25+Q550*$AE$26+R550*$AE$27+S550*$AE$28+T550*$AE$29+U550*$AE$30</f>
        <v/>
      </c>
      <c r="W550" s="8">
        <f>1/(1+EXP(-V550))</f>
        <v/>
      </c>
      <c r="X550" s="9">
        <f>-IF(C550=1,LN(W550),LN(1-W550))</f>
        <v/>
      </c>
      <c r="Y550" s="8">
        <f>'1 prepared data'!V543</f>
        <v/>
      </c>
      <c r="Z550" s="9">
        <f>Y550*X550</f>
        <v/>
      </c>
      <c r="AA550" s="10">
        <f>IF(W550&gt;$AE$33,1,0)</f>
        <v/>
      </c>
      <c r="AB550">
        <f>IF(AA550=C550,1,0)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$AE$12+D551*$AE$13+E551*$AE$14+F551*$AE$15+G551*$AE$16+H551*$AE$17+I551*$AE$18+J551*$AE$19+K551*$AE$20+L551*$AE$21+M551*$AE$22+N551*$AE$23+O551*$AE$24+P551*$AE$25+Q551*$AE$26+R551*$AE$27+S551*$AE$28+T551*$AE$29+U551*$AE$30</f>
        <v/>
      </c>
      <c r="W551" s="8">
        <f>1/(1+EXP(-V551))</f>
        <v/>
      </c>
      <c r="X551" s="9">
        <f>-IF(C551=1,LN(W551),LN(1-W551))</f>
        <v/>
      </c>
      <c r="Y551" s="8">
        <f>'1 prepared data'!V544</f>
        <v/>
      </c>
      <c r="Z551" s="9">
        <f>Y551*X551</f>
        <v/>
      </c>
      <c r="AA551" s="10">
        <f>IF(W551&gt;$AE$33,1,0)</f>
        <v/>
      </c>
      <c r="AB551">
        <f>IF(AA551=C551,1,0)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$AE$12+D552*$AE$13+E552*$AE$14+F552*$AE$15+G552*$AE$16+H552*$AE$17+I552*$AE$18+J552*$AE$19+K552*$AE$20+L552*$AE$21+M552*$AE$22+N552*$AE$23+O552*$AE$24+P552*$AE$25+Q552*$AE$26+R552*$AE$27+S552*$AE$28+T552*$AE$29+U552*$AE$30</f>
        <v/>
      </c>
      <c r="W552" s="8">
        <f>1/(1+EXP(-V552))</f>
        <v/>
      </c>
      <c r="X552" s="9">
        <f>-IF(C552=1,LN(W552),LN(1-W552))</f>
        <v/>
      </c>
      <c r="Y552" s="8">
        <f>'1 prepared data'!V545</f>
        <v/>
      </c>
      <c r="Z552" s="9">
        <f>Y552*X552</f>
        <v/>
      </c>
      <c r="AA552" s="10">
        <f>IF(W552&gt;$AE$33,1,0)</f>
        <v/>
      </c>
      <c r="AB552">
        <f>IF(AA552=C552,1,0)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$AE$12+D553*$AE$13+E553*$AE$14+F553*$AE$15+G553*$AE$16+H553*$AE$17+I553*$AE$18+J553*$AE$19+K553*$AE$20+L553*$AE$21+M553*$AE$22+N553*$AE$23+O553*$AE$24+P553*$AE$25+Q553*$AE$26+R553*$AE$27+S553*$AE$28+T553*$AE$29+U553*$AE$30</f>
        <v/>
      </c>
      <c r="W553" s="8">
        <f>1/(1+EXP(-V553))</f>
        <v/>
      </c>
      <c r="X553" s="9">
        <f>-IF(C553=1,LN(W553),LN(1-W553))</f>
        <v/>
      </c>
      <c r="Y553" s="8">
        <f>'1 prepared data'!V546</f>
        <v/>
      </c>
      <c r="Z553" s="9">
        <f>Y553*X553</f>
        <v/>
      </c>
      <c r="AA553" s="10">
        <f>IF(W553&gt;$AE$33,1,0)</f>
        <v/>
      </c>
      <c r="AB553">
        <f>IF(AA553=C553,1,0)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$AE$12+D554*$AE$13+E554*$AE$14+F554*$AE$15+G554*$AE$16+H554*$AE$17+I554*$AE$18+J554*$AE$19+K554*$AE$20+L554*$AE$21+M554*$AE$22+N554*$AE$23+O554*$AE$24+P554*$AE$25+Q554*$AE$26+R554*$AE$27+S554*$AE$28+T554*$AE$29+U554*$AE$30</f>
        <v/>
      </c>
      <c r="W554" s="8">
        <f>1/(1+EXP(-V554))</f>
        <v/>
      </c>
      <c r="X554" s="9">
        <f>-IF(C554=1,LN(W554),LN(1-W554))</f>
        <v/>
      </c>
      <c r="Y554" s="8">
        <f>'1 prepared data'!V547</f>
        <v/>
      </c>
      <c r="Z554" s="9">
        <f>Y554*X554</f>
        <v/>
      </c>
      <c r="AA554" s="10">
        <f>IF(W554&gt;$AE$33,1,0)</f>
        <v/>
      </c>
      <c r="AB554">
        <f>IF(AA554=C554,1,0)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$AE$12+D555*$AE$13+E555*$AE$14+F555*$AE$15+G555*$AE$16+H555*$AE$17+I555*$AE$18+J555*$AE$19+K555*$AE$20+L555*$AE$21+M555*$AE$22+N555*$AE$23+O555*$AE$24+P555*$AE$25+Q555*$AE$26+R555*$AE$27+S555*$AE$28+T555*$AE$29+U555*$AE$30</f>
        <v/>
      </c>
      <c r="W555" s="8">
        <f>1/(1+EXP(-V555))</f>
        <v/>
      </c>
      <c r="X555" s="9">
        <f>-IF(C555=1,LN(W555),LN(1-W555))</f>
        <v/>
      </c>
      <c r="Y555" s="8">
        <f>'1 prepared data'!V548</f>
        <v/>
      </c>
      <c r="Z555" s="9">
        <f>Y555*X555</f>
        <v/>
      </c>
      <c r="AA555" s="10">
        <f>IF(W555&gt;$AE$33,1,0)</f>
        <v/>
      </c>
      <c r="AB555">
        <f>IF(AA555=C555,1,0)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$AE$12+D556*$AE$13+E556*$AE$14+F556*$AE$15+G556*$AE$16+H556*$AE$17+I556*$AE$18+J556*$AE$19+K556*$AE$20+L556*$AE$21+M556*$AE$22+N556*$AE$23+O556*$AE$24+P556*$AE$25+Q556*$AE$26+R556*$AE$27+S556*$AE$28+T556*$AE$29+U556*$AE$30</f>
        <v/>
      </c>
      <c r="W556" s="8">
        <f>1/(1+EXP(-V556))</f>
        <v/>
      </c>
      <c r="X556" s="9">
        <f>-IF(C556=1,LN(W556),LN(1-W556))</f>
        <v/>
      </c>
      <c r="Y556" s="8">
        <f>'1 prepared data'!V549</f>
        <v/>
      </c>
      <c r="Z556" s="9">
        <f>Y556*X556</f>
        <v/>
      </c>
      <c r="AA556" s="10">
        <f>IF(W556&gt;$AE$33,1,0)</f>
        <v/>
      </c>
      <c r="AB556">
        <f>IF(AA556=C556,1,0)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$AE$12+D557*$AE$13+E557*$AE$14+F557*$AE$15+G557*$AE$16+H557*$AE$17+I557*$AE$18+J557*$AE$19+K557*$AE$20+L557*$AE$21+M557*$AE$22+N557*$AE$23+O557*$AE$24+P557*$AE$25+Q557*$AE$26+R557*$AE$27+S557*$AE$28+T557*$AE$29+U557*$AE$30</f>
        <v/>
      </c>
      <c r="W557" s="8">
        <f>1/(1+EXP(-V557))</f>
        <v/>
      </c>
      <c r="X557" s="9">
        <f>-IF(C557=1,LN(W557),LN(1-W557))</f>
        <v/>
      </c>
      <c r="Y557" s="8">
        <f>'1 prepared data'!V550</f>
        <v/>
      </c>
      <c r="Z557" s="9">
        <f>Y557*X557</f>
        <v/>
      </c>
      <c r="AA557" s="10">
        <f>IF(W557&gt;$AE$33,1,0)</f>
        <v/>
      </c>
      <c r="AB557">
        <f>IF(AA557=C557,1,0)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$AE$12+D558*$AE$13+E558*$AE$14+F558*$AE$15+G558*$AE$16+H558*$AE$17+I558*$AE$18+J558*$AE$19+K558*$AE$20+L558*$AE$21+M558*$AE$22+N558*$AE$23+O558*$AE$24+P558*$AE$25+Q558*$AE$26+R558*$AE$27+S558*$AE$28+T558*$AE$29+U558*$AE$30</f>
        <v/>
      </c>
      <c r="W558" s="8">
        <f>1/(1+EXP(-V558))</f>
        <v/>
      </c>
      <c r="X558" s="9">
        <f>-IF(C558=1,LN(W558),LN(1-W558))</f>
        <v/>
      </c>
      <c r="Y558" s="8">
        <f>'1 prepared data'!V551</f>
        <v/>
      </c>
      <c r="Z558" s="9">
        <f>Y558*X558</f>
        <v/>
      </c>
      <c r="AA558" s="10">
        <f>IF(W558&gt;$AE$33,1,0)</f>
        <v/>
      </c>
      <c r="AB558">
        <f>IF(AA558=C558,1,0)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$AE$12+D559*$AE$13+E559*$AE$14+F559*$AE$15+G559*$AE$16+H559*$AE$17+I559*$AE$18+J559*$AE$19+K559*$AE$20+L559*$AE$21+M559*$AE$22+N559*$AE$23+O559*$AE$24+P559*$AE$25+Q559*$AE$26+R559*$AE$27+S559*$AE$28+T559*$AE$29+U559*$AE$30</f>
        <v/>
      </c>
      <c r="W559" s="8">
        <f>1/(1+EXP(-V559))</f>
        <v/>
      </c>
      <c r="X559" s="9">
        <f>-IF(C559=1,LN(W559),LN(1-W559))</f>
        <v/>
      </c>
      <c r="Y559" s="8">
        <f>'1 prepared data'!V552</f>
        <v/>
      </c>
      <c r="Z559" s="9">
        <f>Y559*X559</f>
        <v/>
      </c>
      <c r="AA559" s="10">
        <f>IF(W559&gt;$AE$33,1,0)</f>
        <v/>
      </c>
      <c r="AB559">
        <f>IF(AA559=C559,1,0)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$AE$12+D560*$AE$13+E560*$AE$14+F560*$AE$15+G560*$AE$16+H560*$AE$17+I560*$AE$18+J560*$AE$19+K560*$AE$20+L560*$AE$21+M560*$AE$22+N560*$AE$23+O560*$AE$24+P560*$AE$25+Q560*$AE$26+R560*$AE$27+S560*$AE$28+T560*$AE$29+U560*$AE$30</f>
        <v/>
      </c>
      <c r="W560" s="8">
        <f>1/(1+EXP(-V560))</f>
        <v/>
      </c>
      <c r="X560" s="9">
        <f>-IF(C560=1,LN(W560),LN(1-W560))</f>
        <v/>
      </c>
      <c r="Y560" s="8">
        <f>'1 prepared data'!V553</f>
        <v/>
      </c>
      <c r="Z560" s="9">
        <f>Y560*X560</f>
        <v/>
      </c>
      <c r="AA560" s="10">
        <f>IF(W560&gt;$AE$33,1,0)</f>
        <v/>
      </c>
      <c r="AB560">
        <f>IF(AA560=C560,1,0)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$AE$12+D561*$AE$13+E561*$AE$14+F561*$AE$15+G561*$AE$16+H561*$AE$17+I561*$AE$18+J561*$AE$19+K561*$AE$20+L561*$AE$21+M561*$AE$22+N561*$AE$23+O561*$AE$24+P561*$AE$25+Q561*$AE$26+R561*$AE$27+S561*$AE$28+T561*$AE$29+U561*$AE$30</f>
        <v/>
      </c>
      <c r="W561" s="8">
        <f>1/(1+EXP(-V561))</f>
        <v/>
      </c>
      <c r="X561" s="9">
        <f>-IF(C561=1,LN(W561),LN(1-W561))</f>
        <v/>
      </c>
      <c r="Y561" s="8">
        <f>'1 prepared data'!V554</f>
        <v/>
      </c>
      <c r="Z561" s="9">
        <f>Y561*X561</f>
        <v/>
      </c>
      <c r="AA561" s="10">
        <f>IF(W561&gt;$AE$33,1,0)</f>
        <v/>
      </c>
      <c r="AB561">
        <f>IF(AA561=C561,1,0)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$AE$12+D562*$AE$13+E562*$AE$14+F562*$AE$15+G562*$AE$16+H562*$AE$17+I562*$AE$18+J562*$AE$19+K562*$AE$20+L562*$AE$21+M562*$AE$22+N562*$AE$23+O562*$AE$24+P562*$AE$25+Q562*$AE$26+R562*$AE$27+S562*$AE$28+T562*$AE$29+U562*$AE$30</f>
        <v/>
      </c>
      <c r="W562" s="8">
        <f>1/(1+EXP(-V562))</f>
        <v/>
      </c>
      <c r="X562" s="9">
        <f>-IF(C562=1,LN(W562),LN(1-W562))</f>
        <v/>
      </c>
      <c r="Y562" s="8">
        <f>'1 prepared data'!V555</f>
        <v/>
      </c>
      <c r="Z562" s="9">
        <f>Y562*X562</f>
        <v/>
      </c>
      <c r="AA562" s="10">
        <f>IF(W562&gt;$AE$33,1,0)</f>
        <v/>
      </c>
      <c r="AB562">
        <f>IF(AA562=C562,1,0)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$AE$12+D563*$AE$13+E563*$AE$14+F563*$AE$15+G563*$AE$16+H563*$AE$17+I563*$AE$18+J563*$AE$19+K563*$AE$20+L563*$AE$21+M563*$AE$22+N563*$AE$23+O563*$AE$24+P563*$AE$25+Q563*$AE$26+R563*$AE$27+S563*$AE$28+T563*$AE$29+U563*$AE$30</f>
        <v/>
      </c>
      <c r="W563" s="8">
        <f>1/(1+EXP(-V563))</f>
        <v/>
      </c>
      <c r="X563" s="9">
        <f>-IF(C563=1,LN(W563),LN(1-W563))</f>
        <v/>
      </c>
      <c r="Y563" s="8">
        <f>'1 prepared data'!V556</f>
        <v/>
      </c>
      <c r="Z563" s="9">
        <f>Y563*X563</f>
        <v/>
      </c>
      <c r="AA563" s="10">
        <f>IF(W563&gt;$AE$33,1,0)</f>
        <v/>
      </c>
      <c r="AB563">
        <f>IF(AA563=C563,1,0)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$AE$12+D564*$AE$13+E564*$AE$14+F564*$AE$15+G564*$AE$16+H564*$AE$17+I564*$AE$18+J564*$AE$19+K564*$AE$20+L564*$AE$21+M564*$AE$22+N564*$AE$23+O564*$AE$24+P564*$AE$25+Q564*$AE$26+R564*$AE$27+S564*$AE$28+T564*$AE$29+U564*$AE$30</f>
        <v/>
      </c>
      <c r="W564" s="8">
        <f>1/(1+EXP(-V564))</f>
        <v/>
      </c>
      <c r="X564" s="9">
        <f>-IF(C564=1,LN(W564),LN(1-W564))</f>
        <v/>
      </c>
      <c r="Y564" s="8">
        <f>'1 prepared data'!V557</f>
        <v/>
      </c>
      <c r="Z564" s="9">
        <f>Y564*X564</f>
        <v/>
      </c>
      <c r="AA564" s="10">
        <f>IF(W564&gt;$AE$33,1,0)</f>
        <v/>
      </c>
      <c r="AB564">
        <f>IF(AA564=C564,1,0)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$AE$12+D565*$AE$13+E565*$AE$14+F565*$AE$15+G565*$AE$16+H565*$AE$17+I565*$AE$18+J565*$AE$19+K565*$AE$20+L565*$AE$21+M565*$AE$22+N565*$AE$23+O565*$AE$24+P565*$AE$25+Q565*$AE$26+R565*$AE$27+S565*$AE$28+T565*$AE$29+U565*$AE$30</f>
        <v/>
      </c>
      <c r="W565" s="8">
        <f>1/(1+EXP(-V565))</f>
        <v/>
      </c>
      <c r="X565" s="9">
        <f>-IF(C565=1,LN(W565),LN(1-W565))</f>
        <v/>
      </c>
      <c r="Y565" s="8">
        <f>'1 prepared data'!V558</f>
        <v/>
      </c>
      <c r="Z565" s="9">
        <f>Y565*X565</f>
        <v/>
      </c>
      <c r="AA565" s="10">
        <f>IF(W565&gt;$AE$33,1,0)</f>
        <v/>
      </c>
      <c r="AB565">
        <f>IF(AA565=C565,1,0)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$AE$12+D566*$AE$13+E566*$AE$14+F566*$AE$15+G566*$AE$16+H566*$AE$17+I566*$AE$18+J566*$AE$19+K566*$AE$20+L566*$AE$21+M566*$AE$22+N566*$AE$23+O566*$AE$24+P566*$AE$25+Q566*$AE$26+R566*$AE$27+S566*$AE$28+T566*$AE$29+U566*$AE$30</f>
        <v/>
      </c>
      <c r="W566" s="8">
        <f>1/(1+EXP(-V566))</f>
        <v/>
      </c>
      <c r="X566" s="9">
        <f>-IF(C566=1,LN(W566),LN(1-W566))</f>
        <v/>
      </c>
      <c r="Y566" s="8">
        <f>'1 prepared data'!V559</f>
        <v/>
      </c>
      <c r="Z566" s="9">
        <f>Y566*X566</f>
        <v/>
      </c>
      <c r="AA566" s="10">
        <f>IF(W566&gt;$AE$33,1,0)</f>
        <v/>
      </c>
      <c r="AB566">
        <f>IF(AA566=C566,1,0)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$AE$12+D567*$AE$13+E567*$AE$14+F567*$AE$15+G567*$AE$16+H567*$AE$17+I567*$AE$18+J567*$AE$19+K567*$AE$20+L567*$AE$21+M567*$AE$22+N567*$AE$23+O567*$AE$24+P567*$AE$25+Q567*$AE$26+R567*$AE$27+S567*$AE$28+T567*$AE$29+U567*$AE$30</f>
        <v/>
      </c>
      <c r="W567" s="8">
        <f>1/(1+EXP(-V567))</f>
        <v/>
      </c>
      <c r="X567" s="9">
        <f>-IF(C567=1,LN(W567),LN(1-W567))</f>
        <v/>
      </c>
      <c r="Y567" s="8">
        <f>'1 prepared data'!V560</f>
        <v/>
      </c>
      <c r="Z567" s="9">
        <f>Y567*X567</f>
        <v/>
      </c>
      <c r="AA567" s="10">
        <f>IF(W567&gt;$AE$33,1,0)</f>
        <v/>
      </c>
      <c r="AB567">
        <f>IF(AA567=C567,1,0)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$AE$12+D568*$AE$13+E568*$AE$14+F568*$AE$15+G568*$AE$16+H568*$AE$17+I568*$AE$18+J568*$AE$19+K568*$AE$20+L568*$AE$21+M568*$AE$22+N568*$AE$23+O568*$AE$24+P568*$AE$25+Q568*$AE$26+R568*$AE$27+S568*$AE$28+T568*$AE$29+U568*$AE$30</f>
        <v/>
      </c>
      <c r="W568" s="8">
        <f>1/(1+EXP(-V568))</f>
        <v/>
      </c>
      <c r="X568" s="9">
        <f>-IF(C568=1,LN(W568),LN(1-W568))</f>
        <v/>
      </c>
      <c r="Y568" s="8">
        <f>'1 prepared data'!V561</f>
        <v/>
      </c>
      <c r="Z568" s="9">
        <f>Y568*X568</f>
        <v/>
      </c>
      <c r="AA568" s="10">
        <f>IF(W568&gt;$AE$33,1,0)</f>
        <v/>
      </c>
      <c r="AB568">
        <f>IF(AA568=C568,1,0)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$AE$12+D569*$AE$13+E569*$AE$14+F569*$AE$15+G569*$AE$16+H569*$AE$17+I569*$AE$18+J569*$AE$19+K569*$AE$20+L569*$AE$21+M569*$AE$22+N569*$AE$23+O569*$AE$24+P569*$AE$25+Q569*$AE$26+R569*$AE$27+S569*$AE$28+T569*$AE$29+U569*$AE$30</f>
        <v/>
      </c>
      <c r="W569" s="8">
        <f>1/(1+EXP(-V569))</f>
        <v/>
      </c>
      <c r="X569" s="9">
        <f>-IF(C569=1,LN(W569),LN(1-W569))</f>
        <v/>
      </c>
      <c r="Y569" s="8">
        <f>'1 prepared data'!V562</f>
        <v/>
      </c>
      <c r="Z569" s="9">
        <f>Y569*X569</f>
        <v/>
      </c>
      <c r="AA569" s="10">
        <f>IF(W569&gt;$AE$33,1,0)</f>
        <v/>
      </c>
      <c r="AB569">
        <f>IF(AA569=C569,1,0)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$AE$12+D570*$AE$13+E570*$AE$14+F570*$AE$15+G570*$AE$16+H570*$AE$17+I570*$AE$18+J570*$AE$19+K570*$AE$20+L570*$AE$21+M570*$AE$22+N570*$AE$23+O570*$AE$24+P570*$AE$25+Q570*$AE$26+R570*$AE$27+S570*$AE$28+T570*$AE$29+U570*$AE$30</f>
        <v/>
      </c>
      <c r="W570" s="8">
        <f>1/(1+EXP(-V570))</f>
        <v/>
      </c>
      <c r="X570" s="9">
        <f>-IF(C570=1,LN(W570),LN(1-W570))</f>
        <v/>
      </c>
      <c r="Y570" s="8">
        <f>'1 prepared data'!V563</f>
        <v/>
      </c>
      <c r="Z570" s="9">
        <f>Y570*X570</f>
        <v/>
      </c>
      <c r="AA570" s="10">
        <f>IF(W570&gt;$AE$33,1,0)</f>
        <v/>
      </c>
      <c r="AB570">
        <f>IF(AA570=C570,1,0)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$AE$12+D571*$AE$13+E571*$AE$14+F571*$AE$15+G571*$AE$16+H571*$AE$17+I571*$AE$18+J571*$AE$19+K571*$AE$20+L571*$AE$21+M571*$AE$22+N571*$AE$23+O571*$AE$24+P571*$AE$25+Q571*$AE$26+R571*$AE$27+S571*$AE$28+T571*$AE$29+U571*$AE$30</f>
        <v/>
      </c>
      <c r="W571" s="8">
        <f>1/(1+EXP(-V571))</f>
        <v/>
      </c>
      <c r="X571" s="9">
        <f>-IF(C571=1,LN(W571),LN(1-W571))</f>
        <v/>
      </c>
      <c r="Y571" s="8">
        <f>'1 prepared data'!V564</f>
        <v/>
      </c>
      <c r="Z571" s="9">
        <f>Y571*X571</f>
        <v/>
      </c>
      <c r="AA571" s="10">
        <f>IF(W571&gt;$AE$33,1,0)</f>
        <v/>
      </c>
      <c r="AB571">
        <f>IF(AA571=C571,1,0)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$AE$12+D572*$AE$13+E572*$AE$14+F572*$AE$15+G572*$AE$16+H572*$AE$17+I572*$AE$18+J572*$AE$19+K572*$AE$20+L572*$AE$21+M572*$AE$22+N572*$AE$23+O572*$AE$24+P572*$AE$25+Q572*$AE$26+R572*$AE$27+S572*$AE$28+T572*$AE$29+U572*$AE$30</f>
        <v/>
      </c>
      <c r="W572" s="8">
        <f>1/(1+EXP(-V572))</f>
        <v/>
      </c>
      <c r="X572" s="9">
        <f>-IF(C572=1,LN(W572),LN(1-W572))</f>
        <v/>
      </c>
      <c r="Y572" s="8">
        <f>'1 prepared data'!V565</f>
        <v/>
      </c>
      <c r="Z572" s="9">
        <f>Y572*X572</f>
        <v/>
      </c>
      <c r="AA572" s="10">
        <f>IF(W572&gt;$AE$33,1,0)</f>
        <v/>
      </c>
      <c r="AB572">
        <f>IF(AA572=C572,1,0)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$AE$12+D573*$AE$13+E573*$AE$14+F573*$AE$15+G573*$AE$16+H573*$AE$17+I573*$AE$18+J573*$AE$19+K573*$AE$20+L573*$AE$21+M573*$AE$22+N573*$AE$23+O573*$AE$24+P573*$AE$25+Q573*$AE$26+R573*$AE$27+S573*$AE$28+T573*$AE$29+U573*$AE$30</f>
        <v/>
      </c>
      <c r="W573" s="8">
        <f>1/(1+EXP(-V573))</f>
        <v/>
      </c>
      <c r="X573" s="9">
        <f>-IF(C573=1,LN(W573),LN(1-W573))</f>
        <v/>
      </c>
      <c r="Y573" s="8">
        <f>'1 prepared data'!V566</f>
        <v/>
      </c>
      <c r="Z573" s="9">
        <f>Y573*X573</f>
        <v/>
      </c>
      <c r="AA573" s="10">
        <f>IF(W573&gt;$AE$33,1,0)</f>
        <v/>
      </c>
      <c r="AB573">
        <f>IF(AA573=C573,1,0)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$AE$12+D574*$AE$13+E574*$AE$14+F574*$AE$15+G574*$AE$16+H574*$AE$17+I574*$AE$18+J574*$AE$19+K574*$AE$20+L574*$AE$21+M574*$AE$22+N574*$AE$23+O574*$AE$24+P574*$AE$25+Q574*$AE$26+R574*$AE$27+S574*$AE$28+T574*$AE$29+U574*$AE$30</f>
        <v/>
      </c>
      <c r="W574" s="8">
        <f>1/(1+EXP(-V574))</f>
        <v/>
      </c>
      <c r="X574" s="9">
        <f>-IF(C574=1,LN(W574),LN(1-W574))</f>
        <v/>
      </c>
      <c r="Y574" s="8">
        <f>'1 prepared data'!V567</f>
        <v/>
      </c>
      <c r="Z574" s="9">
        <f>Y574*X574</f>
        <v/>
      </c>
      <c r="AA574" s="10">
        <f>IF(W574&gt;$AE$33,1,0)</f>
        <v/>
      </c>
      <c r="AB574">
        <f>IF(AA574=C574,1,0)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$AE$12+D575*$AE$13+E575*$AE$14+F575*$AE$15+G575*$AE$16+H575*$AE$17+I575*$AE$18+J575*$AE$19+K575*$AE$20+L575*$AE$21+M575*$AE$22+N575*$AE$23+O575*$AE$24+P575*$AE$25+Q575*$AE$26+R575*$AE$27+S575*$AE$28+T575*$AE$29+U575*$AE$30</f>
        <v/>
      </c>
      <c r="W575" s="8">
        <f>1/(1+EXP(-V575))</f>
        <v/>
      </c>
      <c r="X575" s="9">
        <f>-IF(C575=1,LN(W575),LN(1-W575))</f>
        <v/>
      </c>
      <c r="Y575" s="8">
        <f>'1 prepared data'!V568</f>
        <v/>
      </c>
      <c r="Z575" s="9">
        <f>Y575*X575</f>
        <v/>
      </c>
      <c r="AA575" s="10">
        <f>IF(W575&gt;$AE$33,1,0)</f>
        <v/>
      </c>
      <c r="AB575">
        <f>IF(AA575=C575,1,0)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$AE$12+D576*$AE$13+E576*$AE$14+F576*$AE$15+G576*$AE$16+H576*$AE$17+I576*$AE$18+J576*$AE$19+K576*$AE$20+L576*$AE$21+M576*$AE$22+N576*$AE$23+O576*$AE$24+P576*$AE$25+Q576*$AE$26+R576*$AE$27+S576*$AE$28+T576*$AE$29+U576*$AE$30</f>
        <v/>
      </c>
      <c r="W576" s="8">
        <f>1/(1+EXP(-V576))</f>
        <v/>
      </c>
      <c r="X576" s="9">
        <f>-IF(C576=1,LN(W576),LN(1-W576))</f>
        <v/>
      </c>
      <c r="Y576" s="8">
        <f>'1 prepared data'!V569</f>
        <v/>
      </c>
      <c r="Z576" s="9">
        <f>Y576*X576</f>
        <v/>
      </c>
      <c r="AA576" s="10">
        <f>IF(W576&gt;$AE$33,1,0)</f>
        <v/>
      </c>
      <c r="AB576">
        <f>IF(AA576=C576,1,0)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$AE$12+D577*$AE$13+E577*$AE$14+F577*$AE$15+G577*$AE$16+H577*$AE$17+I577*$AE$18+J577*$AE$19+K577*$AE$20+L577*$AE$21+M577*$AE$22+N577*$AE$23+O577*$AE$24+P577*$AE$25+Q577*$AE$26+R577*$AE$27+S577*$AE$28+T577*$AE$29+U577*$AE$30</f>
        <v/>
      </c>
      <c r="W577" s="8">
        <f>1/(1+EXP(-V577))</f>
        <v/>
      </c>
      <c r="X577" s="9">
        <f>-IF(C577=1,LN(W577),LN(1-W577))</f>
        <v/>
      </c>
      <c r="Y577" s="8">
        <f>'1 prepared data'!V570</f>
        <v/>
      </c>
      <c r="Z577" s="9">
        <f>Y577*X577</f>
        <v/>
      </c>
      <c r="AA577" s="10">
        <f>IF(W577&gt;$AE$33,1,0)</f>
        <v/>
      </c>
      <c r="AB577">
        <f>IF(AA577=C577,1,0)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$AE$12+D578*$AE$13+E578*$AE$14+F578*$AE$15+G578*$AE$16+H578*$AE$17+I578*$AE$18+J578*$AE$19+K578*$AE$20+L578*$AE$21+M578*$AE$22+N578*$AE$23+O578*$AE$24+P578*$AE$25+Q578*$AE$26+R578*$AE$27+S578*$AE$28+T578*$AE$29+U578*$AE$30</f>
        <v/>
      </c>
      <c r="W578" s="8">
        <f>1/(1+EXP(-V578))</f>
        <v/>
      </c>
      <c r="X578" s="9">
        <f>-IF(C578=1,LN(W578),LN(1-W578))</f>
        <v/>
      </c>
      <c r="Y578" s="8">
        <f>'1 prepared data'!V571</f>
        <v/>
      </c>
      <c r="Z578" s="9">
        <f>Y578*X578</f>
        <v/>
      </c>
      <c r="AA578" s="10">
        <f>IF(W578&gt;$AE$33,1,0)</f>
        <v/>
      </c>
      <c r="AB578">
        <f>IF(AA578=C578,1,0)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$AE$12+D579*$AE$13+E579*$AE$14+F579*$AE$15+G579*$AE$16+H579*$AE$17+I579*$AE$18+J579*$AE$19+K579*$AE$20+L579*$AE$21+M579*$AE$22+N579*$AE$23+O579*$AE$24+P579*$AE$25+Q579*$AE$26+R579*$AE$27+S579*$AE$28+T579*$AE$29+U579*$AE$30</f>
        <v/>
      </c>
      <c r="W579" s="8">
        <f>1/(1+EXP(-V579))</f>
        <v/>
      </c>
      <c r="X579" s="9">
        <f>-IF(C579=1,LN(W579),LN(1-W579))</f>
        <v/>
      </c>
      <c r="Y579" s="8">
        <f>'1 prepared data'!V572</f>
        <v/>
      </c>
      <c r="Z579" s="9">
        <f>Y579*X579</f>
        <v/>
      </c>
      <c r="AA579" s="10">
        <f>IF(W579&gt;$AE$33,1,0)</f>
        <v/>
      </c>
      <c r="AB579">
        <f>IF(AA579=C579,1,0)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$AE$12+D580*$AE$13+E580*$AE$14+F580*$AE$15+G580*$AE$16+H580*$AE$17+I580*$AE$18+J580*$AE$19+K580*$AE$20+L580*$AE$21+M580*$AE$22+N580*$AE$23+O580*$AE$24+P580*$AE$25+Q580*$AE$26+R580*$AE$27+S580*$AE$28+T580*$AE$29+U580*$AE$30</f>
        <v/>
      </c>
      <c r="W580" s="8">
        <f>1/(1+EXP(-V580))</f>
        <v/>
      </c>
      <c r="X580" s="9">
        <f>-IF(C580=1,LN(W580),LN(1-W580))</f>
        <v/>
      </c>
      <c r="Y580" s="8">
        <f>'1 prepared data'!V573</f>
        <v/>
      </c>
      <c r="Z580" s="9">
        <f>Y580*X580</f>
        <v/>
      </c>
      <c r="AA580" s="10">
        <f>IF(W580&gt;$AE$33,1,0)</f>
        <v/>
      </c>
      <c r="AB580">
        <f>IF(AA580=C580,1,0)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$AE$12+D581*$AE$13+E581*$AE$14+F581*$AE$15+G581*$AE$16+H581*$AE$17+I581*$AE$18+J581*$AE$19+K581*$AE$20+L581*$AE$21+M581*$AE$22+N581*$AE$23+O581*$AE$24+P581*$AE$25+Q581*$AE$26+R581*$AE$27+S581*$AE$28+T581*$AE$29+U581*$AE$30</f>
        <v/>
      </c>
      <c r="W581" s="8">
        <f>1/(1+EXP(-V581))</f>
        <v/>
      </c>
      <c r="X581" s="9">
        <f>-IF(C581=1,LN(W581),LN(1-W581))</f>
        <v/>
      </c>
      <c r="Y581" s="8">
        <f>'1 prepared data'!V574</f>
        <v/>
      </c>
      <c r="Z581" s="9">
        <f>Y581*X581</f>
        <v/>
      </c>
      <c r="AA581" s="10">
        <f>IF(W581&gt;$AE$33,1,0)</f>
        <v/>
      </c>
      <c r="AB581">
        <f>IF(AA581=C581,1,0)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$AE$12+D582*$AE$13+E582*$AE$14+F582*$AE$15+G582*$AE$16+H582*$AE$17+I582*$AE$18+J582*$AE$19+K582*$AE$20+L582*$AE$21+M582*$AE$22+N582*$AE$23+O582*$AE$24+P582*$AE$25+Q582*$AE$26+R582*$AE$27+S582*$AE$28+T582*$AE$29+U582*$AE$30</f>
        <v/>
      </c>
      <c r="W582" s="8">
        <f>1/(1+EXP(-V582))</f>
        <v/>
      </c>
      <c r="X582" s="9">
        <f>-IF(C582=1,LN(W582),LN(1-W582))</f>
        <v/>
      </c>
      <c r="Y582" s="8">
        <f>'1 prepared data'!V575</f>
        <v/>
      </c>
      <c r="Z582" s="9">
        <f>Y582*X582</f>
        <v/>
      </c>
      <c r="AA582" s="10">
        <f>IF(W582&gt;$AE$33,1,0)</f>
        <v/>
      </c>
      <c r="AB582">
        <f>IF(AA582=C582,1,0)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$AE$12+D583*$AE$13+E583*$AE$14+F583*$AE$15+G583*$AE$16+H583*$AE$17+I583*$AE$18+J583*$AE$19+K583*$AE$20+L583*$AE$21+M583*$AE$22+N583*$AE$23+O583*$AE$24+P583*$AE$25+Q583*$AE$26+R583*$AE$27+S583*$AE$28+T583*$AE$29+U583*$AE$30</f>
        <v/>
      </c>
      <c r="W583" s="8">
        <f>1/(1+EXP(-V583))</f>
        <v/>
      </c>
      <c r="X583" s="9">
        <f>-IF(C583=1,LN(W583),LN(1-W583))</f>
        <v/>
      </c>
      <c r="Y583" s="8">
        <f>'1 prepared data'!V576</f>
        <v/>
      </c>
      <c r="Z583" s="9">
        <f>Y583*X583</f>
        <v/>
      </c>
      <c r="AA583" s="10">
        <f>IF(W583&gt;$AE$33,1,0)</f>
        <v/>
      </c>
      <c r="AB583">
        <f>IF(AA583=C583,1,0)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$AE$12+D584*$AE$13+E584*$AE$14+F584*$AE$15+G584*$AE$16+H584*$AE$17+I584*$AE$18+J584*$AE$19+K584*$AE$20+L584*$AE$21+M584*$AE$22+N584*$AE$23+O584*$AE$24+P584*$AE$25+Q584*$AE$26+R584*$AE$27+S584*$AE$28+T584*$AE$29+U584*$AE$30</f>
        <v/>
      </c>
      <c r="W584" s="8">
        <f>1/(1+EXP(-V584))</f>
        <v/>
      </c>
      <c r="X584" s="9">
        <f>-IF(C584=1,LN(W584),LN(1-W584))</f>
        <v/>
      </c>
      <c r="Y584" s="8">
        <f>'1 prepared data'!V577</f>
        <v/>
      </c>
      <c r="Z584" s="9">
        <f>Y584*X584</f>
        <v/>
      </c>
      <c r="AA584" s="10">
        <f>IF(W584&gt;$AE$33,1,0)</f>
        <v/>
      </c>
      <c r="AB584">
        <f>IF(AA584=C584,1,0)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$AE$12+D585*$AE$13+E585*$AE$14+F585*$AE$15+G585*$AE$16+H585*$AE$17+I585*$AE$18+J585*$AE$19+K585*$AE$20+L585*$AE$21+M585*$AE$22+N585*$AE$23+O585*$AE$24+P585*$AE$25+Q585*$AE$26+R585*$AE$27+S585*$AE$28+T585*$AE$29+U585*$AE$30</f>
        <v/>
      </c>
      <c r="W585" s="8">
        <f>1/(1+EXP(-V585))</f>
        <v/>
      </c>
      <c r="X585" s="9">
        <f>-IF(C585=1,LN(W585),LN(1-W585))</f>
        <v/>
      </c>
      <c r="Y585" s="8">
        <f>'1 prepared data'!V578</f>
        <v/>
      </c>
      <c r="Z585" s="9">
        <f>Y585*X585</f>
        <v/>
      </c>
      <c r="AA585" s="10">
        <f>IF(W585&gt;$AE$33,1,0)</f>
        <v/>
      </c>
      <c r="AB585">
        <f>IF(AA585=C585,1,0)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$AE$12+D586*$AE$13+E586*$AE$14+F586*$AE$15+G586*$AE$16+H586*$AE$17+I586*$AE$18+J586*$AE$19+K586*$AE$20+L586*$AE$21+M586*$AE$22+N586*$AE$23+O586*$AE$24+P586*$AE$25+Q586*$AE$26+R586*$AE$27+S586*$AE$28+T586*$AE$29+U586*$AE$30</f>
        <v/>
      </c>
      <c r="W586" s="8">
        <f>1/(1+EXP(-V586))</f>
        <v/>
      </c>
      <c r="X586" s="9">
        <f>-IF(C586=1,LN(W586),LN(1-W586))</f>
        <v/>
      </c>
      <c r="Y586" s="8">
        <f>'1 prepared data'!V579</f>
        <v/>
      </c>
      <c r="Z586" s="9">
        <f>Y586*X586</f>
        <v/>
      </c>
      <c r="AA586" s="10">
        <f>IF(W586&gt;$AE$33,1,0)</f>
        <v/>
      </c>
      <c r="AB586">
        <f>IF(AA586=C586,1,0)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$AE$12+D587*$AE$13+E587*$AE$14+F587*$AE$15+G587*$AE$16+H587*$AE$17+I587*$AE$18+J587*$AE$19+K587*$AE$20+L587*$AE$21+M587*$AE$22+N587*$AE$23+O587*$AE$24+P587*$AE$25+Q587*$AE$26+R587*$AE$27+S587*$AE$28+T587*$AE$29+U587*$AE$30</f>
        <v/>
      </c>
      <c r="W587" s="8">
        <f>1/(1+EXP(-V587))</f>
        <v/>
      </c>
      <c r="X587" s="9">
        <f>-IF(C587=1,LN(W587),LN(1-W587))</f>
        <v/>
      </c>
      <c r="Y587" s="8">
        <f>'1 prepared data'!V580</f>
        <v/>
      </c>
      <c r="Z587" s="9">
        <f>Y587*X587</f>
        <v/>
      </c>
      <c r="AA587" s="10">
        <f>IF(W587&gt;$AE$33,1,0)</f>
        <v/>
      </c>
      <c r="AB587">
        <f>IF(AA587=C587,1,0)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$AE$12+D588*$AE$13+E588*$AE$14+F588*$AE$15+G588*$AE$16+H588*$AE$17+I588*$AE$18+J588*$AE$19+K588*$AE$20+L588*$AE$21+M588*$AE$22+N588*$AE$23+O588*$AE$24+P588*$AE$25+Q588*$AE$26+R588*$AE$27+S588*$AE$28+T588*$AE$29+U588*$AE$30</f>
        <v/>
      </c>
      <c r="W588" s="8">
        <f>1/(1+EXP(-V588))</f>
        <v/>
      </c>
      <c r="X588" s="9">
        <f>-IF(C588=1,LN(W588),LN(1-W588))</f>
        <v/>
      </c>
      <c r="Y588" s="8">
        <f>'1 prepared data'!V581</f>
        <v/>
      </c>
      <c r="Z588" s="9">
        <f>Y588*X588</f>
        <v/>
      </c>
      <c r="AA588" s="10">
        <f>IF(W588&gt;$AE$33,1,0)</f>
        <v/>
      </c>
      <c r="AB588">
        <f>IF(AA588=C588,1,0)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$AE$12+D589*$AE$13+E589*$AE$14+F589*$AE$15+G589*$AE$16+H589*$AE$17+I589*$AE$18+J589*$AE$19+K589*$AE$20+L589*$AE$21+M589*$AE$22+N589*$AE$23+O589*$AE$24+P589*$AE$25+Q589*$AE$26+R589*$AE$27+S589*$AE$28+T589*$AE$29+U589*$AE$30</f>
        <v/>
      </c>
      <c r="W589" s="8">
        <f>1/(1+EXP(-V589))</f>
        <v/>
      </c>
      <c r="X589" s="9">
        <f>-IF(C589=1,LN(W589),LN(1-W589))</f>
        <v/>
      </c>
      <c r="Y589" s="8">
        <f>'1 prepared data'!V582</f>
        <v/>
      </c>
      <c r="Z589" s="9">
        <f>Y589*X589</f>
        <v/>
      </c>
      <c r="AA589" s="10">
        <f>IF(W589&gt;$AE$33,1,0)</f>
        <v/>
      </c>
      <c r="AB589">
        <f>IF(AA589=C589,1,0)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$AE$12+D590*$AE$13+E590*$AE$14+F590*$AE$15+G590*$AE$16+H590*$AE$17+I590*$AE$18+J590*$AE$19+K590*$AE$20+L590*$AE$21+M590*$AE$22+N590*$AE$23+O590*$AE$24+P590*$AE$25+Q590*$AE$26+R590*$AE$27+S590*$AE$28+T590*$AE$29+U590*$AE$30</f>
        <v/>
      </c>
      <c r="W590" s="8">
        <f>1/(1+EXP(-V590))</f>
        <v/>
      </c>
      <c r="X590" s="9">
        <f>-IF(C590=1,LN(W590),LN(1-W590))</f>
        <v/>
      </c>
      <c r="Y590" s="8">
        <f>'1 prepared data'!V583</f>
        <v/>
      </c>
      <c r="Z590" s="9">
        <f>Y590*X590</f>
        <v/>
      </c>
      <c r="AA590" s="10">
        <f>IF(W590&gt;$AE$33,1,0)</f>
        <v/>
      </c>
      <c r="AB590">
        <f>IF(AA590=C590,1,0)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$AE$12+D591*$AE$13+E591*$AE$14+F591*$AE$15+G591*$AE$16+H591*$AE$17+I591*$AE$18+J591*$AE$19+K591*$AE$20+L591*$AE$21+M591*$AE$22+N591*$AE$23+O591*$AE$24+P591*$AE$25+Q591*$AE$26+R591*$AE$27+S591*$AE$28+T591*$AE$29+U591*$AE$30</f>
        <v/>
      </c>
      <c r="W591" s="8">
        <f>1/(1+EXP(-V591))</f>
        <v/>
      </c>
      <c r="X591" s="9">
        <f>-IF(C591=1,LN(W591),LN(1-W591))</f>
        <v/>
      </c>
      <c r="Y591" s="8">
        <f>'1 prepared data'!V584</f>
        <v/>
      </c>
      <c r="Z591" s="9">
        <f>Y591*X591</f>
        <v/>
      </c>
      <c r="AA591" s="10">
        <f>IF(W591&gt;$AE$33,1,0)</f>
        <v/>
      </c>
      <c r="AB591">
        <f>IF(AA591=C591,1,0)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$AE$12+D592*$AE$13+E592*$AE$14+F592*$AE$15+G592*$AE$16+H592*$AE$17+I592*$AE$18+J592*$AE$19+K592*$AE$20+L592*$AE$21+M592*$AE$22+N592*$AE$23+O592*$AE$24+P592*$AE$25+Q592*$AE$26+R592*$AE$27+S592*$AE$28+T592*$AE$29+U592*$AE$30</f>
        <v/>
      </c>
      <c r="W592" s="8">
        <f>1/(1+EXP(-V592))</f>
        <v/>
      </c>
      <c r="X592" s="9">
        <f>-IF(C592=1,LN(W592),LN(1-W592))</f>
        <v/>
      </c>
      <c r="Y592" s="8">
        <f>'1 prepared data'!V585</f>
        <v/>
      </c>
      <c r="Z592" s="9">
        <f>Y592*X592</f>
        <v/>
      </c>
      <c r="AA592" s="10">
        <f>IF(W592&gt;$AE$33,1,0)</f>
        <v/>
      </c>
      <c r="AB592">
        <f>IF(AA592=C592,1,0)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$AE$12+D593*$AE$13+E593*$AE$14+F593*$AE$15+G593*$AE$16+H593*$AE$17+I593*$AE$18+J593*$AE$19+K593*$AE$20+L593*$AE$21+M593*$AE$22+N593*$AE$23+O593*$AE$24+P593*$AE$25+Q593*$AE$26+R593*$AE$27+S593*$AE$28+T593*$AE$29+U593*$AE$30</f>
        <v/>
      </c>
      <c r="W593" s="8">
        <f>1/(1+EXP(-V593))</f>
        <v/>
      </c>
      <c r="X593" s="9">
        <f>-IF(C593=1,LN(W593),LN(1-W593))</f>
        <v/>
      </c>
      <c r="Y593" s="8">
        <f>'1 prepared data'!V586</f>
        <v/>
      </c>
      <c r="Z593" s="9">
        <f>Y593*X593</f>
        <v/>
      </c>
      <c r="AA593" s="10">
        <f>IF(W593&gt;$AE$33,1,0)</f>
        <v/>
      </c>
      <c r="AB593">
        <f>IF(AA593=C593,1,0)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$AE$12+D594*$AE$13+E594*$AE$14+F594*$AE$15+G594*$AE$16+H594*$AE$17+I594*$AE$18+J594*$AE$19+K594*$AE$20+L594*$AE$21+M594*$AE$22+N594*$AE$23+O594*$AE$24+P594*$AE$25+Q594*$AE$26+R594*$AE$27+S594*$AE$28+T594*$AE$29+U594*$AE$30</f>
        <v/>
      </c>
      <c r="W594" s="8">
        <f>1/(1+EXP(-V594))</f>
        <v/>
      </c>
      <c r="X594" s="9">
        <f>-IF(C594=1,LN(W594),LN(1-W594))</f>
        <v/>
      </c>
      <c r="Y594" s="8">
        <f>'1 prepared data'!V587</f>
        <v/>
      </c>
      <c r="Z594" s="9">
        <f>Y594*X594</f>
        <v/>
      </c>
      <c r="AA594" s="10">
        <f>IF(W594&gt;$AE$33,1,0)</f>
        <v/>
      </c>
      <c r="AB594">
        <f>IF(AA594=C594,1,0)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$AE$12+D595*$AE$13+E595*$AE$14+F595*$AE$15+G595*$AE$16+H595*$AE$17+I595*$AE$18+J595*$AE$19+K595*$AE$20+L595*$AE$21+M595*$AE$22+N595*$AE$23+O595*$AE$24+P595*$AE$25+Q595*$AE$26+R595*$AE$27+S595*$AE$28+T595*$AE$29+U595*$AE$30</f>
        <v/>
      </c>
      <c r="W595" s="8">
        <f>1/(1+EXP(-V595))</f>
        <v/>
      </c>
      <c r="X595" s="9">
        <f>-IF(C595=1,LN(W595),LN(1-W595))</f>
        <v/>
      </c>
      <c r="Y595" s="8">
        <f>'1 prepared data'!V588</f>
        <v/>
      </c>
      <c r="Z595" s="9">
        <f>Y595*X595</f>
        <v/>
      </c>
      <c r="AA595" s="10">
        <f>IF(W595&gt;$AE$33,1,0)</f>
        <v/>
      </c>
      <c r="AB595">
        <f>IF(AA595=C595,1,0)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$AE$12+D596*$AE$13+E596*$AE$14+F596*$AE$15+G596*$AE$16+H596*$AE$17+I596*$AE$18+J596*$AE$19+K596*$AE$20+L596*$AE$21+M596*$AE$22+N596*$AE$23+O596*$AE$24+P596*$AE$25+Q596*$AE$26+R596*$AE$27+S596*$AE$28+T596*$AE$29+U596*$AE$30</f>
        <v/>
      </c>
      <c r="W596" s="8">
        <f>1/(1+EXP(-V596))</f>
        <v/>
      </c>
      <c r="X596" s="9">
        <f>-IF(C596=1,LN(W596),LN(1-W596))</f>
        <v/>
      </c>
      <c r="Y596" s="8">
        <f>'1 prepared data'!V589</f>
        <v/>
      </c>
      <c r="Z596" s="9">
        <f>Y596*X596</f>
        <v/>
      </c>
      <c r="AA596" s="10">
        <f>IF(W596&gt;$AE$33,1,0)</f>
        <v/>
      </c>
      <c r="AB596">
        <f>IF(AA596=C596,1,0)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$AE$12+D597*$AE$13+E597*$AE$14+F597*$AE$15+G597*$AE$16+H597*$AE$17+I597*$AE$18+J597*$AE$19+K597*$AE$20+L597*$AE$21+M597*$AE$22+N597*$AE$23+O597*$AE$24+P597*$AE$25+Q597*$AE$26+R597*$AE$27+S597*$AE$28+T597*$AE$29+U597*$AE$30</f>
        <v/>
      </c>
      <c r="W597" s="8">
        <f>1/(1+EXP(-V597))</f>
        <v/>
      </c>
      <c r="X597" s="9">
        <f>-IF(C597=1,LN(W597),LN(1-W597))</f>
        <v/>
      </c>
      <c r="Y597" s="8">
        <f>'1 prepared data'!V590</f>
        <v/>
      </c>
      <c r="Z597" s="9">
        <f>Y597*X597</f>
        <v/>
      </c>
      <c r="AA597" s="10">
        <f>IF(W597&gt;$AE$33,1,0)</f>
        <v/>
      </c>
      <c r="AB597">
        <f>IF(AA597=C597,1,0)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$AE$12+D598*$AE$13+E598*$AE$14+F598*$AE$15+G598*$AE$16+H598*$AE$17+I598*$AE$18+J598*$AE$19+K598*$AE$20+L598*$AE$21+M598*$AE$22+N598*$AE$23+O598*$AE$24+P598*$AE$25+Q598*$AE$26+R598*$AE$27+S598*$AE$28+T598*$AE$29+U598*$AE$30</f>
        <v/>
      </c>
      <c r="W598" s="8">
        <f>1/(1+EXP(-V598))</f>
        <v/>
      </c>
      <c r="X598" s="9">
        <f>-IF(C598=1,LN(W598),LN(1-W598))</f>
        <v/>
      </c>
      <c r="Y598" s="8">
        <f>'1 prepared data'!V591</f>
        <v/>
      </c>
      <c r="Z598" s="9">
        <f>Y598*X598</f>
        <v/>
      </c>
      <c r="AA598" s="10">
        <f>IF(W598&gt;$AE$33,1,0)</f>
        <v/>
      </c>
      <c r="AB598">
        <f>IF(AA598=C598,1,0)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$AE$12+D599*$AE$13+E599*$AE$14+F599*$AE$15+G599*$AE$16+H599*$AE$17+I599*$AE$18+J599*$AE$19+K599*$AE$20+L599*$AE$21+M599*$AE$22+N599*$AE$23+O599*$AE$24+P599*$AE$25+Q599*$AE$26+R599*$AE$27+S599*$AE$28+T599*$AE$29+U599*$AE$30</f>
        <v/>
      </c>
      <c r="W599" s="8">
        <f>1/(1+EXP(-V599))</f>
        <v/>
      </c>
      <c r="X599" s="9">
        <f>-IF(C599=1,LN(W599),LN(1-W599))</f>
        <v/>
      </c>
      <c r="Y599" s="8">
        <f>'1 prepared data'!V592</f>
        <v/>
      </c>
      <c r="Z599" s="9">
        <f>Y599*X599</f>
        <v/>
      </c>
      <c r="AA599" s="10">
        <f>IF(W599&gt;$AE$33,1,0)</f>
        <v/>
      </c>
      <c r="AB599">
        <f>IF(AA599=C599,1,0)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$AE$12+D600*$AE$13+E600*$AE$14+F600*$AE$15+G600*$AE$16+H600*$AE$17+I600*$AE$18+J600*$AE$19+K600*$AE$20+L600*$AE$21+M600*$AE$22+N600*$AE$23+O600*$AE$24+P600*$AE$25+Q600*$AE$26+R600*$AE$27+S600*$AE$28+T600*$AE$29+U600*$AE$30</f>
        <v/>
      </c>
      <c r="W600" s="8">
        <f>1/(1+EXP(-V600))</f>
        <v/>
      </c>
      <c r="X600" s="9">
        <f>-IF(C600=1,LN(W600),LN(1-W600))</f>
        <v/>
      </c>
      <c r="Y600" s="8">
        <f>'1 prepared data'!V593</f>
        <v/>
      </c>
      <c r="Z600" s="9">
        <f>Y600*X600</f>
        <v/>
      </c>
      <c r="AA600" s="10">
        <f>IF(W600&gt;$AE$33,1,0)</f>
        <v/>
      </c>
      <c r="AB600">
        <f>IF(AA600=C600,1,0)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$AE$12+D601*$AE$13+E601*$AE$14+F601*$AE$15+G601*$AE$16+H601*$AE$17+I601*$AE$18+J601*$AE$19+K601*$AE$20+L601*$AE$21+M601*$AE$22+N601*$AE$23+O601*$AE$24+P601*$AE$25+Q601*$AE$26+R601*$AE$27+S601*$AE$28+T601*$AE$29+U601*$AE$30</f>
        <v/>
      </c>
      <c r="W601" s="8">
        <f>1/(1+EXP(-V601))</f>
        <v/>
      </c>
      <c r="X601" s="9">
        <f>-IF(C601=1,LN(W601),LN(1-W601))</f>
        <v/>
      </c>
      <c r="Y601" s="8">
        <f>'1 prepared data'!V594</f>
        <v/>
      </c>
      <c r="Z601" s="9">
        <f>Y601*X601</f>
        <v/>
      </c>
      <c r="AA601" s="10">
        <f>IF(W601&gt;$AE$33,1,0)</f>
        <v/>
      </c>
      <c r="AB601">
        <f>IF(AA601=C601,1,0)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$AE$12+D602*$AE$13+E602*$AE$14+F602*$AE$15+G602*$AE$16+H602*$AE$17+I602*$AE$18+J602*$AE$19+K602*$AE$20+L602*$AE$21+M602*$AE$22+N602*$AE$23+O602*$AE$24+P602*$AE$25+Q602*$AE$26+R602*$AE$27+S602*$AE$28+T602*$AE$29+U602*$AE$30</f>
        <v/>
      </c>
      <c r="W602" s="8">
        <f>1/(1+EXP(-V602))</f>
        <v/>
      </c>
      <c r="X602" s="9">
        <f>-IF(C602=1,LN(W602),LN(1-W602))</f>
        <v/>
      </c>
      <c r="Y602" s="8">
        <f>'1 prepared data'!V595</f>
        <v/>
      </c>
      <c r="Z602" s="9">
        <f>Y602*X602</f>
        <v/>
      </c>
      <c r="AA602" s="10">
        <f>IF(W602&gt;$AE$33,1,0)</f>
        <v/>
      </c>
      <c r="AB602">
        <f>IF(AA602=C602,1,0)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$AE$12+D603*$AE$13+E603*$AE$14+F603*$AE$15+G603*$AE$16+H603*$AE$17+I603*$AE$18+J603*$AE$19+K603*$AE$20+L603*$AE$21+M603*$AE$22+N603*$AE$23+O603*$AE$24+P603*$AE$25+Q603*$AE$26+R603*$AE$27+S603*$AE$28+T603*$AE$29+U603*$AE$30</f>
        <v/>
      </c>
      <c r="W603" s="8">
        <f>1/(1+EXP(-V603))</f>
        <v/>
      </c>
      <c r="X603" s="9">
        <f>-IF(C603=1,LN(W603),LN(1-W603))</f>
        <v/>
      </c>
      <c r="Y603" s="8">
        <f>'1 prepared data'!V596</f>
        <v/>
      </c>
      <c r="Z603" s="9">
        <f>Y603*X603</f>
        <v/>
      </c>
      <c r="AA603" s="10">
        <f>IF(W603&gt;$AE$33,1,0)</f>
        <v/>
      </c>
      <c r="AB603">
        <f>IF(AA603=C603,1,0)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$AE$12+D604*$AE$13+E604*$AE$14+F604*$AE$15+G604*$AE$16+H604*$AE$17+I604*$AE$18+J604*$AE$19+K604*$AE$20+L604*$AE$21+M604*$AE$22+N604*$AE$23+O604*$AE$24+P604*$AE$25+Q604*$AE$26+R604*$AE$27+S604*$AE$28+T604*$AE$29+U604*$AE$30</f>
        <v/>
      </c>
      <c r="W604" s="8">
        <f>1/(1+EXP(-V604))</f>
        <v/>
      </c>
      <c r="X604" s="9">
        <f>-IF(C604=1,LN(W604),LN(1-W604))</f>
        <v/>
      </c>
      <c r="Y604" s="8">
        <f>'1 prepared data'!V597</f>
        <v/>
      </c>
      <c r="Z604" s="9">
        <f>Y604*X604</f>
        <v/>
      </c>
      <c r="AA604" s="10">
        <f>IF(W604&gt;$AE$33,1,0)</f>
        <v/>
      </c>
      <c r="AB604">
        <f>IF(AA604=C604,1,0)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$AE$12+D605*$AE$13+E605*$AE$14+F605*$AE$15+G605*$AE$16+H605*$AE$17+I605*$AE$18+J605*$AE$19+K605*$AE$20+L605*$AE$21+M605*$AE$22+N605*$AE$23+O605*$AE$24+P605*$AE$25+Q605*$AE$26+R605*$AE$27+S605*$AE$28+T605*$AE$29+U605*$AE$30</f>
        <v/>
      </c>
      <c r="W605" s="8">
        <f>1/(1+EXP(-V605))</f>
        <v/>
      </c>
      <c r="X605" s="9">
        <f>-IF(C605=1,LN(W605),LN(1-W605))</f>
        <v/>
      </c>
      <c r="Y605" s="8">
        <f>'1 prepared data'!V598</f>
        <v/>
      </c>
      <c r="Z605" s="9">
        <f>Y605*X605</f>
        <v/>
      </c>
      <c r="AA605" s="10">
        <f>IF(W605&gt;$AE$33,1,0)</f>
        <v/>
      </c>
      <c r="AB605">
        <f>IF(AA605=C605,1,0)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$AE$12+D606*$AE$13+E606*$AE$14+F606*$AE$15+G606*$AE$16+H606*$AE$17+I606*$AE$18+J606*$AE$19+K606*$AE$20+L606*$AE$21+M606*$AE$22+N606*$AE$23+O606*$AE$24+P606*$AE$25+Q606*$AE$26+R606*$AE$27+S606*$AE$28+T606*$AE$29+U606*$AE$30</f>
        <v/>
      </c>
      <c r="W606" s="8">
        <f>1/(1+EXP(-V606))</f>
        <v/>
      </c>
      <c r="X606" s="9">
        <f>-IF(C606=1,LN(W606),LN(1-W606))</f>
        <v/>
      </c>
      <c r="Y606" s="8">
        <f>'1 prepared data'!V599</f>
        <v/>
      </c>
      <c r="Z606" s="9">
        <f>Y606*X606</f>
        <v/>
      </c>
      <c r="AA606" s="10">
        <f>IF(W606&gt;$AE$33,1,0)</f>
        <v/>
      </c>
      <c r="AB606">
        <f>IF(AA606=C606,1,0)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$AE$12+D607*$AE$13+E607*$AE$14+F607*$AE$15+G607*$AE$16+H607*$AE$17+I607*$AE$18+J607*$AE$19+K607*$AE$20+L607*$AE$21+M607*$AE$22+N607*$AE$23+O607*$AE$24+P607*$AE$25+Q607*$AE$26+R607*$AE$27+S607*$AE$28+T607*$AE$29+U607*$AE$30</f>
        <v/>
      </c>
      <c r="W607" s="8">
        <f>1/(1+EXP(-V607))</f>
        <v/>
      </c>
      <c r="X607" s="9">
        <f>-IF(C607=1,LN(W607),LN(1-W607))</f>
        <v/>
      </c>
      <c r="Y607" s="8">
        <f>'1 prepared data'!V600</f>
        <v/>
      </c>
      <c r="Z607" s="9">
        <f>Y607*X607</f>
        <v/>
      </c>
      <c r="AA607" s="10">
        <f>IF(W607&gt;$AE$33,1,0)</f>
        <v/>
      </c>
      <c r="AB607">
        <f>IF(AA607=C607,1,0)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$AE$12+D608*$AE$13+E608*$AE$14+F608*$AE$15+G608*$AE$16+H608*$AE$17+I608*$AE$18+J608*$AE$19+K608*$AE$20+L608*$AE$21+M608*$AE$22+N608*$AE$23+O608*$AE$24+P608*$AE$25+Q608*$AE$26+R608*$AE$27+S608*$AE$28+T608*$AE$29+U608*$AE$30</f>
        <v/>
      </c>
      <c r="W608" s="8">
        <f>1/(1+EXP(-V608))</f>
        <v/>
      </c>
      <c r="X608" s="9">
        <f>-IF(C608=1,LN(W608),LN(1-W608))</f>
        <v/>
      </c>
      <c r="Y608" s="8">
        <f>'1 prepared data'!V601</f>
        <v/>
      </c>
      <c r="Z608" s="9">
        <f>Y608*X608</f>
        <v/>
      </c>
      <c r="AA608" s="10">
        <f>IF(W608&gt;$AE$33,1,0)</f>
        <v/>
      </c>
      <c r="AB608">
        <f>IF(AA608=C608,1,0)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$AE$12+D609*$AE$13+E609*$AE$14+F609*$AE$15+G609*$AE$16+H609*$AE$17+I609*$AE$18+J609*$AE$19+K609*$AE$20+L609*$AE$21+M609*$AE$22+N609*$AE$23+O609*$AE$24+P609*$AE$25+Q609*$AE$26+R609*$AE$27+S609*$AE$28+T609*$AE$29+U609*$AE$30</f>
        <v/>
      </c>
      <c r="W609" s="8">
        <f>1/(1+EXP(-V609))</f>
        <v/>
      </c>
      <c r="X609" s="9">
        <f>-IF(C609=1,LN(W609),LN(1-W609))</f>
        <v/>
      </c>
      <c r="Y609" s="8">
        <f>'1 prepared data'!V602</f>
        <v/>
      </c>
      <c r="Z609" s="9">
        <f>Y609*X609</f>
        <v/>
      </c>
      <c r="AA609" s="10">
        <f>IF(W609&gt;$AE$33,1,0)</f>
        <v/>
      </c>
      <c r="AB609">
        <f>IF(AA609=C609,1,0)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$AE$12+D610*$AE$13+E610*$AE$14+F610*$AE$15+G610*$AE$16+H610*$AE$17+I610*$AE$18+J610*$AE$19+K610*$AE$20+L610*$AE$21+M610*$AE$22+N610*$AE$23+O610*$AE$24+P610*$AE$25+Q610*$AE$26+R610*$AE$27+S610*$AE$28+T610*$AE$29+U610*$AE$30</f>
        <v/>
      </c>
      <c r="W610" s="8">
        <f>1/(1+EXP(-V610))</f>
        <v/>
      </c>
      <c r="X610" s="9">
        <f>-IF(C610=1,LN(W610),LN(1-W610))</f>
        <v/>
      </c>
      <c r="Y610" s="8">
        <f>'1 prepared data'!V603</f>
        <v/>
      </c>
      <c r="Z610" s="9">
        <f>Y610*X610</f>
        <v/>
      </c>
      <c r="AA610" s="10">
        <f>IF(W610&gt;$AE$33,1,0)</f>
        <v/>
      </c>
      <c r="AB610">
        <f>IF(AA610=C610,1,0)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$AE$12+D611*$AE$13+E611*$AE$14+F611*$AE$15+G611*$AE$16+H611*$AE$17+I611*$AE$18+J611*$AE$19+K611*$AE$20+L611*$AE$21+M611*$AE$22+N611*$AE$23+O611*$AE$24+P611*$AE$25+Q611*$AE$26+R611*$AE$27+S611*$AE$28+T611*$AE$29+U611*$AE$30</f>
        <v/>
      </c>
      <c r="W611" s="8">
        <f>1/(1+EXP(-V611))</f>
        <v/>
      </c>
      <c r="X611" s="9">
        <f>-IF(C611=1,LN(W611),LN(1-W611))</f>
        <v/>
      </c>
      <c r="Y611" s="8">
        <f>'1 prepared data'!V604</f>
        <v/>
      </c>
      <c r="Z611" s="9">
        <f>Y611*X611</f>
        <v/>
      </c>
      <c r="AA611" s="10">
        <f>IF(W611&gt;$AE$33,1,0)</f>
        <v/>
      </c>
      <c r="AB611">
        <f>IF(AA611=C611,1,0)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$AE$12+D612*$AE$13+E612*$AE$14+F612*$AE$15+G612*$AE$16+H612*$AE$17+I612*$AE$18+J612*$AE$19+K612*$AE$20+L612*$AE$21+M612*$AE$22+N612*$AE$23+O612*$AE$24+P612*$AE$25+Q612*$AE$26+R612*$AE$27+S612*$AE$28+T612*$AE$29+U612*$AE$30</f>
        <v/>
      </c>
      <c r="W612" s="8">
        <f>1/(1+EXP(-V612))</f>
        <v/>
      </c>
      <c r="X612" s="9">
        <f>-IF(C612=1,LN(W612),LN(1-W612))</f>
        <v/>
      </c>
      <c r="Y612" s="8">
        <f>'1 prepared data'!V605</f>
        <v/>
      </c>
      <c r="Z612" s="9">
        <f>Y612*X612</f>
        <v/>
      </c>
      <c r="AA612" s="10">
        <f>IF(W612&gt;$AE$33,1,0)</f>
        <v/>
      </c>
      <c r="AB612">
        <f>IF(AA612=C612,1,0)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$AE$12+D613*$AE$13+E613*$AE$14+F613*$AE$15+G613*$AE$16+H613*$AE$17+I613*$AE$18+J613*$AE$19+K613*$AE$20+L613*$AE$21+M613*$AE$22+N613*$AE$23+O613*$AE$24+P613*$AE$25+Q613*$AE$26+R613*$AE$27+S613*$AE$28+T613*$AE$29+U613*$AE$30</f>
        <v/>
      </c>
      <c r="W613" s="8">
        <f>1/(1+EXP(-V613))</f>
        <v/>
      </c>
      <c r="X613" s="9">
        <f>-IF(C613=1,LN(W613),LN(1-W613))</f>
        <v/>
      </c>
      <c r="Y613" s="8">
        <f>'1 prepared data'!V606</f>
        <v/>
      </c>
      <c r="Z613" s="9">
        <f>Y613*X613</f>
        <v/>
      </c>
      <c r="AA613" s="10">
        <f>IF(W613&gt;$AE$33,1,0)</f>
        <v/>
      </c>
      <c r="AB613">
        <f>IF(AA613=C613,1,0)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$AE$12+D614*$AE$13+E614*$AE$14+F614*$AE$15+G614*$AE$16+H614*$AE$17+I614*$AE$18+J614*$AE$19+K614*$AE$20+L614*$AE$21+M614*$AE$22+N614*$AE$23+O614*$AE$24+P614*$AE$25+Q614*$AE$26+R614*$AE$27+S614*$AE$28+T614*$AE$29+U614*$AE$30</f>
        <v/>
      </c>
      <c r="W614" s="8">
        <f>1/(1+EXP(-V614))</f>
        <v/>
      </c>
      <c r="X614" s="9">
        <f>-IF(C614=1,LN(W614),LN(1-W614))</f>
        <v/>
      </c>
      <c r="Y614" s="8">
        <f>'1 prepared data'!V607</f>
        <v/>
      </c>
      <c r="Z614" s="9">
        <f>Y614*X614</f>
        <v/>
      </c>
      <c r="AA614" s="10">
        <f>IF(W614&gt;$AE$33,1,0)</f>
        <v/>
      </c>
      <c r="AB614">
        <f>IF(AA614=C614,1,0)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$AE$12+D615*$AE$13+E615*$AE$14+F615*$AE$15+G615*$AE$16+H615*$AE$17+I615*$AE$18+J615*$AE$19+K615*$AE$20+L615*$AE$21+M615*$AE$22+N615*$AE$23+O615*$AE$24+P615*$AE$25+Q615*$AE$26+R615*$AE$27+S615*$AE$28+T615*$AE$29+U615*$AE$30</f>
        <v/>
      </c>
      <c r="W615" s="8">
        <f>1/(1+EXP(-V615))</f>
        <v/>
      </c>
      <c r="X615" s="9">
        <f>-IF(C615=1,LN(W615),LN(1-W615))</f>
        <v/>
      </c>
      <c r="Y615" s="8">
        <f>'1 prepared data'!V608</f>
        <v/>
      </c>
      <c r="Z615" s="9">
        <f>Y615*X615</f>
        <v/>
      </c>
      <c r="AA615" s="10">
        <f>IF(W615&gt;$AE$33,1,0)</f>
        <v/>
      </c>
      <c r="AB615">
        <f>IF(AA615=C615,1,0)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$AE$12+D616*$AE$13+E616*$AE$14+F616*$AE$15+G616*$AE$16+H616*$AE$17+I616*$AE$18+J616*$AE$19+K616*$AE$20+L616*$AE$21+M616*$AE$22+N616*$AE$23+O616*$AE$24+P616*$AE$25+Q616*$AE$26+R616*$AE$27+S616*$AE$28+T616*$AE$29+U616*$AE$30</f>
        <v/>
      </c>
      <c r="W616" s="8">
        <f>1/(1+EXP(-V616))</f>
        <v/>
      </c>
      <c r="X616" s="9">
        <f>-IF(C616=1,LN(W616),LN(1-W616))</f>
        <v/>
      </c>
      <c r="Y616" s="8">
        <f>'1 prepared data'!V609</f>
        <v/>
      </c>
      <c r="Z616" s="9">
        <f>Y616*X616</f>
        <v/>
      </c>
      <c r="AA616" s="10">
        <f>IF(W616&gt;$AE$33,1,0)</f>
        <v/>
      </c>
      <c r="AB616">
        <f>IF(AA616=C616,1,0)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$AE$12+D617*$AE$13+E617*$AE$14+F617*$AE$15+G617*$AE$16+H617*$AE$17+I617*$AE$18+J617*$AE$19+K617*$AE$20+L617*$AE$21+M617*$AE$22+N617*$AE$23+O617*$AE$24+P617*$AE$25+Q617*$AE$26+R617*$AE$27+S617*$AE$28+T617*$AE$29+U617*$AE$30</f>
        <v/>
      </c>
      <c r="W617" s="8">
        <f>1/(1+EXP(-V617))</f>
        <v/>
      </c>
      <c r="X617" s="9">
        <f>-IF(C617=1,LN(W617),LN(1-W617))</f>
        <v/>
      </c>
      <c r="Y617" s="8">
        <f>'1 prepared data'!V610</f>
        <v/>
      </c>
      <c r="Z617" s="9">
        <f>Y617*X617</f>
        <v/>
      </c>
      <c r="AA617" s="10">
        <f>IF(W617&gt;$AE$33,1,0)</f>
        <v/>
      </c>
      <c r="AB617">
        <f>IF(AA617=C617,1,0)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$AE$12+D618*$AE$13+E618*$AE$14+F618*$AE$15+G618*$AE$16+H618*$AE$17+I618*$AE$18+J618*$AE$19+K618*$AE$20+L618*$AE$21+M618*$AE$22+N618*$AE$23+O618*$AE$24+P618*$AE$25+Q618*$AE$26+R618*$AE$27+S618*$AE$28+T618*$AE$29+U618*$AE$30</f>
        <v/>
      </c>
      <c r="W618" s="8">
        <f>1/(1+EXP(-V618))</f>
        <v/>
      </c>
      <c r="X618" s="9">
        <f>-IF(C618=1,LN(W618),LN(1-W618))</f>
        <v/>
      </c>
      <c r="Y618" s="8">
        <f>'1 prepared data'!V611</f>
        <v/>
      </c>
      <c r="Z618" s="9">
        <f>Y618*X618</f>
        <v/>
      </c>
      <c r="AA618" s="10">
        <f>IF(W618&gt;$AE$33,1,0)</f>
        <v/>
      </c>
      <c r="AB618">
        <f>IF(AA618=C618,1,0)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$AE$12+D619*$AE$13+E619*$AE$14+F619*$AE$15+G619*$AE$16+H619*$AE$17+I619*$AE$18+J619*$AE$19+K619*$AE$20+L619*$AE$21+M619*$AE$22+N619*$AE$23+O619*$AE$24+P619*$AE$25+Q619*$AE$26+R619*$AE$27+S619*$AE$28+T619*$AE$29+U619*$AE$30</f>
        <v/>
      </c>
      <c r="W619" s="8">
        <f>1/(1+EXP(-V619))</f>
        <v/>
      </c>
      <c r="X619" s="9">
        <f>-IF(C619=1,LN(W619),LN(1-W619))</f>
        <v/>
      </c>
      <c r="Y619" s="8">
        <f>'1 prepared data'!V612</f>
        <v/>
      </c>
      <c r="Z619" s="9">
        <f>Y619*X619</f>
        <v/>
      </c>
      <c r="AA619" s="10">
        <f>IF(W619&gt;$AE$33,1,0)</f>
        <v/>
      </c>
      <c r="AB619">
        <f>IF(AA619=C619,1,0)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$AE$12+D620*$AE$13+E620*$AE$14+F620*$AE$15+G620*$AE$16+H620*$AE$17+I620*$AE$18+J620*$AE$19+K620*$AE$20+L620*$AE$21+M620*$AE$22+N620*$AE$23+O620*$AE$24+P620*$AE$25+Q620*$AE$26+R620*$AE$27+S620*$AE$28+T620*$AE$29+U620*$AE$30</f>
        <v/>
      </c>
      <c r="W620" s="8">
        <f>1/(1+EXP(-V620))</f>
        <v/>
      </c>
      <c r="X620" s="9">
        <f>-IF(C620=1,LN(W620),LN(1-W620))</f>
        <v/>
      </c>
      <c r="Y620" s="8">
        <f>'1 prepared data'!V613</f>
        <v/>
      </c>
      <c r="Z620" s="9">
        <f>Y620*X620</f>
        <v/>
      </c>
      <c r="AA620" s="10">
        <f>IF(W620&gt;$AE$33,1,0)</f>
        <v/>
      </c>
      <c r="AB620">
        <f>IF(AA620=C620,1,0)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$AE$12+D621*$AE$13+E621*$AE$14+F621*$AE$15+G621*$AE$16+H621*$AE$17+I621*$AE$18+J621*$AE$19+K621*$AE$20+L621*$AE$21+M621*$AE$22+N621*$AE$23+O621*$AE$24+P621*$AE$25+Q621*$AE$26+R621*$AE$27+S621*$AE$28+T621*$AE$29+U621*$AE$30</f>
        <v/>
      </c>
      <c r="W621" s="8">
        <f>1/(1+EXP(-V621))</f>
        <v/>
      </c>
      <c r="X621" s="9">
        <f>-IF(C621=1,LN(W621),LN(1-W621))</f>
        <v/>
      </c>
      <c r="Y621" s="8">
        <f>'1 prepared data'!V614</f>
        <v/>
      </c>
      <c r="Z621" s="9">
        <f>Y621*X621</f>
        <v/>
      </c>
      <c r="AA621" s="10">
        <f>IF(W621&gt;$AE$33,1,0)</f>
        <v/>
      </c>
      <c r="AB621">
        <f>IF(AA621=C621,1,0)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$AE$12+D622*$AE$13+E622*$AE$14+F622*$AE$15+G622*$AE$16+H622*$AE$17+I622*$AE$18+J622*$AE$19+K622*$AE$20+L622*$AE$21+M622*$AE$22+N622*$AE$23+O622*$AE$24+P622*$AE$25+Q622*$AE$26+R622*$AE$27+S622*$AE$28+T622*$AE$29+U622*$AE$30</f>
        <v/>
      </c>
      <c r="W622" s="8">
        <f>1/(1+EXP(-V622))</f>
        <v/>
      </c>
      <c r="X622" s="9">
        <f>-IF(C622=1,LN(W622),LN(1-W622))</f>
        <v/>
      </c>
      <c r="Y622" s="8">
        <f>'1 prepared data'!V615</f>
        <v/>
      </c>
      <c r="Z622" s="9">
        <f>Y622*X622</f>
        <v/>
      </c>
      <c r="AA622" s="10">
        <f>IF(W622&gt;$AE$33,1,0)</f>
        <v/>
      </c>
      <c r="AB622">
        <f>IF(AA622=C622,1,0)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$AE$12+D623*$AE$13+E623*$AE$14+F623*$AE$15+G623*$AE$16+H623*$AE$17+I623*$AE$18+J623*$AE$19+K623*$AE$20+L623*$AE$21+M623*$AE$22+N623*$AE$23+O623*$AE$24+P623*$AE$25+Q623*$AE$26+R623*$AE$27+S623*$AE$28+T623*$AE$29+U623*$AE$30</f>
        <v/>
      </c>
      <c r="W623" s="8">
        <f>1/(1+EXP(-V623))</f>
        <v/>
      </c>
      <c r="X623" s="9">
        <f>-IF(C623=1,LN(W623),LN(1-W623))</f>
        <v/>
      </c>
      <c r="Y623" s="8">
        <f>'1 prepared data'!V616</f>
        <v/>
      </c>
      <c r="Z623" s="9">
        <f>Y623*X623</f>
        <v/>
      </c>
      <c r="AA623" s="10">
        <f>IF(W623&gt;$AE$33,1,0)</f>
        <v/>
      </c>
      <c r="AB623">
        <f>IF(AA623=C623,1,0)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$AE$12+D624*$AE$13+E624*$AE$14+F624*$AE$15+G624*$AE$16+H624*$AE$17+I624*$AE$18+J624*$AE$19+K624*$AE$20+L624*$AE$21+M624*$AE$22+N624*$AE$23+O624*$AE$24+P624*$AE$25+Q624*$AE$26+R624*$AE$27+S624*$AE$28+T624*$AE$29+U624*$AE$30</f>
        <v/>
      </c>
      <c r="W624" s="8">
        <f>1/(1+EXP(-V624))</f>
        <v/>
      </c>
      <c r="X624" s="9">
        <f>-IF(C624=1,LN(W624),LN(1-W624))</f>
        <v/>
      </c>
      <c r="Y624" s="8">
        <f>'1 prepared data'!V617</f>
        <v/>
      </c>
      <c r="Z624" s="9">
        <f>Y624*X624</f>
        <v/>
      </c>
      <c r="AA624" s="10">
        <f>IF(W624&gt;$AE$33,1,0)</f>
        <v/>
      </c>
      <c r="AB624">
        <f>IF(AA624=C624,1,0)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$AE$12+D625*$AE$13+E625*$AE$14+F625*$AE$15+G625*$AE$16+H625*$AE$17+I625*$AE$18+J625*$AE$19+K625*$AE$20+L625*$AE$21+M625*$AE$22+N625*$AE$23+O625*$AE$24+P625*$AE$25+Q625*$AE$26+R625*$AE$27+S625*$AE$28+T625*$AE$29+U625*$AE$30</f>
        <v/>
      </c>
      <c r="W625" s="8">
        <f>1/(1+EXP(-V625))</f>
        <v/>
      </c>
      <c r="X625" s="9">
        <f>-IF(C625=1,LN(W625),LN(1-W625))</f>
        <v/>
      </c>
      <c r="Y625" s="8">
        <f>'1 prepared data'!V618</f>
        <v/>
      </c>
      <c r="Z625" s="9">
        <f>Y625*X625</f>
        <v/>
      </c>
      <c r="AA625" s="10">
        <f>IF(W625&gt;$AE$33,1,0)</f>
        <v/>
      </c>
      <c r="AB625">
        <f>IF(AA625=C625,1,0)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$AE$12+D626*$AE$13+E626*$AE$14+F626*$AE$15+G626*$AE$16+H626*$AE$17+I626*$AE$18+J626*$AE$19+K626*$AE$20+L626*$AE$21+M626*$AE$22+N626*$AE$23+O626*$AE$24+P626*$AE$25+Q626*$AE$26+R626*$AE$27+S626*$AE$28+T626*$AE$29+U626*$AE$30</f>
        <v/>
      </c>
      <c r="W626" s="8">
        <f>1/(1+EXP(-V626))</f>
        <v/>
      </c>
      <c r="X626" s="9">
        <f>-IF(C626=1,LN(W626),LN(1-W626))</f>
        <v/>
      </c>
      <c r="Y626" s="8">
        <f>'1 prepared data'!V619</f>
        <v/>
      </c>
      <c r="Z626" s="9">
        <f>Y626*X626</f>
        <v/>
      </c>
      <c r="AA626" s="10">
        <f>IF(W626&gt;$AE$33,1,0)</f>
        <v/>
      </c>
      <c r="AB626">
        <f>IF(AA626=C626,1,0)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$AE$12+D627*$AE$13+E627*$AE$14+F627*$AE$15+G627*$AE$16+H627*$AE$17+I627*$AE$18+J627*$AE$19+K627*$AE$20+L627*$AE$21+M627*$AE$22+N627*$AE$23+O627*$AE$24+P627*$AE$25+Q627*$AE$26+R627*$AE$27+S627*$AE$28+T627*$AE$29+U627*$AE$30</f>
        <v/>
      </c>
      <c r="W627" s="8">
        <f>1/(1+EXP(-V627))</f>
        <v/>
      </c>
      <c r="X627" s="9">
        <f>-IF(C627=1,LN(W627),LN(1-W627))</f>
        <v/>
      </c>
      <c r="Y627" s="8">
        <f>'1 prepared data'!V620</f>
        <v/>
      </c>
      <c r="Z627" s="9">
        <f>Y627*X627</f>
        <v/>
      </c>
      <c r="AA627" s="10">
        <f>IF(W627&gt;$AE$33,1,0)</f>
        <v/>
      </c>
      <c r="AB627">
        <f>IF(AA627=C627,1,0)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$AE$12+D628*$AE$13+E628*$AE$14+F628*$AE$15+G628*$AE$16+H628*$AE$17+I628*$AE$18+J628*$AE$19+K628*$AE$20+L628*$AE$21+M628*$AE$22+N628*$AE$23+O628*$AE$24+P628*$AE$25+Q628*$AE$26+R628*$AE$27+S628*$AE$28+T628*$AE$29+U628*$AE$30</f>
        <v/>
      </c>
      <c r="W628" s="8">
        <f>1/(1+EXP(-V628))</f>
        <v/>
      </c>
      <c r="X628" s="9">
        <f>-IF(C628=1,LN(W628),LN(1-W628))</f>
        <v/>
      </c>
      <c r="Y628" s="8">
        <f>'1 prepared data'!V621</f>
        <v/>
      </c>
      <c r="Z628" s="9">
        <f>Y628*X628</f>
        <v/>
      </c>
      <c r="AA628" s="10">
        <f>IF(W628&gt;$AE$33,1,0)</f>
        <v/>
      </c>
      <c r="AB628">
        <f>IF(AA628=C628,1,0)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$AE$12+D629*$AE$13+E629*$AE$14+F629*$AE$15+G629*$AE$16+H629*$AE$17+I629*$AE$18+J629*$AE$19+K629*$AE$20+L629*$AE$21+M629*$AE$22+N629*$AE$23+O629*$AE$24+P629*$AE$25+Q629*$AE$26+R629*$AE$27+S629*$AE$28+T629*$AE$29+U629*$AE$30</f>
        <v/>
      </c>
      <c r="W629" s="8">
        <f>1/(1+EXP(-V629))</f>
        <v/>
      </c>
      <c r="X629" s="9">
        <f>-IF(C629=1,LN(W629),LN(1-W629))</f>
        <v/>
      </c>
      <c r="Y629" s="8">
        <f>'1 prepared data'!V622</f>
        <v/>
      </c>
      <c r="Z629" s="9">
        <f>Y629*X629</f>
        <v/>
      </c>
      <c r="AA629" s="10">
        <f>IF(W629&gt;$AE$33,1,0)</f>
        <v/>
      </c>
      <c r="AB629">
        <f>IF(AA629=C629,1,0)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$AE$12+D630*$AE$13+E630*$AE$14+F630*$AE$15+G630*$AE$16+H630*$AE$17+I630*$AE$18+J630*$AE$19+K630*$AE$20+L630*$AE$21+M630*$AE$22+N630*$AE$23+O630*$AE$24+P630*$AE$25+Q630*$AE$26+R630*$AE$27+S630*$AE$28+T630*$AE$29+U630*$AE$30</f>
        <v/>
      </c>
      <c r="W630" s="8">
        <f>1/(1+EXP(-V630))</f>
        <v/>
      </c>
      <c r="X630" s="9">
        <f>-IF(C630=1,LN(W630),LN(1-W630))</f>
        <v/>
      </c>
      <c r="Y630" s="8">
        <f>'1 prepared data'!V623</f>
        <v/>
      </c>
      <c r="Z630" s="9">
        <f>Y630*X630</f>
        <v/>
      </c>
      <c r="AA630" s="10">
        <f>IF(W630&gt;$AE$33,1,0)</f>
        <v/>
      </c>
      <c r="AB630">
        <f>IF(AA630=C630,1,0)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$AE$12+D631*$AE$13+E631*$AE$14+F631*$AE$15+G631*$AE$16+H631*$AE$17+I631*$AE$18+J631*$AE$19+K631*$AE$20+L631*$AE$21+M631*$AE$22+N631*$AE$23+O631*$AE$24+P631*$AE$25+Q631*$AE$26+R631*$AE$27+S631*$AE$28+T631*$AE$29+U631*$AE$30</f>
        <v/>
      </c>
      <c r="W631" s="8">
        <f>1/(1+EXP(-V631))</f>
        <v/>
      </c>
      <c r="X631" s="9">
        <f>-IF(C631=1,LN(W631),LN(1-W631))</f>
        <v/>
      </c>
      <c r="Y631" s="8">
        <f>'1 prepared data'!V624</f>
        <v/>
      </c>
      <c r="Z631" s="9">
        <f>Y631*X631</f>
        <v/>
      </c>
      <c r="AA631" s="10">
        <f>IF(W631&gt;$AE$33,1,0)</f>
        <v/>
      </c>
      <c r="AB631">
        <f>IF(AA631=C631,1,0)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$AE$12+D632*$AE$13+E632*$AE$14+F632*$AE$15+G632*$AE$16+H632*$AE$17+I632*$AE$18+J632*$AE$19+K632*$AE$20+L632*$AE$21+M632*$AE$22+N632*$AE$23+O632*$AE$24+P632*$AE$25+Q632*$AE$26+R632*$AE$27+S632*$AE$28+T632*$AE$29+U632*$AE$30</f>
        <v/>
      </c>
      <c r="W632" s="8">
        <f>1/(1+EXP(-V632))</f>
        <v/>
      </c>
      <c r="X632" s="9">
        <f>-IF(C632=1,LN(W632),LN(1-W632))</f>
        <v/>
      </c>
      <c r="Y632" s="8">
        <f>'1 prepared data'!V625</f>
        <v/>
      </c>
      <c r="Z632" s="9">
        <f>Y632*X632</f>
        <v/>
      </c>
      <c r="AA632" s="10">
        <f>IF(W632&gt;$AE$33,1,0)</f>
        <v/>
      </c>
      <c r="AB632">
        <f>IF(AA632=C632,1,0)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$AE$12+D633*$AE$13+E633*$AE$14+F633*$AE$15+G633*$AE$16+H633*$AE$17+I633*$AE$18+J633*$AE$19+K633*$AE$20+L633*$AE$21+M633*$AE$22+N633*$AE$23+O633*$AE$24+P633*$AE$25+Q633*$AE$26+R633*$AE$27+S633*$AE$28+T633*$AE$29+U633*$AE$30</f>
        <v/>
      </c>
      <c r="W633" s="8">
        <f>1/(1+EXP(-V633))</f>
        <v/>
      </c>
      <c r="X633" s="9">
        <f>-IF(C633=1,LN(W633),LN(1-W633))</f>
        <v/>
      </c>
      <c r="Y633" s="8">
        <f>'1 prepared data'!V626</f>
        <v/>
      </c>
      <c r="Z633" s="9">
        <f>Y633*X633</f>
        <v/>
      </c>
      <c r="AA633" s="10">
        <f>IF(W633&gt;$AE$33,1,0)</f>
        <v/>
      </c>
      <c r="AB633">
        <f>IF(AA633=C633,1,0)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$AE$12+D634*$AE$13+E634*$AE$14+F634*$AE$15+G634*$AE$16+H634*$AE$17+I634*$AE$18+J634*$AE$19+K634*$AE$20+L634*$AE$21+M634*$AE$22+N634*$AE$23+O634*$AE$24+P634*$AE$25+Q634*$AE$26+R634*$AE$27+S634*$AE$28+T634*$AE$29+U634*$AE$30</f>
        <v/>
      </c>
      <c r="W634" s="8">
        <f>1/(1+EXP(-V634))</f>
        <v/>
      </c>
      <c r="X634" s="9">
        <f>-IF(C634=1,LN(W634),LN(1-W634))</f>
        <v/>
      </c>
      <c r="Y634" s="8">
        <f>'1 prepared data'!V627</f>
        <v/>
      </c>
      <c r="Z634" s="9">
        <f>Y634*X634</f>
        <v/>
      </c>
      <c r="AA634" s="10">
        <f>IF(W634&gt;$AE$33,1,0)</f>
        <v/>
      </c>
      <c r="AB634">
        <f>IF(AA634=C634,1,0)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$AE$12+D635*$AE$13+E635*$AE$14+F635*$AE$15+G635*$AE$16+H635*$AE$17+I635*$AE$18+J635*$AE$19+K635*$AE$20+L635*$AE$21+M635*$AE$22+N635*$AE$23+O635*$AE$24+P635*$AE$25+Q635*$AE$26+R635*$AE$27+S635*$AE$28+T635*$AE$29+U635*$AE$30</f>
        <v/>
      </c>
      <c r="W635" s="8">
        <f>1/(1+EXP(-V635))</f>
        <v/>
      </c>
      <c r="X635" s="9">
        <f>-IF(C635=1,LN(W635),LN(1-W635))</f>
        <v/>
      </c>
      <c r="Y635" s="8">
        <f>'1 prepared data'!V628</f>
        <v/>
      </c>
      <c r="Z635" s="9">
        <f>Y635*X635</f>
        <v/>
      </c>
      <c r="AA635" s="10">
        <f>IF(W635&gt;$AE$33,1,0)</f>
        <v/>
      </c>
      <c r="AB635">
        <f>IF(AA635=C635,1,0)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$AE$12+D636*$AE$13+E636*$AE$14+F636*$AE$15+G636*$AE$16+H636*$AE$17+I636*$AE$18+J636*$AE$19+K636*$AE$20+L636*$AE$21+M636*$AE$22+N636*$AE$23+O636*$AE$24+P636*$AE$25+Q636*$AE$26+R636*$AE$27+S636*$AE$28+T636*$AE$29+U636*$AE$30</f>
        <v/>
      </c>
      <c r="W636" s="8">
        <f>1/(1+EXP(-V636))</f>
        <v/>
      </c>
      <c r="X636" s="9">
        <f>-IF(C636=1,LN(W636),LN(1-W636))</f>
        <v/>
      </c>
      <c r="Y636" s="8">
        <f>'1 prepared data'!V629</f>
        <v/>
      </c>
      <c r="Z636" s="9">
        <f>Y636*X636</f>
        <v/>
      </c>
      <c r="AA636" s="10">
        <f>IF(W636&gt;$AE$33,1,0)</f>
        <v/>
      </c>
      <c r="AB636">
        <f>IF(AA636=C636,1,0)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$AE$12+D637*$AE$13+E637*$AE$14+F637*$AE$15+G637*$AE$16+H637*$AE$17+I637*$AE$18+J637*$AE$19+K637*$AE$20+L637*$AE$21+M637*$AE$22+N637*$AE$23+O637*$AE$24+P637*$AE$25+Q637*$AE$26+R637*$AE$27+S637*$AE$28+T637*$AE$29+U637*$AE$30</f>
        <v/>
      </c>
      <c r="W637" s="8">
        <f>1/(1+EXP(-V637))</f>
        <v/>
      </c>
      <c r="X637" s="9">
        <f>-IF(C637=1,LN(W637),LN(1-W637))</f>
        <v/>
      </c>
      <c r="Y637" s="8">
        <f>'1 prepared data'!V630</f>
        <v/>
      </c>
      <c r="Z637" s="9">
        <f>Y637*X637</f>
        <v/>
      </c>
      <c r="AA637" s="10">
        <f>IF(W637&gt;$AE$33,1,0)</f>
        <v/>
      </c>
      <c r="AB637">
        <f>IF(AA637=C637,1,0)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$AE$12+D638*$AE$13+E638*$AE$14+F638*$AE$15+G638*$AE$16+H638*$AE$17+I638*$AE$18+J638*$AE$19+K638*$AE$20+L638*$AE$21+M638*$AE$22+N638*$AE$23+O638*$AE$24+P638*$AE$25+Q638*$AE$26+R638*$AE$27+S638*$AE$28+T638*$AE$29+U638*$AE$30</f>
        <v/>
      </c>
      <c r="W638" s="8">
        <f>1/(1+EXP(-V638))</f>
        <v/>
      </c>
      <c r="X638" s="9">
        <f>-IF(C638=1,LN(W638),LN(1-W638))</f>
        <v/>
      </c>
      <c r="Y638" s="8">
        <f>'1 prepared data'!V631</f>
        <v/>
      </c>
      <c r="Z638" s="9">
        <f>Y638*X638</f>
        <v/>
      </c>
      <c r="AA638" s="10">
        <f>IF(W638&gt;$AE$33,1,0)</f>
        <v/>
      </c>
      <c r="AB638">
        <f>IF(AA638=C638,1,0)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$AE$12+D639*$AE$13+E639*$AE$14+F639*$AE$15+G639*$AE$16+H639*$AE$17+I639*$AE$18+J639*$AE$19+K639*$AE$20+L639*$AE$21+M639*$AE$22+N639*$AE$23+O639*$AE$24+P639*$AE$25+Q639*$AE$26+R639*$AE$27+S639*$AE$28+T639*$AE$29+U639*$AE$30</f>
        <v/>
      </c>
      <c r="W639" s="8">
        <f>1/(1+EXP(-V639))</f>
        <v/>
      </c>
      <c r="X639" s="9">
        <f>-IF(C639=1,LN(W639),LN(1-W639))</f>
        <v/>
      </c>
      <c r="Y639" s="8">
        <f>'1 prepared data'!V632</f>
        <v/>
      </c>
      <c r="Z639" s="9">
        <f>Y639*X639</f>
        <v/>
      </c>
      <c r="AA639" s="10">
        <f>IF(W639&gt;$AE$33,1,0)</f>
        <v/>
      </c>
      <c r="AB639">
        <f>IF(AA639=C639,1,0)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$AE$12+D640*$AE$13+E640*$AE$14+F640*$AE$15+G640*$AE$16+H640*$AE$17+I640*$AE$18+J640*$AE$19+K640*$AE$20+L640*$AE$21+M640*$AE$22+N640*$AE$23+O640*$AE$24+P640*$AE$25+Q640*$AE$26+R640*$AE$27+S640*$AE$28+T640*$AE$29+U640*$AE$30</f>
        <v/>
      </c>
      <c r="W640" s="8">
        <f>1/(1+EXP(-V640))</f>
        <v/>
      </c>
      <c r="X640" s="9">
        <f>-IF(C640=1,LN(W640),LN(1-W640))</f>
        <v/>
      </c>
      <c r="Y640" s="8">
        <f>'1 prepared data'!V633</f>
        <v/>
      </c>
      <c r="Z640" s="9">
        <f>Y640*X640</f>
        <v/>
      </c>
      <c r="AA640" s="10">
        <f>IF(W640&gt;$AE$33,1,0)</f>
        <v/>
      </c>
      <c r="AB640">
        <f>IF(AA640=C640,1,0)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$AE$12+D641*$AE$13+E641*$AE$14+F641*$AE$15+G641*$AE$16+H641*$AE$17+I641*$AE$18+J641*$AE$19+K641*$AE$20+L641*$AE$21+M641*$AE$22+N641*$AE$23+O641*$AE$24+P641*$AE$25+Q641*$AE$26+R641*$AE$27+S641*$AE$28+T641*$AE$29+U641*$AE$30</f>
        <v/>
      </c>
      <c r="W641" s="8">
        <f>1/(1+EXP(-V641))</f>
        <v/>
      </c>
      <c r="X641" s="9">
        <f>-IF(C641=1,LN(W641),LN(1-W641))</f>
        <v/>
      </c>
      <c r="Y641" s="8">
        <f>'1 prepared data'!V634</f>
        <v/>
      </c>
      <c r="Z641" s="9">
        <f>Y641*X641</f>
        <v/>
      </c>
      <c r="AA641" s="10">
        <f>IF(W641&gt;$AE$33,1,0)</f>
        <v/>
      </c>
      <c r="AB641">
        <f>IF(AA641=C641,1,0)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$AE$12+D642*$AE$13+E642*$AE$14+F642*$AE$15+G642*$AE$16+H642*$AE$17+I642*$AE$18+J642*$AE$19+K642*$AE$20+L642*$AE$21+M642*$AE$22+N642*$AE$23+O642*$AE$24+P642*$AE$25+Q642*$AE$26+R642*$AE$27+S642*$AE$28+T642*$AE$29+U642*$AE$30</f>
        <v/>
      </c>
      <c r="W642" s="8">
        <f>1/(1+EXP(-V642))</f>
        <v/>
      </c>
      <c r="X642" s="9">
        <f>-IF(C642=1,LN(W642),LN(1-W642))</f>
        <v/>
      </c>
      <c r="Y642" s="8">
        <f>'1 prepared data'!V635</f>
        <v/>
      </c>
      <c r="Z642" s="9">
        <f>Y642*X642</f>
        <v/>
      </c>
      <c r="AA642" s="10">
        <f>IF(W642&gt;$AE$33,1,0)</f>
        <v/>
      </c>
      <c r="AB642">
        <f>IF(AA642=C642,1,0)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$AE$12+D643*$AE$13+E643*$AE$14+F643*$AE$15+G643*$AE$16+H643*$AE$17+I643*$AE$18+J643*$AE$19+K643*$AE$20+L643*$AE$21+M643*$AE$22+N643*$AE$23+O643*$AE$24+P643*$AE$25+Q643*$AE$26+R643*$AE$27+S643*$AE$28+T643*$AE$29+U643*$AE$30</f>
        <v/>
      </c>
      <c r="W643" s="8">
        <f>1/(1+EXP(-V643))</f>
        <v/>
      </c>
      <c r="X643" s="9">
        <f>-IF(C643=1,LN(W643),LN(1-W643))</f>
        <v/>
      </c>
      <c r="Y643" s="8">
        <f>'1 prepared data'!V636</f>
        <v/>
      </c>
      <c r="Z643" s="9">
        <f>Y643*X643</f>
        <v/>
      </c>
      <c r="AA643" s="10">
        <f>IF(W643&gt;$AE$33,1,0)</f>
        <v/>
      </c>
      <c r="AB643">
        <f>IF(AA643=C643,1,0)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$AE$12+D644*$AE$13+E644*$AE$14+F644*$AE$15+G644*$AE$16+H644*$AE$17+I644*$AE$18+J644*$AE$19+K644*$AE$20+L644*$AE$21+M644*$AE$22+N644*$AE$23+O644*$AE$24+P644*$AE$25+Q644*$AE$26+R644*$AE$27+S644*$AE$28+T644*$AE$29+U644*$AE$30</f>
        <v/>
      </c>
      <c r="W644" s="8">
        <f>1/(1+EXP(-V644))</f>
        <v/>
      </c>
      <c r="X644" s="9">
        <f>-IF(C644=1,LN(W644),LN(1-W644))</f>
        <v/>
      </c>
      <c r="Y644" s="8">
        <f>'1 prepared data'!V637</f>
        <v/>
      </c>
      <c r="Z644" s="9">
        <f>Y644*X644</f>
        <v/>
      </c>
      <c r="AA644" s="10">
        <f>IF(W644&gt;$AE$33,1,0)</f>
        <v/>
      </c>
      <c r="AB644">
        <f>IF(AA644=C644,1,0)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$AE$12+D645*$AE$13+E645*$AE$14+F645*$AE$15+G645*$AE$16+H645*$AE$17+I645*$AE$18+J645*$AE$19+K645*$AE$20+L645*$AE$21+M645*$AE$22+N645*$AE$23+O645*$AE$24+P645*$AE$25+Q645*$AE$26+R645*$AE$27+S645*$AE$28+T645*$AE$29+U645*$AE$30</f>
        <v/>
      </c>
      <c r="W645" s="8">
        <f>1/(1+EXP(-V645))</f>
        <v/>
      </c>
      <c r="X645" s="9">
        <f>-IF(C645=1,LN(W645),LN(1-W645))</f>
        <v/>
      </c>
      <c r="Y645" s="8">
        <f>'1 prepared data'!V638</f>
        <v/>
      </c>
      <c r="Z645" s="9">
        <f>Y645*X645</f>
        <v/>
      </c>
      <c r="AA645" s="10">
        <f>IF(W645&gt;$AE$33,1,0)</f>
        <v/>
      </c>
      <c r="AB645">
        <f>IF(AA645=C645,1,0)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$AE$12+D646*$AE$13+E646*$AE$14+F646*$AE$15+G646*$AE$16+H646*$AE$17+I646*$AE$18+J646*$AE$19+K646*$AE$20+L646*$AE$21+M646*$AE$22+N646*$AE$23+O646*$AE$24+P646*$AE$25+Q646*$AE$26+R646*$AE$27+S646*$AE$28+T646*$AE$29+U646*$AE$30</f>
        <v/>
      </c>
      <c r="W646" s="8">
        <f>1/(1+EXP(-V646))</f>
        <v/>
      </c>
      <c r="X646" s="9">
        <f>-IF(C646=1,LN(W646),LN(1-W646))</f>
        <v/>
      </c>
      <c r="Y646" s="8">
        <f>'1 prepared data'!V639</f>
        <v/>
      </c>
      <c r="Z646" s="9">
        <f>Y646*X646</f>
        <v/>
      </c>
      <c r="AA646" s="10">
        <f>IF(W646&gt;$AE$33,1,0)</f>
        <v/>
      </c>
      <c r="AB646">
        <f>IF(AA646=C646,1,0)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$AE$12+D647*$AE$13+E647*$AE$14+F647*$AE$15+G647*$AE$16+H647*$AE$17+I647*$AE$18+J647*$AE$19+K647*$AE$20+L647*$AE$21+M647*$AE$22+N647*$AE$23+O647*$AE$24+P647*$AE$25+Q647*$AE$26+R647*$AE$27+S647*$AE$28+T647*$AE$29+U647*$AE$30</f>
        <v/>
      </c>
      <c r="W647" s="8">
        <f>1/(1+EXP(-V647))</f>
        <v/>
      </c>
      <c r="X647" s="9">
        <f>-IF(C647=1,LN(W647),LN(1-W647))</f>
        <v/>
      </c>
      <c r="Y647" s="8">
        <f>'1 prepared data'!V640</f>
        <v/>
      </c>
      <c r="Z647" s="9">
        <f>Y647*X647</f>
        <v/>
      </c>
      <c r="AA647" s="10">
        <f>IF(W647&gt;$AE$33,1,0)</f>
        <v/>
      </c>
      <c r="AB647">
        <f>IF(AA647=C647,1,0)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$AE$12+D648*$AE$13+E648*$AE$14+F648*$AE$15+G648*$AE$16+H648*$AE$17+I648*$AE$18+J648*$AE$19+K648*$AE$20+L648*$AE$21+M648*$AE$22+N648*$AE$23+O648*$AE$24+P648*$AE$25+Q648*$AE$26+R648*$AE$27+S648*$AE$28+T648*$AE$29+U648*$AE$30</f>
        <v/>
      </c>
      <c r="W648" s="8">
        <f>1/(1+EXP(-V648))</f>
        <v/>
      </c>
      <c r="X648" s="9">
        <f>-IF(C648=1,LN(W648),LN(1-W648))</f>
        <v/>
      </c>
      <c r="Y648" s="8">
        <f>'1 prepared data'!V641</f>
        <v/>
      </c>
      <c r="Z648" s="9">
        <f>Y648*X648</f>
        <v/>
      </c>
      <c r="AA648" s="10">
        <f>IF(W648&gt;$AE$33,1,0)</f>
        <v/>
      </c>
      <c r="AB648">
        <f>IF(AA648=C648,1,0)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$AE$12+D649*$AE$13+E649*$AE$14+F649*$AE$15+G649*$AE$16+H649*$AE$17+I649*$AE$18+J649*$AE$19+K649*$AE$20+L649*$AE$21+M649*$AE$22+N649*$AE$23+O649*$AE$24+P649*$AE$25+Q649*$AE$26+R649*$AE$27+S649*$AE$28+T649*$AE$29+U649*$AE$30</f>
        <v/>
      </c>
      <c r="W649" s="8">
        <f>1/(1+EXP(-V649))</f>
        <v/>
      </c>
      <c r="X649" s="9">
        <f>-IF(C649=1,LN(W649),LN(1-W649))</f>
        <v/>
      </c>
      <c r="Y649" s="8">
        <f>'1 prepared data'!V642</f>
        <v/>
      </c>
      <c r="Z649" s="9">
        <f>Y649*X649</f>
        <v/>
      </c>
      <c r="AA649" s="10">
        <f>IF(W649&gt;$AE$33,1,0)</f>
        <v/>
      </c>
      <c r="AB649">
        <f>IF(AA649=C649,1,0)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$AE$12+D650*$AE$13+E650*$AE$14+F650*$AE$15+G650*$AE$16+H650*$AE$17+I650*$AE$18+J650*$AE$19+K650*$AE$20+L650*$AE$21+M650*$AE$22+N650*$AE$23+O650*$AE$24+P650*$AE$25+Q650*$AE$26+R650*$AE$27+S650*$AE$28+T650*$AE$29+U650*$AE$30</f>
        <v/>
      </c>
      <c r="W650" s="8">
        <f>1/(1+EXP(-V650))</f>
        <v/>
      </c>
      <c r="X650" s="9">
        <f>-IF(C650=1,LN(W650),LN(1-W650))</f>
        <v/>
      </c>
      <c r="Y650" s="8">
        <f>'1 prepared data'!V643</f>
        <v/>
      </c>
      <c r="Z650" s="9">
        <f>Y650*X650</f>
        <v/>
      </c>
      <c r="AA650" s="10">
        <f>IF(W650&gt;$AE$33,1,0)</f>
        <v/>
      </c>
      <c r="AB650">
        <f>IF(AA650=C650,1,0)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$AE$12+D651*$AE$13+E651*$AE$14+F651*$AE$15+G651*$AE$16+H651*$AE$17+I651*$AE$18+J651*$AE$19+K651*$AE$20+L651*$AE$21+M651*$AE$22+N651*$AE$23+O651*$AE$24+P651*$AE$25+Q651*$AE$26+R651*$AE$27+S651*$AE$28+T651*$AE$29+U651*$AE$30</f>
        <v/>
      </c>
      <c r="W651" s="8">
        <f>1/(1+EXP(-V651))</f>
        <v/>
      </c>
      <c r="X651" s="9">
        <f>-IF(C651=1,LN(W651),LN(1-W651))</f>
        <v/>
      </c>
      <c r="Y651" s="8">
        <f>'1 prepared data'!V644</f>
        <v/>
      </c>
      <c r="Z651" s="9">
        <f>Y651*X651</f>
        <v/>
      </c>
      <c r="AA651" s="10">
        <f>IF(W651&gt;$AE$33,1,0)</f>
        <v/>
      </c>
      <c r="AB651">
        <f>IF(AA651=C651,1,0)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$AE$12+D652*$AE$13+E652*$AE$14+F652*$AE$15+G652*$AE$16+H652*$AE$17+I652*$AE$18+J652*$AE$19+K652*$AE$20+L652*$AE$21+M652*$AE$22+N652*$AE$23+O652*$AE$24+P652*$AE$25+Q652*$AE$26+R652*$AE$27+S652*$AE$28+T652*$AE$29+U652*$AE$30</f>
        <v/>
      </c>
      <c r="W652" s="8">
        <f>1/(1+EXP(-V652))</f>
        <v/>
      </c>
      <c r="X652" s="9">
        <f>-IF(C652=1,LN(W652),LN(1-W652))</f>
        <v/>
      </c>
      <c r="Y652" s="8">
        <f>'1 prepared data'!V645</f>
        <v/>
      </c>
      <c r="Z652" s="9">
        <f>Y652*X652</f>
        <v/>
      </c>
      <c r="AA652" s="10">
        <f>IF(W652&gt;$AE$33,1,0)</f>
        <v/>
      </c>
      <c r="AB652">
        <f>IF(AA652=C652,1,0)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$AE$12+D653*$AE$13+E653*$AE$14+F653*$AE$15+G653*$AE$16+H653*$AE$17+I653*$AE$18+J653*$AE$19+K653*$AE$20+L653*$AE$21+M653*$AE$22+N653*$AE$23+O653*$AE$24+P653*$AE$25+Q653*$AE$26+R653*$AE$27+S653*$AE$28+T653*$AE$29+U653*$AE$30</f>
        <v/>
      </c>
      <c r="W653" s="8">
        <f>1/(1+EXP(-V653))</f>
        <v/>
      </c>
      <c r="X653" s="9">
        <f>-IF(C653=1,LN(W653),LN(1-W653))</f>
        <v/>
      </c>
      <c r="Y653" s="8">
        <f>'1 prepared data'!V646</f>
        <v/>
      </c>
      <c r="Z653" s="9">
        <f>Y653*X653</f>
        <v/>
      </c>
      <c r="AA653" s="10">
        <f>IF(W653&gt;$AE$33,1,0)</f>
        <v/>
      </c>
      <c r="AB653">
        <f>IF(AA653=C653,1,0)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$AE$12+D654*$AE$13+E654*$AE$14+F654*$AE$15+G654*$AE$16+H654*$AE$17+I654*$AE$18+J654*$AE$19+K654*$AE$20+L654*$AE$21+M654*$AE$22+N654*$AE$23+O654*$AE$24+P654*$AE$25+Q654*$AE$26+R654*$AE$27+S654*$AE$28+T654*$AE$29+U654*$AE$30</f>
        <v/>
      </c>
      <c r="W654" s="8">
        <f>1/(1+EXP(-V654))</f>
        <v/>
      </c>
      <c r="X654" s="9">
        <f>-IF(C654=1,LN(W654),LN(1-W654))</f>
        <v/>
      </c>
      <c r="Y654" s="8">
        <f>'1 prepared data'!V647</f>
        <v/>
      </c>
      <c r="Z654" s="9">
        <f>Y654*X654</f>
        <v/>
      </c>
      <c r="AA654" s="10">
        <f>IF(W654&gt;$AE$33,1,0)</f>
        <v/>
      </c>
      <c r="AB654">
        <f>IF(AA654=C654,1,0)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$AE$12+D655*$AE$13+E655*$AE$14+F655*$AE$15+G655*$AE$16+H655*$AE$17+I655*$AE$18+J655*$AE$19+K655*$AE$20+L655*$AE$21+M655*$AE$22+N655*$AE$23+O655*$AE$24+P655*$AE$25+Q655*$AE$26+R655*$AE$27+S655*$AE$28+T655*$AE$29+U655*$AE$30</f>
        <v/>
      </c>
      <c r="W655" s="8">
        <f>1/(1+EXP(-V655))</f>
        <v/>
      </c>
      <c r="X655" s="9">
        <f>-IF(C655=1,LN(W655),LN(1-W655))</f>
        <v/>
      </c>
      <c r="Y655" s="8">
        <f>'1 prepared data'!V648</f>
        <v/>
      </c>
      <c r="Z655" s="9">
        <f>Y655*X655</f>
        <v/>
      </c>
      <c r="AA655" s="10">
        <f>IF(W655&gt;$AE$33,1,0)</f>
        <v/>
      </c>
      <c r="AB655">
        <f>IF(AA655=C655,1,0)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$AE$12+D656*$AE$13+E656*$AE$14+F656*$AE$15+G656*$AE$16+H656*$AE$17+I656*$AE$18+J656*$AE$19+K656*$AE$20+L656*$AE$21+M656*$AE$22+N656*$AE$23+O656*$AE$24+P656*$AE$25+Q656*$AE$26+R656*$AE$27+S656*$AE$28+T656*$AE$29+U656*$AE$30</f>
        <v/>
      </c>
      <c r="W656" s="8">
        <f>1/(1+EXP(-V656))</f>
        <v/>
      </c>
      <c r="X656" s="9">
        <f>-IF(C656=1,LN(W656),LN(1-W656))</f>
        <v/>
      </c>
      <c r="Y656" s="8">
        <f>'1 prepared data'!V649</f>
        <v/>
      </c>
      <c r="Z656" s="9">
        <f>Y656*X656</f>
        <v/>
      </c>
      <c r="AA656" s="10">
        <f>IF(W656&gt;$AE$33,1,0)</f>
        <v/>
      </c>
      <c r="AB656">
        <f>IF(AA656=C656,1,0)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$AE$12+D657*$AE$13+E657*$AE$14+F657*$AE$15+G657*$AE$16+H657*$AE$17+I657*$AE$18+J657*$AE$19+K657*$AE$20+L657*$AE$21+M657*$AE$22+N657*$AE$23+O657*$AE$24+P657*$AE$25+Q657*$AE$26+R657*$AE$27+S657*$AE$28+T657*$AE$29+U657*$AE$30</f>
        <v/>
      </c>
      <c r="W657" s="8">
        <f>1/(1+EXP(-V657))</f>
        <v/>
      </c>
      <c r="X657" s="9">
        <f>-IF(C657=1,LN(W657),LN(1-W657))</f>
        <v/>
      </c>
      <c r="Y657" s="8">
        <f>'1 prepared data'!V650</f>
        <v/>
      </c>
      <c r="Z657" s="9">
        <f>Y657*X657</f>
        <v/>
      </c>
      <c r="AA657" s="10">
        <f>IF(W657&gt;$AE$33,1,0)</f>
        <v/>
      </c>
      <c r="AB657">
        <f>IF(AA657=C657,1,0)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$AE$12+D658*$AE$13+E658*$AE$14+F658*$AE$15+G658*$AE$16+H658*$AE$17+I658*$AE$18+J658*$AE$19+K658*$AE$20+L658*$AE$21+M658*$AE$22+N658*$AE$23+O658*$AE$24+P658*$AE$25+Q658*$AE$26+R658*$AE$27+S658*$AE$28+T658*$AE$29+U658*$AE$30</f>
        <v/>
      </c>
      <c r="W658" s="8">
        <f>1/(1+EXP(-V658))</f>
        <v/>
      </c>
      <c r="X658" s="9">
        <f>-IF(C658=1,LN(W658),LN(1-W658))</f>
        <v/>
      </c>
      <c r="Y658" s="8">
        <f>'1 prepared data'!V651</f>
        <v/>
      </c>
      <c r="Z658" s="9">
        <f>Y658*X658</f>
        <v/>
      </c>
      <c r="AA658" s="10">
        <f>IF(W658&gt;$AE$33,1,0)</f>
        <v/>
      </c>
      <c r="AB658">
        <f>IF(AA658=C658,1,0)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$AE$12+D659*$AE$13+E659*$AE$14+F659*$AE$15+G659*$AE$16+H659*$AE$17+I659*$AE$18+J659*$AE$19+K659*$AE$20+L659*$AE$21+M659*$AE$22+N659*$AE$23+O659*$AE$24+P659*$AE$25+Q659*$AE$26+R659*$AE$27+S659*$AE$28+T659*$AE$29+U659*$AE$30</f>
        <v/>
      </c>
      <c r="W659" s="8">
        <f>1/(1+EXP(-V659))</f>
        <v/>
      </c>
      <c r="X659" s="9">
        <f>-IF(C659=1,LN(W659),LN(1-W659))</f>
        <v/>
      </c>
      <c r="Y659" s="8">
        <f>'1 prepared data'!V652</f>
        <v/>
      </c>
      <c r="Z659" s="9">
        <f>Y659*X659</f>
        <v/>
      </c>
      <c r="AA659" s="10">
        <f>IF(W659&gt;$AE$33,1,0)</f>
        <v/>
      </c>
      <c r="AB659">
        <f>IF(AA659=C659,1,0)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$AE$12+D660*$AE$13+E660*$AE$14+F660*$AE$15+G660*$AE$16+H660*$AE$17+I660*$AE$18+J660*$AE$19+K660*$AE$20+L660*$AE$21+M660*$AE$22+N660*$AE$23+O660*$AE$24+P660*$AE$25+Q660*$AE$26+R660*$AE$27+S660*$AE$28+T660*$AE$29+U660*$AE$30</f>
        <v/>
      </c>
      <c r="W660" s="8">
        <f>1/(1+EXP(-V660))</f>
        <v/>
      </c>
      <c r="X660" s="9">
        <f>-IF(C660=1,LN(W660),LN(1-W660))</f>
        <v/>
      </c>
      <c r="Y660" s="8">
        <f>'1 prepared data'!V653</f>
        <v/>
      </c>
      <c r="Z660" s="9">
        <f>Y660*X660</f>
        <v/>
      </c>
      <c r="AA660" s="10">
        <f>IF(W660&gt;$AE$33,1,0)</f>
        <v/>
      </c>
      <c r="AB660">
        <f>IF(AA660=C660,1,0)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$AE$12+D661*$AE$13+E661*$AE$14+F661*$AE$15+G661*$AE$16+H661*$AE$17+I661*$AE$18+J661*$AE$19+K661*$AE$20+L661*$AE$21+M661*$AE$22+N661*$AE$23+O661*$AE$24+P661*$AE$25+Q661*$AE$26+R661*$AE$27+S661*$AE$28+T661*$AE$29+U661*$AE$30</f>
        <v/>
      </c>
      <c r="W661" s="8">
        <f>1/(1+EXP(-V661))</f>
        <v/>
      </c>
      <c r="X661" s="9">
        <f>-IF(C661=1,LN(W661),LN(1-W661))</f>
        <v/>
      </c>
      <c r="Y661" s="8">
        <f>'1 prepared data'!V654</f>
        <v/>
      </c>
      <c r="Z661" s="9">
        <f>Y661*X661</f>
        <v/>
      </c>
      <c r="AA661" s="10">
        <f>IF(W661&gt;$AE$33,1,0)</f>
        <v/>
      </c>
      <c r="AB661">
        <f>IF(AA661=C661,1,0)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$AE$12+D662*$AE$13+E662*$AE$14+F662*$AE$15+G662*$AE$16+H662*$AE$17+I662*$AE$18+J662*$AE$19+K662*$AE$20+L662*$AE$21+M662*$AE$22+N662*$AE$23+O662*$AE$24+P662*$AE$25+Q662*$AE$26+R662*$AE$27+S662*$AE$28+T662*$AE$29+U662*$AE$30</f>
        <v/>
      </c>
      <c r="W662" s="8">
        <f>1/(1+EXP(-V662))</f>
        <v/>
      </c>
      <c r="X662" s="9">
        <f>-IF(C662=1,LN(W662),LN(1-W662))</f>
        <v/>
      </c>
      <c r="Y662" s="8">
        <f>'1 prepared data'!V655</f>
        <v/>
      </c>
      <c r="Z662" s="9">
        <f>Y662*X662</f>
        <v/>
      </c>
      <c r="AA662" s="10">
        <f>IF(W662&gt;$AE$33,1,0)</f>
        <v/>
      </c>
      <c r="AB662">
        <f>IF(AA662=C662,1,0)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$AE$12+D663*$AE$13+E663*$AE$14+F663*$AE$15+G663*$AE$16+H663*$AE$17+I663*$AE$18+J663*$AE$19+K663*$AE$20+L663*$AE$21+M663*$AE$22+N663*$AE$23+O663*$AE$24+P663*$AE$25+Q663*$AE$26+R663*$AE$27+S663*$AE$28+T663*$AE$29+U663*$AE$30</f>
        <v/>
      </c>
      <c r="W663" s="8">
        <f>1/(1+EXP(-V663))</f>
        <v/>
      </c>
      <c r="X663" s="9">
        <f>-IF(C663=1,LN(W663),LN(1-W663))</f>
        <v/>
      </c>
      <c r="Y663" s="8">
        <f>'1 prepared data'!V656</f>
        <v/>
      </c>
      <c r="Z663" s="9">
        <f>Y663*X663</f>
        <v/>
      </c>
      <c r="AA663" s="10">
        <f>IF(W663&gt;$AE$33,1,0)</f>
        <v/>
      </c>
      <c r="AB663">
        <f>IF(AA663=C663,1,0)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$AE$12+D664*$AE$13+E664*$AE$14+F664*$AE$15+G664*$AE$16+H664*$AE$17+I664*$AE$18+J664*$AE$19+K664*$AE$20+L664*$AE$21+M664*$AE$22+N664*$AE$23+O664*$AE$24+P664*$AE$25+Q664*$AE$26+R664*$AE$27+S664*$AE$28+T664*$AE$29+U664*$AE$30</f>
        <v/>
      </c>
      <c r="W664" s="8">
        <f>1/(1+EXP(-V664))</f>
        <v/>
      </c>
      <c r="X664" s="9">
        <f>-IF(C664=1,LN(W664),LN(1-W664))</f>
        <v/>
      </c>
      <c r="Y664" s="8">
        <f>'1 prepared data'!V657</f>
        <v/>
      </c>
      <c r="Z664" s="9">
        <f>Y664*X664</f>
        <v/>
      </c>
      <c r="AA664" s="10">
        <f>IF(W664&gt;$AE$33,1,0)</f>
        <v/>
      </c>
      <c r="AB664">
        <f>IF(AA664=C664,1,0)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$AE$12+D665*$AE$13+E665*$AE$14+F665*$AE$15+G665*$AE$16+H665*$AE$17+I665*$AE$18+J665*$AE$19+K665*$AE$20+L665*$AE$21+M665*$AE$22+N665*$AE$23+O665*$AE$24+P665*$AE$25+Q665*$AE$26+R665*$AE$27+S665*$AE$28+T665*$AE$29+U665*$AE$30</f>
        <v/>
      </c>
      <c r="W665" s="8">
        <f>1/(1+EXP(-V665))</f>
        <v/>
      </c>
      <c r="X665" s="9">
        <f>-IF(C665=1,LN(W665),LN(1-W665))</f>
        <v/>
      </c>
      <c r="Y665" s="8">
        <f>'1 prepared data'!V658</f>
        <v/>
      </c>
      <c r="Z665" s="9">
        <f>Y665*X665</f>
        <v/>
      </c>
      <c r="AA665" s="10">
        <f>IF(W665&gt;$AE$33,1,0)</f>
        <v/>
      </c>
      <c r="AB665">
        <f>IF(AA665=C665,1,0)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$AE$12+D666*$AE$13+E666*$AE$14+F666*$AE$15+G666*$AE$16+H666*$AE$17+I666*$AE$18+J666*$AE$19+K666*$AE$20+L666*$AE$21+M666*$AE$22+N666*$AE$23+O666*$AE$24+P666*$AE$25+Q666*$AE$26+R666*$AE$27+S666*$AE$28+T666*$AE$29+U666*$AE$30</f>
        <v/>
      </c>
      <c r="W666" s="8">
        <f>1/(1+EXP(-V666))</f>
        <v/>
      </c>
      <c r="X666" s="9">
        <f>-IF(C666=1,LN(W666),LN(1-W666))</f>
        <v/>
      </c>
      <c r="Y666" s="8">
        <f>'1 prepared data'!V659</f>
        <v/>
      </c>
      <c r="Z666" s="9">
        <f>Y666*X666</f>
        <v/>
      </c>
      <c r="AA666" s="10">
        <f>IF(W666&gt;$AE$33,1,0)</f>
        <v/>
      </c>
      <c r="AB666">
        <f>IF(AA666=C666,1,0)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$AE$12+D667*$AE$13+E667*$AE$14+F667*$AE$15+G667*$AE$16+H667*$AE$17+I667*$AE$18+J667*$AE$19+K667*$AE$20+L667*$AE$21+M667*$AE$22+N667*$AE$23+O667*$AE$24+P667*$AE$25+Q667*$AE$26+R667*$AE$27+S667*$AE$28+T667*$AE$29+U667*$AE$30</f>
        <v/>
      </c>
      <c r="W667" s="8">
        <f>1/(1+EXP(-V667))</f>
        <v/>
      </c>
      <c r="X667" s="9">
        <f>-IF(C667=1,LN(W667),LN(1-W667))</f>
        <v/>
      </c>
      <c r="Y667" s="8">
        <f>'1 prepared data'!V660</f>
        <v/>
      </c>
      <c r="Z667" s="9">
        <f>Y667*X667</f>
        <v/>
      </c>
      <c r="AA667" s="10">
        <f>IF(W667&gt;$AE$33,1,0)</f>
        <v/>
      </c>
      <c r="AB667">
        <f>IF(AA667=C667,1,0)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$AE$12+D668*$AE$13+E668*$AE$14+F668*$AE$15+G668*$AE$16+H668*$AE$17+I668*$AE$18+J668*$AE$19+K668*$AE$20+L668*$AE$21+M668*$AE$22+N668*$AE$23+O668*$AE$24+P668*$AE$25+Q668*$AE$26+R668*$AE$27+S668*$AE$28+T668*$AE$29+U668*$AE$30</f>
        <v/>
      </c>
      <c r="W668" s="8">
        <f>1/(1+EXP(-V668))</f>
        <v/>
      </c>
      <c r="X668" s="9">
        <f>-IF(C668=1,LN(W668),LN(1-W668))</f>
        <v/>
      </c>
      <c r="Y668" s="8">
        <f>'1 prepared data'!V661</f>
        <v/>
      </c>
      <c r="Z668" s="9">
        <f>Y668*X668</f>
        <v/>
      </c>
      <c r="AA668" s="10">
        <f>IF(W668&gt;$AE$33,1,0)</f>
        <v/>
      </c>
      <c r="AB668">
        <f>IF(AA668=C668,1,0)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$AE$12+D669*$AE$13+E669*$AE$14+F669*$AE$15+G669*$AE$16+H669*$AE$17+I669*$AE$18+J669*$AE$19+K669*$AE$20+L669*$AE$21+M669*$AE$22+N669*$AE$23+O669*$AE$24+P669*$AE$25+Q669*$AE$26+R669*$AE$27+S669*$AE$28+T669*$AE$29+U669*$AE$30</f>
        <v/>
      </c>
      <c r="W669" s="8">
        <f>1/(1+EXP(-V669))</f>
        <v/>
      </c>
      <c r="X669" s="9">
        <f>-IF(C669=1,LN(W669),LN(1-W669))</f>
        <v/>
      </c>
      <c r="Y669" s="8">
        <f>'1 prepared data'!V662</f>
        <v/>
      </c>
      <c r="Z669" s="9">
        <f>Y669*X669</f>
        <v/>
      </c>
      <c r="AA669" s="10">
        <f>IF(W669&gt;$AE$33,1,0)</f>
        <v/>
      </c>
      <c r="AB669">
        <f>IF(AA669=C669,1,0)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$AE$12+D670*$AE$13+E670*$AE$14+F670*$AE$15+G670*$AE$16+H670*$AE$17+I670*$AE$18+J670*$AE$19+K670*$AE$20+L670*$AE$21+M670*$AE$22+N670*$AE$23+O670*$AE$24+P670*$AE$25+Q670*$AE$26+R670*$AE$27+S670*$AE$28+T670*$AE$29+U670*$AE$30</f>
        <v/>
      </c>
      <c r="W670" s="8">
        <f>1/(1+EXP(-V670))</f>
        <v/>
      </c>
      <c r="X670" s="9">
        <f>-IF(C670=1,LN(W670),LN(1-W670))</f>
        <v/>
      </c>
      <c r="Y670" s="8">
        <f>'1 prepared data'!V663</f>
        <v/>
      </c>
      <c r="Z670" s="9">
        <f>Y670*X670</f>
        <v/>
      </c>
      <c r="AA670" s="10">
        <f>IF(W670&gt;$AE$33,1,0)</f>
        <v/>
      </c>
      <c r="AB670">
        <f>IF(AA670=C670,1,0)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$AE$12+D671*$AE$13+E671*$AE$14+F671*$AE$15+G671*$AE$16+H671*$AE$17+I671*$AE$18+J671*$AE$19+K671*$AE$20+L671*$AE$21+M671*$AE$22+N671*$AE$23+O671*$AE$24+P671*$AE$25+Q671*$AE$26+R671*$AE$27+S671*$AE$28+T671*$AE$29+U671*$AE$30</f>
        <v/>
      </c>
      <c r="W671" s="8">
        <f>1/(1+EXP(-V671))</f>
        <v/>
      </c>
      <c r="X671" s="9">
        <f>-IF(C671=1,LN(W671),LN(1-W671))</f>
        <v/>
      </c>
      <c r="Y671" s="8">
        <f>'1 prepared data'!V664</f>
        <v/>
      </c>
      <c r="Z671" s="9">
        <f>Y671*X671</f>
        <v/>
      </c>
      <c r="AA671" s="10">
        <f>IF(W671&gt;$AE$33,1,0)</f>
        <v/>
      </c>
      <c r="AB671">
        <f>IF(AA671=C671,1,0)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$AE$12+D672*$AE$13+E672*$AE$14+F672*$AE$15+G672*$AE$16+H672*$AE$17+I672*$AE$18+J672*$AE$19+K672*$AE$20+L672*$AE$21+M672*$AE$22+N672*$AE$23+O672*$AE$24+P672*$AE$25+Q672*$AE$26+R672*$AE$27+S672*$AE$28+T672*$AE$29+U672*$AE$30</f>
        <v/>
      </c>
      <c r="W672" s="8">
        <f>1/(1+EXP(-V672))</f>
        <v/>
      </c>
      <c r="X672" s="9">
        <f>-IF(C672=1,LN(W672),LN(1-W672))</f>
        <v/>
      </c>
      <c r="Y672" s="8">
        <f>'1 prepared data'!V665</f>
        <v/>
      </c>
      <c r="Z672" s="9">
        <f>Y672*X672</f>
        <v/>
      </c>
      <c r="AA672" s="10">
        <f>IF(W672&gt;$AE$33,1,0)</f>
        <v/>
      </c>
      <c r="AB672">
        <f>IF(AA672=C672,1,0)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$AE$12+D673*$AE$13+E673*$AE$14+F673*$AE$15+G673*$AE$16+H673*$AE$17+I673*$AE$18+J673*$AE$19+K673*$AE$20+L673*$AE$21+M673*$AE$22+N673*$AE$23+O673*$AE$24+P673*$AE$25+Q673*$AE$26+R673*$AE$27+S673*$AE$28+T673*$AE$29+U673*$AE$30</f>
        <v/>
      </c>
      <c r="W673" s="8">
        <f>1/(1+EXP(-V673))</f>
        <v/>
      </c>
      <c r="X673" s="9">
        <f>-IF(C673=1,LN(W673),LN(1-W673))</f>
        <v/>
      </c>
      <c r="Y673" s="8">
        <f>'1 prepared data'!V666</f>
        <v/>
      </c>
      <c r="Z673" s="9">
        <f>Y673*X673</f>
        <v/>
      </c>
      <c r="AA673" s="10">
        <f>IF(W673&gt;$AE$33,1,0)</f>
        <v/>
      </c>
      <c r="AB673">
        <f>IF(AA673=C673,1,0)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$AE$12+D674*$AE$13+E674*$AE$14+F674*$AE$15+G674*$AE$16+H674*$AE$17+I674*$AE$18+J674*$AE$19+K674*$AE$20+L674*$AE$21+M674*$AE$22+N674*$AE$23+O674*$AE$24+P674*$AE$25+Q674*$AE$26+R674*$AE$27+S674*$AE$28+T674*$AE$29+U674*$AE$30</f>
        <v/>
      </c>
      <c r="W674" s="8">
        <f>1/(1+EXP(-V674))</f>
        <v/>
      </c>
      <c r="X674" s="9">
        <f>-IF(C674=1,LN(W674),LN(1-W674))</f>
        <v/>
      </c>
      <c r="Y674" s="8">
        <f>'1 prepared data'!V667</f>
        <v/>
      </c>
      <c r="Z674" s="9">
        <f>Y674*X674</f>
        <v/>
      </c>
      <c r="AA674" s="10">
        <f>IF(W674&gt;$AE$33,1,0)</f>
        <v/>
      </c>
      <c r="AB674">
        <f>IF(AA674=C674,1,0)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$AE$12+D675*$AE$13+E675*$AE$14+F675*$AE$15+G675*$AE$16+H675*$AE$17+I675*$AE$18+J675*$AE$19+K675*$AE$20+L675*$AE$21+M675*$AE$22+N675*$AE$23+O675*$AE$24+P675*$AE$25+Q675*$AE$26+R675*$AE$27+S675*$AE$28+T675*$AE$29+U675*$AE$30</f>
        <v/>
      </c>
      <c r="W675" s="8">
        <f>1/(1+EXP(-V675))</f>
        <v/>
      </c>
      <c r="X675" s="9">
        <f>-IF(C675=1,LN(W675),LN(1-W675))</f>
        <v/>
      </c>
      <c r="Y675" s="8">
        <f>'1 prepared data'!V668</f>
        <v/>
      </c>
      <c r="Z675" s="9">
        <f>Y675*X675</f>
        <v/>
      </c>
      <c r="AA675" s="10">
        <f>IF(W675&gt;$AE$33,1,0)</f>
        <v/>
      </c>
      <c r="AB675">
        <f>IF(AA675=C675,1,0)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$AE$12+D676*$AE$13+E676*$AE$14+F676*$AE$15+G676*$AE$16+H676*$AE$17+I676*$AE$18+J676*$AE$19+K676*$AE$20+L676*$AE$21+M676*$AE$22+N676*$AE$23+O676*$AE$24+P676*$AE$25+Q676*$AE$26+R676*$AE$27+S676*$AE$28+T676*$AE$29+U676*$AE$30</f>
        <v/>
      </c>
      <c r="W676" s="8">
        <f>1/(1+EXP(-V676))</f>
        <v/>
      </c>
      <c r="X676" s="9">
        <f>-IF(C676=1,LN(W676),LN(1-W676))</f>
        <v/>
      </c>
      <c r="Y676" s="8">
        <f>'1 prepared data'!V669</f>
        <v/>
      </c>
      <c r="Z676" s="9">
        <f>Y676*X676</f>
        <v/>
      </c>
      <c r="AA676" s="10">
        <f>IF(W676&gt;$AE$33,1,0)</f>
        <v/>
      </c>
      <c r="AB676">
        <f>IF(AA676=C676,1,0)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$AE$12+D677*$AE$13+E677*$AE$14+F677*$AE$15+G677*$AE$16+H677*$AE$17+I677*$AE$18+J677*$AE$19+K677*$AE$20+L677*$AE$21+M677*$AE$22+N677*$AE$23+O677*$AE$24+P677*$AE$25+Q677*$AE$26+R677*$AE$27+S677*$AE$28+T677*$AE$29+U677*$AE$30</f>
        <v/>
      </c>
      <c r="W677" s="8">
        <f>1/(1+EXP(-V677))</f>
        <v/>
      </c>
      <c r="X677" s="9">
        <f>-IF(C677=1,LN(W677),LN(1-W677))</f>
        <v/>
      </c>
      <c r="Y677" s="8">
        <f>'1 prepared data'!V670</f>
        <v/>
      </c>
      <c r="Z677" s="9">
        <f>Y677*X677</f>
        <v/>
      </c>
      <c r="AA677" s="10">
        <f>IF(W677&gt;$AE$33,1,0)</f>
        <v/>
      </c>
      <c r="AB677">
        <f>IF(AA677=C677,1,0)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$AE$12+D678*$AE$13+E678*$AE$14+F678*$AE$15+G678*$AE$16+H678*$AE$17+I678*$AE$18+J678*$AE$19+K678*$AE$20+L678*$AE$21+M678*$AE$22+N678*$AE$23+O678*$AE$24+P678*$AE$25+Q678*$AE$26+R678*$AE$27+S678*$AE$28+T678*$AE$29+U678*$AE$30</f>
        <v/>
      </c>
      <c r="W678" s="8">
        <f>1/(1+EXP(-V678))</f>
        <v/>
      </c>
      <c r="X678" s="9">
        <f>-IF(C678=1,LN(W678),LN(1-W678))</f>
        <v/>
      </c>
      <c r="Y678" s="8">
        <f>'1 prepared data'!V671</f>
        <v/>
      </c>
      <c r="Z678" s="9">
        <f>Y678*X678</f>
        <v/>
      </c>
      <c r="AA678" s="10">
        <f>IF(W678&gt;$AE$33,1,0)</f>
        <v/>
      </c>
      <c r="AB678">
        <f>IF(AA678=C678,1,0)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$AE$12+D679*$AE$13+E679*$AE$14+F679*$AE$15+G679*$AE$16+H679*$AE$17+I679*$AE$18+J679*$AE$19+K679*$AE$20+L679*$AE$21+M679*$AE$22+N679*$AE$23+O679*$AE$24+P679*$AE$25+Q679*$AE$26+R679*$AE$27+S679*$AE$28+T679*$AE$29+U679*$AE$30</f>
        <v/>
      </c>
      <c r="W679" s="8">
        <f>1/(1+EXP(-V679))</f>
        <v/>
      </c>
      <c r="X679" s="9">
        <f>-IF(C679=1,LN(W679),LN(1-W679))</f>
        <v/>
      </c>
      <c r="Y679" s="8">
        <f>'1 prepared data'!V672</f>
        <v/>
      </c>
      <c r="Z679" s="9">
        <f>Y679*X679</f>
        <v/>
      </c>
      <c r="AA679" s="10">
        <f>IF(W679&gt;$AE$33,1,0)</f>
        <v/>
      </c>
      <c r="AB679">
        <f>IF(AA679=C679,1,0)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$AE$12+D680*$AE$13+E680*$AE$14+F680*$AE$15+G680*$AE$16+H680*$AE$17+I680*$AE$18+J680*$AE$19+K680*$AE$20+L680*$AE$21+M680*$AE$22+N680*$AE$23+O680*$AE$24+P680*$AE$25+Q680*$AE$26+R680*$AE$27+S680*$AE$28+T680*$AE$29+U680*$AE$30</f>
        <v/>
      </c>
      <c r="W680" s="8">
        <f>1/(1+EXP(-V680))</f>
        <v/>
      </c>
      <c r="X680" s="9">
        <f>-IF(C680=1,LN(W680),LN(1-W680))</f>
        <v/>
      </c>
      <c r="Y680" s="8">
        <f>'1 prepared data'!V673</f>
        <v/>
      </c>
      <c r="Z680" s="9">
        <f>Y680*X680</f>
        <v/>
      </c>
      <c r="AA680" s="10">
        <f>IF(W680&gt;$AE$33,1,0)</f>
        <v/>
      </c>
      <c r="AB680">
        <f>IF(AA680=C680,1,0)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$AE$12+D681*$AE$13+E681*$AE$14+F681*$AE$15+G681*$AE$16+H681*$AE$17+I681*$AE$18+J681*$AE$19+K681*$AE$20+L681*$AE$21+M681*$AE$22+N681*$AE$23+O681*$AE$24+P681*$AE$25+Q681*$AE$26+R681*$AE$27+S681*$AE$28+T681*$AE$29+U681*$AE$30</f>
        <v/>
      </c>
      <c r="W681" s="8">
        <f>1/(1+EXP(-V681))</f>
        <v/>
      </c>
      <c r="X681" s="9">
        <f>-IF(C681=1,LN(W681),LN(1-W681))</f>
        <v/>
      </c>
      <c r="Y681" s="8">
        <f>'1 prepared data'!V674</f>
        <v/>
      </c>
      <c r="Z681" s="9">
        <f>Y681*X681</f>
        <v/>
      </c>
      <c r="AA681" s="10">
        <f>IF(W681&gt;$AE$33,1,0)</f>
        <v/>
      </c>
      <c r="AB681">
        <f>IF(AA681=C681,1,0)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$AE$12+D682*$AE$13+E682*$AE$14+F682*$AE$15+G682*$AE$16+H682*$AE$17+I682*$AE$18+J682*$AE$19+K682*$AE$20+L682*$AE$21+M682*$AE$22+N682*$AE$23+O682*$AE$24+P682*$AE$25+Q682*$AE$26+R682*$AE$27+S682*$AE$28+T682*$AE$29+U682*$AE$30</f>
        <v/>
      </c>
      <c r="W682" s="8">
        <f>1/(1+EXP(-V682))</f>
        <v/>
      </c>
      <c r="X682" s="9">
        <f>-IF(C682=1,LN(W682),LN(1-W682))</f>
        <v/>
      </c>
      <c r="Y682" s="8">
        <f>'1 prepared data'!V675</f>
        <v/>
      </c>
      <c r="Z682" s="9">
        <f>Y682*X682</f>
        <v/>
      </c>
      <c r="AA682" s="10">
        <f>IF(W682&gt;$AE$33,1,0)</f>
        <v/>
      </c>
      <c r="AB682">
        <f>IF(AA682=C682,1,0)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$AE$12+D683*$AE$13+E683*$AE$14+F683*$AE$15+G683*$AE$16+H683*$AE$17+I683*$AE$18+J683*$AE$19+K683*$AE$20+L683*$AE$21+M683*$AE$22+N683*$AE$23+O683*$AE$24+P683*$AE$25+Q683*$AE$26+R683*$AE$27+S683*$AE$28+T683*$AE$29+U683*$AE$30</f>
        <v/>
      </c>
      <c r="W683" s="8">
        <f>1/(1+EXP(-V683))</f>
        <v/>
      </c>
      <c r="X683" s="9">
        <f>-IF(C683=1,LN(W683),LN(1-W683))</f>
        <v/>
      </c>
      <c r="Y683" s="8">
        <f>'1 prepared data'!V676</f>
        <v/>
      </c>
      <c r="Z683" s="9">
        <f>Y683*X683</f>
        <v/>
      </c>
      <c r="AA683" s="10">
        <f>IF(W683&gt;$AE$33,1,0)</f>
        <v/>
      </c>
      <c r="AB683">
        <f>IF(AA683=C683,1,0)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$AE$12+D684*$AE$13+E684*$AE$14+F684*$AE$15+G684*$AE$16+H684*$AE$17+I684*$AE$18+J684*$AE$19+K684*$AE$20+L684*$AE$21+M684*$AE$22+N684*$AE$23+O684*$AE$24+P684*$AE$25+Q684*$AE$26+R684*$AE$27+S684*$AE$28+T684*$AE$29+U684*$AE$30</f>
        <v/>
      </c>
      <c r="W684" s="8">
        <f>1/(1+EXP(-V684))</f>
        <v/>
      </c>
      <c r="X684" s="9">
        <f>-IF(C684=1,LN(W684),LN(1-W684))</f>
        <v/>
      </c>
      <c r="Y684" s="8">
        <f>'1 prepared data'!V677</f>
        <v/>
      </c>
      <c r="Z684" s="9">
        <f>Y684*X684</f>
        <v/>
      </c>
      <c r="AA684" s="10">
        <f>IF(W684&gt;$AE$33,1,0)</f>
        <v/>
      </c>
      <c r="AB684">
        <f>IF(AA684=C684,1,0)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$AE$12+D685*$AE$13+E685*$AE$14+F685*$AE$15+G685*$AE$16+H685*$AE$17+I685*$AE$18+J685*$AE$19+K685*$AE$20+L685*$AE$21+M685*$AE$22+N685*$AE$23+O685*$AE$24+P685*$AE$25+Q685*$AE$26+R685*$AE$27+S685*$AE$28+T685*$AE$29+U685*$AE$30</f>
        <v/>
      </c>
      <c r="W685" s="8">
        <f>1/(1+EXP(-V685))</f>
        <v/>
      </c>
      <c r="X685" s="9">
        <f>-IF(C685=1,LN(W685),LN(1-W685))</f>
        <v/>
      </c>
      <c r="Y685" s="8">
        <f>'1 prepared data'!V678</f>
        <v/>
      </c>
      <c r="Z685" s="9">
        <f>Y685*X685</f>
        <v/>
      </c>
      <c r="AA685" s="10">
        <f>IF(W685&gt;$AE$33,1,0)</f>
        <v/>
      </c>
      <c r="AB685">
        <f>IF(AA685=C685,1,0)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$AE$12+D686*$AE$13+E686*$AE$14+F686*$AE$15+G686*$AE$16+H686*$AE$17+I686*$AE$18+J686*$AE$19+K686*$AE$20+L686*$AE$21+M686*$AE$22+N686*$AE$23+O686*$AE$24+P686*$AE$25+Q686*$AE$26+R686*$AE$27+S686*$AE$28+T686*$AE$29+U686*$AE$30</f>
        <v/>
      </c>
      <c r="W686" s="8">
        <f>1/(1+EXP(-V686))</f>
        <v/>
      </c>
      <c r="X686" s="9">
        <f>-IF(C686=1,LN(W686),LN(1-W686))</f>
        <v/>
      </c>
      <c r="Y686" s="8">
        <f>'1 prepared data'!V679</f>
        <v/>
      </c>
      <c r="Z686" s="9">
        <f>Y686*X686</f>
        <v/>
      </c>
      <c r="AA686" s="10">
        <f>IF(W686&gt;$AE$33,1,0)</f>
        <v/>
      </c>
      <c r="AB686">
        <f>IF(AA686=C686,1,0)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$AE$12+D687*$AE$13+E687*$AE$14+F687*$AE$15+G687*$AE$16+H687*$AE$17+I687*$AE$18+J687*$AE$19+K687*$AE$20+L687*$AE$21+M687*$AE$22+N687*$AE$23+O687*$AE$24+P687*$AE$25+Q687*$AE$26+R687*$AE$27+S687*$AE$28+T687*$AE$29+U687*$AE$30</f>
        <v/>
      </c>
      <c r="W687" s="8">
        <f>1/(1+EXP(-V687))</f>
        <v/>
      </c>
      <c r="X687" s="9">
        <f>-IF(C687=1,LN(W687),LN(1-W687))</f>
        <v/>
      </c>
      <c r="Y687" s="8">
        <f>'1 prepared data'!V680</f>
        <v/>
      </c>
      <c r="Z687" s="9">
        <f>Y687*X687</f>
        <v/>
      </c>
      <c r="AA687" s="10">
        <f>IF(W687&gt;$AE$33,1,0)</f>
        <v/>
      </c>
      <c r="AB687">
        <f>IF(AA687=C687,1,0)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$AE$12+D688*$AE$13+E688*$AE$14+F688*$AE$15+G688*$AE$16+H688*$AE$17+I688*$AE$18+J688*$AE$19+K688*$AE$20+L688*$AE$21+M688*$AE$22+N688*$AE$23+O688*$AE$24+P688*$AE$25+Q688*$AE$26+R688*$AE$27+S688*$AE$28+T688*$AE$29+U688*$AE$30</f>
        <v/>
      </c>
      <c r="W688" s="8">
        <f>1/(1+EXP(-V688))</f>
        <v/>
      </c>
      <c r="X688" s="9">
        <f>-IF(C688=1,LN(W688),LN(1-W688))</f>
        <v/>
      </c>
      <c r="Y688" s="8">
        <f>'1 prepared data'!V681</f>
        <v/>
      </c>
      <c r="Z688" s="9">
        <f>Y688*X688</f>
        <v/>
      </c>
      <c r="AA688" s="10">
        <f>IF(W688&gt;$AE$33,1,0)</f>
        <v/>
      </c>
      <c r="AB688">
        <f>IF(AA688=C688,1,0)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$AE$12+D689*$AE$13+E689*$AE$14+F689*$AE$15+G689*$AE$16+H689*$AE$17+I689*$AE$18+J689*$AE$19+K689*$AE$20+L689*$AE$21+M689*$AE$22+N689*$AE$23+O689*$AE$24+P689*$AE$25+Q689*$AE$26+R689*$AE$27+S689*$AE$28+T689*$AE$29+U689*$AE$30</f>
        <v/>
      </c>
      <c r="W689" s="8">
        <f>1/(1+EXP(-V689))</f>
        <v/>
      </c>
      <c r="X689" s="9">
        <f>-IF(C689=1,LN(W689),LN(1-W689))</f>
        <v/>
      </c>
      <c r="Y689" s="8">
        <f>'1 prepared data'!V682</f>
        <v/>
      </c>
      <c r="Z689" s="9">
        <f>Y689*X689</f>
        <v/>
      </c>
      <c r="AA689" s="10">
        <f>IF(W689&gt;$AE$33,1,0)</f>
        <v/>
      </c>
      <c r="AB689">
        <f>IF(AA689=C689,1,0)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$AE$12+D690*$AE$13+E690*$AE$14+F690*$AE$15+G690*$AE$16+H690*$AE$17+I690*$AE$18+J690*$AE$19+K690*$AE$20+L690*$AE$21+M690*$AE$22+N690*$AE$23+O690*$AE$24+P690*$AE$25+Q690*$AE$26+R690*$AE$27+S690*$AE$28+T690*$AE$29+U690*$AE$30</f>
        <v/>
      </c>
      <c r="W690" s="8">
        <f>1/(1+EXP(-V690))</f>
        <v/>
      </c>
      <c r="X690" s="9">
        <f>-IF(C690=1,LN(W690),LN(1-W690))</f>
        <v/>
      </c>
      <c r="Y690" s="8">
        <f>'1 prepared data'!V683</f>
        <v/>
      </c>
      <c r="Z690" s="9">
        <f>Y690*X690</f>
        <v/>
      </c>
      <c r="AA690" s="10">
        <f>IF(W690&gt;$AE$33,1,0)</f>
        <v/>
      </c>
      <c r="AB690">
        <f>IF(AA690=C690,1,0)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$AE$12+D691*$AE$13+E691*$AE$14+F691*$AE$15+G691*$AE$16+H691*$AE$17+I691*$AE$18+J691*$AE$19+K691*$AE$20+L691*$AE$21+M691*$AE$22+N691*$AE$23+O691*$AE$24+P691*$AE$25+Q691*$AE$26+R691*$AE$27+S691*$AE$28+T691*$AE$29+U691*$AE$30</f>
        <v/>
      </c>
      <c r="W691" s="8">
        <f>1/(1+EXP(-V691))</f>
        <v/>
      </c>
      <c r="X691" s="9">
        <f>-IF(C691=1,LN(W691),LN(1-W691))</f>
        <v/>
      </c>
      <c r="Y691" s="8">
        <f>'1 prepared data'!V684</f>
        <v/>
      </c>
      <c r="Z691" s="9">
        <f>Y691*X691</f>
        <v/>
      </c>
      <c r="AA691" s="10">
        <f>IF(W691&gt;$AE$33,1,0)</f>
        <v/>
      </c>
      <c r="AB691">
        <f>IF(AA691=C691,1,0)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$AE$12+D692*$AE$13+E692*$AE$14+F692*$AE$15+G692*$AE$16+H692*$AE$17+I692*$AE$18+J692*$AE$19+K692*$AE$20+L692*$AE$21+M692*$AE$22+N692*$AE$23+O692*$AE$24+P692*$AE$25+Q692*$AE$26+R692*$AE$27+S692*$AE$28+T692*$AE$29+U692*$AE$30</f>
        <v/>
      </c>
      <c r="W692" s="8">
        <f>1/(1+EXP(-V692))</f>
        <v/>
      </c>
      <c r="X692" s="9">
        <f>-IF(C692=1,LN(W692),LN(1-W692))</f>
        <v/>
      </c>
      <c r="Y692" s="8">
        <f>'1 prepared data'!V685</f>
        <v/>
      </c>
      <c r="Z692" s="9">
        <f>Y692*X692</f>
        <v/>
      </c>
      <c r="AA692" s="10">
        <f>IF(W692&gt;$AE$33,1,0)</f>
        <v/>
      </c>
      <c r="AB692">
        <f>IF(AA692=C692,1,0)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$AE$12+D693*$AE$13+E693*$AE$14+F693*$AE$15+G693*$AE$16+H693*$AE$17+I693*$AE$18+J693*$AE$19+K693*$AE$20+L693*$AE$21+M693*$AE$22+N693*$AE$23+O693*$AE$24+P693*$AE$25+Q693*$AE$26+R693*$AE$27+S693*$AE$28+T693*$AE$29+U693*$AE$30</f>
        <v/>
      </c>
      <c r="W693" s="8">
        <f>1/(1+EXP(-V693))</f>
        <v/>
      </c>
      <c r="X693" s="9">
        <f>-IF(C693=1,LN(W693),LN(1-W693))</f>
        <v/>
      </c>
      <c r="Y693" s="8">
        <f>'1 prepared data'!V686</f>
        <v/>
      </c>
      <c r="Z693" s="9">
        <f>Y693*X693</f>
        <v/>
      </c>
      <c r="AA693" s="10">
        <f>IF(W693&gt;$AE$33,1,0)</f>
        <v/>
      </c>
      <c r="AB693">
        <f>IF(AA693=C693,1,0)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$AE$12+D694*$AE$13+E694*$AE$14+F694*$AE$15+G694*$AE$16+H694*$AE$17+I694*$AE$18+J694*$AE$19+K694*$AE$20+L694*$AE$21+M694*$AE$22+N694*$AE$23+O694*$AE$24+P694*$AE$25+Q694*$AE$26+R694*$AE$27+S694*$AE$28+T694*$AE$29+U694*$AE$30</f>
        <v/>
      </c>
      <c r="W694" s="8">
        <f>1/(1+EXP(-V694))</f>
        <v/>
      </c>
      <c r="X694" s="9">
        <f>-IF(C694=1,LN(W694),LN(1-W694))</f>
        <v/>
      </c>
      <c r="Y694" s="8">
        <f>'1 prepared data'!V687</f>
        <v/>
      </c>
      <c r="Z694" s="9">
        <f>Y694*X694</f>
        <v/>
      </c>
      <c r="AA694" s="10">
        <f>IF(W694&gt;$AE$33,1,0)</f>
        <v/>
      </c>
      <c r="AB694">
        <f>IF(AA694=C694,1,0)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$AE$12+D695*$AE$13+E695*$AE$14+F695*$AE$15+G695*$AE$16+H695*$AE$17+I695*$AE$18+J695*$AE$19+K695*$AE$20+L695*$AE$21+M695*$AE$22+N695*$AE$23+O695*$AE$24+P695*$AE$25+Q695*$AE$26+R695*$AE$27+S695*$AE$28+T695*$AE$29+U695*$AE$30</f>
        <v/>
      </c>
      <c r="W695" s="8">
        <f>1/(1+EXP(-V695))</f>
        <v/>
      </c>
      <c r="X695" s="9">
        <f>-IF(C695=1,LN(W695),LN(1-W695))</f>
        <v/>
      </c>
      <c r="Y695" s="8">
        <f>'1 prepared data'!V688</f>
        <v/>
      </c>
      <c r="Z695" s="9">
        <f>Y695*X695</f>
        <v/>
      </c>
      <c r="AA695" s="10">
        <f>IF(W695&gt;$AE$33,1,0)</f>
        <v/>
      </c>
      <c r="AB695">
        <f>IF(AA695=C695,1,0)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$AE$12+D696*$AE$13+E696*$AE$14+F696*$AE$15+G696*$AE$16+H696*$AE$17+I696*$AE$18+J696*$AE$19+K696*$AE$20+L696*$AE$21+M696*$AE$22+N696*$AE$23+O696*$AE$24+P696*$AE$25+Q696*$AE$26+R696*$AE$27+S696*$AE$28+T696*$AE$29+U696*$AE$30</f>
        <v/>
      </c>
      <c r="W696" s="8">
        <f>1/(1+EXP(-V696))</f>
        <v/>
      </c>
      <c r="X696" s="9">
        <f>-IF(C696=1,LN(W696),LN(1-W696))</f>
        <v/>
      </c>
      <c r="Y696" s="8">
        <f>'1 prepared data'!V689</f>
        <v/>
      </c>
      <c r="Z696" s="9">
        <f>Y696*X696</f>
        <v/>
      </c>
      <c r="AA696" s="10">
        <f>IF(W696&gt;$AE$33,1,0)</f>
        <v/>
      </c>
      <c r="AB696">
        <f>IF(AA696=C696,1,0)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$AE$12+D697*$AE$13+E697*$AE$14+F697*$AE$15+G697*$AE$16+H697*$AE$17+I697*$AE$18+J697*$AE$19+K697*$AE$20+L697*$AE$21+M697*$AE$22+N697*$AE$23+O697*$AE$24+P697*$AE$25+Q697*$AE$26+R697*$AE$27+S697*$AE$28+T697*$AE$29+U697*$AE$30</f>
        <v/>
      </c>
      <c r="W697" s="8">
        <f>1/(1+EXP(-V697))</f>
        <v/>
      </c>
      <c r="X697" s="9">
        <f>-IF(C697=1,LN(W697),LN(1-W697))</f>
        <v/>
      </c>
      <c r="Y697" s="8">
        <f>'1 prepared data'!V690</f>
        <v/>
      </c>
      <c r="Z697" s="9">
        <f>Y697*X697</f>
        <v/>
      </c>
      <c r="AA697" s="10">
        <f>IF(W697&gt;$AE$33,1,0)</f>
        <v/>
      </c>
      <c r="AB697">
        <f>IF(AA697=C697,1,0)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$AE$12+D698*$AE$13+E698*$AE$14+F698*$AE$15+G698*$AE$16+H698*$AE$17+I698*$AE$18+J698*$AE$19+K698*$AE$20+L698*$AE$21+M698*$AE$22+N698*$AE$23+O698*$AE$24+P698*$AE$25+Q698*$AE$26+R698*$AE$27+S698*$AE$28+T698*$AE$29+U698*$AE$30</f>
        <v/>
      </c>
      <c r="W698" s="8">
        <f>1/(1+EXP(-V698))</f>
        <v/>
      </c>
      <c r="X698" s="9">
        <f>-IF(C698=1,LN(W698),LN(1-W698))</f>
        <v/>
      </c>
      <c r="Y698" s="8">
        <f>'1 prepared data'!V691</f>
        <v/>
      </c>
      <c r="Z698" s="9">
        <f>Y698*X698</f>
        <v/>
      </c>
      <c r="AA698" s="10">
        <f>IF(W698&gt;$AE$33,1,0)</f>
        <v/>
      </c>
      <c r="AB698">
        <f>IF(AA698=C698,1,0)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$AE$12+D699*$AE$13+E699*$AE$14+F699*$AE$15+G699*$AE$16+H699*$AE$17+I699*$AE$18+J699*$AE$19+K699*$AE$20+L699*$AE$21+M699*$AE$22+N699*$AE$23+O699*$AE$24+P699*$AE$25+Q699*$AE$26+R699*$AE$27+S699*$AE$28+T699*$AE$29+U699*$AE$30</f>
        <v/>
      </c>
      <c r="W699" s="8">
        <f>1/(1+EXP(-V699))</f>
        <v/>
      </c>
      <c r="X699" s="9">
        <f>-IF(C699=1,LN(W699),LN(1-W699))</f>
        <v/>
      </c>
      <c r="Y699" s="8">
        <f>'1 prepared data'!V692</f>
        <v/>
      </c>
      <c r="Z699" s="9">
        <f>Y699*X699</f>
        <v/>
      </c>
      <c r="AA699" s="10">
        <f>IF(W699&gt;$AE$33,1,0)</f>
        <v/>
      </c>
      <c r="AB699">
        <f>IF(AA699=C699,1,0)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$AE$12+D700*$AE$13+E700*$AE$14+F700*$AE$15+G700*$AE$16+H700*$AE$17+I700*$AE$18+J700*$AE$19+K700*$AE$20+L700*$AE$21+M700*$AE$22+N700*$AE$23+O700*$AE$24+P700*$AE$25+Q700*$AE$26+R700*$AE$27+S700*$AE$28+T700*$AE$29+U700*$AE$30</f>
        <v/>
      </c>
      <c r="W700" s="8">
        <f>1/(1+EXP(-V700))</f>
        <v/>
      </c>
      <c r="X700" s="9">
        <f>-IF(C700=1,LN(W700),LN(1-W700))</f>
        <v/>
      </c>
      <c r="Y700" s="8">
        <f>'1 prepared data'!V693</f>
        <v/>
      </c>
      <c r="Z700" s="9">
        <f>Y700*X700</f>
        <v/>
      </c>
      <c r="AA700" s="10">
        <f>IF(W700&gt;$AE$33,1,0)</f>
        <v/>
      </c>
      <c r="AB700">
        <f>IF(AA700=C700,1,0)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$AE$12+D701*$AE$13+E701*$AE$14+F701*$AE$15+G701*$AE$16+H701*$AE$17+I701*$AE$18+J701*$AE$19+K701*$AE$20+L701*$AE$21+M701*$AE$22+N701*$AE$23+O701*$AE$24+P701*$AE$25+Q701*$AE$26+R701*$AE$27+S701*$AE$28+T701*$AE$29+U701*$AE$30</f>
        <v/>
      </c>
      <c r="W701" s="8">
        <f>1/(1+EXP(-V701))</f>
        <v/>
      </c>
      <c r="X701" s="9">
        <f>-IF(C701=1,LN(W701),LN(1-W701))</f>
        <v/>
      </c>
      <c r="Y701" s="8">
        <f>'1 prepared data'!V694</f>
        <v/>
      </c>
      <c r="Z701" s="9">
        <f>Y701*X701</f>
        <v/>
      </c>
      <c r="AA701" s="10">
        <f>IF(W701&gt;$AE$33,1,0)</f>
        <v/>
      </c>
      <c r="AB701">
        <f>IF(AA701=C701,1,0)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$AE$12+D702*$AE$13+E702*$AE$14+F702*$AE$15+G702*$AE$16+H702*$AE$17+I702*$AE$18+J702*$AE$19+K702*$AE$20+L702*$AE$21+M702*$AE$22+N702*$AE$23+O702*$AE$24+P702*$AE$25+Q702*$AE$26+R702*$AE$27+S702*$AE$28+T702*$AE$29+U702*$AE$30</f>
        <v/>
      </c>
      <c r="W702" s="8">
        <f>1/(1+EXP(-V702))</f>
        <v/>
      </c>
      <c r="X702" s="9">
        <f>-IF(C702=1,LN(W702),LN(1-W702))</f>
        <v/>
      </c>
      <c r="Y702" s="8">
        <f>'1 prepared data'!V695</f>
        <v/>
      </c>
      <c r="Z702" s="9">
        <f>Y702*X702</f>
        <v/>
      </c>
      <c r="AA702" s="10">
        <f>IF(W702&gt;$AE$33,1,0)</f>
        <v/>
      </c>
      <c r="AB702">
        <f>IF(AA702=C702,1,0)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$AE$12+D703*$AE$13+E703*$AE$14+F703*$AE$15+G703*$AE$16+H703*$AE$17+I703*$AE$18+J703*$AE$19+K703*$AE$20+L703*$AE$21+M703*$AE$22+N703*$AE$23+O703*$AE$24+P703*$AE$25+Q703*$AE$26+R703*$AE$27+S703*$AE$28+T703*$AE$29+U703*$AE$30</f>
        <v/>
      </c>
      <c r="W703" s="8">
        <f>1/(1+EXP(-V703))</f>
        <v/>
      </c>
      <c r="X703" s="9">
        <f>-IF(C703=1,LN(W703),LN(1-W703))</f>
        <v/>
      </c>
      <c r="Y703" s="8">
        <f>'1 prepared data'!V696</f>
        <v/>
      </c>
      <c r="Z703" s="9">
        <f>Y703*X703</f>
        <v/>
      </c>
      <c r="AA703" s="10">
        <f>IF(W703&gt;$AE$33,1,0)</f>
        <v/>
      </c>
      <c r="AB703">
        <f>IF(AA703=C703,1,0)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$AE$12+D704*$AE$13+E704*$AE$14+F704*$AE$15+G704*$AE$16+H704*$AE$17+I704*$AE$18+J704*$AE$19+K704*$AE$20+L704*$AE$21+M704*$AE$22+N704*$AE$23+O704*$AE$24+P704*$AE$25+Q704*$AE$26+R704*$AE$27+S704*$AE$28+T704*$AE$29+U704*$AE$30</f>
        <v/>
      </c>
      <c r="W704" s="8">
        <f>1/(1+EXP(-V704))</f>
        <v/>
      </c>
      <c r="X704" s="9">
        <f>-IF(C704=1,LN(W704),LN(1-W704))</f>
        <v/>
      </c>
      <c r="Y704" s="8">
        <f>'1 prepared data'!V697</f>
        <v/>
      </c>
      <c r="Z704" s="9">
        <f>Y704*X704</f>
        <v/>
      </c>
      <c r="AA704" s="10">
        <f>IF(W704&gt;$AE$33,1,0)</f>
        <v/>
      </c>
      <c r="AB704">
        <f>IF(AA704=C704,1,0)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$AE$12+D705*$AE$13+E705*$AE$14+F705*$AE$15+G705*$AE$16+H705*$AE$17+I705*$AE$18+J705*$AE$19+K705*$AE$20+L705*$AE$21+M705*$AE$22+N705*$AE$23+O705*$AE$24+P705*$AE$25+Q705*$AE$26+R705*$AE$27+S705*$AE$28+T705*$AE$29+U705*$AE$30</f>
        <v/>
      </c>
      <c r="W705" s="8">
        <f>1/(1+EXP(-V705))</f>
        <v/>
      </c>
      <c r="X705" s="9">
        <f>-IF(C705=1,LN(W705),LN(1-W705))</f>
        <v/>
      </c>
      <c r="Y705" s="8">
        <f>'1 prepared data'!V698</f>
        <v/>
      </c>
      <c r="Z705" s="9">
        <f>Y705*X705</f>
        <v/>
      </c>
      <c r="AA705" s="10">
        <f>IF(W705&gt;$AE$33,1,0)</f>
        <v/>
      </c>
      <c r="AB705">
        <f>IF(AA705=C705,1,0)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$AE$12+D706*$AE$13+E706*$AE$14+F706*$AE$15+G706*$AE$16+H706*$AE$17+I706*$AE$18+J706*$AE$19+K706*$AE$20+L706*$AE$21+M706*$AE$22+N706*$AE$23+O706*$AE$24+P706*$AE$25+Q706*$AE$26+R706*$AE$27+S706*$AE$28+T706*$AE$29+U706*$AE$30</f>
        <v/>
      </c>
      <c r="W706" s="8">
        <f>1/(1+EXP(-V706))</f>
        <v/>
      </c>
      <c r="X706" s="9">
        <f>-IF(C706=1,LN(W706),LN(1-W706))</f>
        <v/>
      </c>
      <c r="Y706" s="8">
        <f>'1 prepared data'!V699</f>
        <v/>
      </c>
      <c r="Z706" s="9">
        <f>Y706*X706</f>
        <v/>
      </c>
      <c r="AA706" s="10">
        <f>IF(W706&gt;$AE$33,1,0)</f>
        <v/>
      </c>
      <c r="AB706">
        <f>IF(AA706=C706,1,0)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$AE$12+D707*$AE$13+E707*$AE$14+F707*$AE$15+G707*$AE$16+H707*$AE$17+I707*$AE$18+J707*$AE$19+K707*$AE$20+L707*$AE$21+M707*$AE$22+N707*$AE$23+O707*$AE$24+P707*$AE$25+Q707*$AE$26+R707*$AE$27+S707*$AE$28+T707*$AE$29+U707*$AE$30</f>
        <v/>
      </c>
      <c r="W707" s="8">
        <f>1/(1+EXP(-V707))</f>
        <v/>
      </c>
      <c r="X707" s="9">
        <f>-IF(C707=1,LN(W707),LN(1-W707))</f>
        <v/>
      </c>
      <c r="Y707" s="8">
        <f>'1 prepared data'!V700</f>
        <v/>
      </c>
      <c r="Z707" s="9">
        <f>Y707*X707</f>
        <v/>
      </c>
      <c r="AA707" s="10">
        <f>IF(W707&gt;$AE$33,1,0)</f>
        <v/>
      </c>
      <c r="AB707">
        <f>IF(AA707=C707,1,0)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$AE$12+D708*$AE$13+E708*$AE$14+F708*$AE$15+G708*$AE$16+H708*$AE$17+I708*$AE$18+J708*$AE$19+K708*$AE$20+L708*$AE$21+M708*$AE$22+N708*$AE$23+O708*$AE$24+P708*$AE$25+Q708*$AE$26+R708*$AE$27+S708*$AE$28+T708*$AE$29+U708*$AE$30</f>
        <v/>
      </c>
      <c r="W708" s="8">
        <f>1/(1+EXP(-V708))</f>
        <v/>
      </c>
      <c r="X708" s="9">
        <f>-IF(C708=1,LN(W708),LN(1-W708))</f>
        <v/>
      </c>
      <c r="Y708" s="8">
        <f>'1 prepared data'!V701</f>
        <v/>
      </c>
      <c r="Z708" s="9">
        <f>Y708*X708</f>
        <v/>
      </c>
      <c r="AA708" s="10">
        <f>IF(W708&gt;$AE$33,1,0)</f>
        <v/>
      </c>
      <c r="AB708">
        <f>IF(AA708=C708,1,0)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$AE$12+D709*$AE$13+E709*$AE$14+F709*$AE$15+G709*$AE$16+H709*$AE$17+I709*$AE$18+J709*$AE$19+K709*$AE$20+L709*$AE$21+M709*$AE$22+N709*$AE$23+O709*$AE$24+P709*$AE$25+Q709*$AE$26+R709*$AE$27+S709*$AE$28+T709*$AE$29+U709*$AE$30</f>
        <v/>
      </c>
      <c r="W709" s="8">
        <f>1/(1+EXP(-V709))</f>
        <v/>
      </c>
      <c r="X709" s="9">
        <f>-IF(C709=1,LN(W709),LN(1-W709))</f>
        <v/>
      </c>
      <c r="Y709" s="8">
        <f>'1 prepared data'!V702</f>
        <v/>
      </c>
      <c r="Z709" s="9">
        <f>Y709*X709</f>
        <v/>
      </c>
      <c r="AA709" s="10">
        <f>IF(W709&gt;$AE$33,1,0)</f>
        <v/>
      </c>
      <c r="AB709">
        <f>IF(AA709=C709,1,0)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$AE$12+D710*$AE$13+E710*$AE$14+F710*$AE$15+G710*$AE$16+H710*$AE$17+I710*$AE$18+J710*$AE$19+K710*$AE$20+L710*$AE$21+M710*$AE$22+N710*$AE$23+O710*$AE$24+P710*$AE$25+Q710*$AE$26+R710*$AE$27+S710*$AE$28+T710*$AE$29+U710*$AE$30</f>
        <v/>
      </c>
      <c r="W710" s="8">
        <f>1/(1+EXP(-V710))</f>
        <v/>
      </c>
      <c r="X710" s="9">
        <f>-IF(C710=1,LN(W710),LN(1-W710))</f>
        <v/>
      </c>
      <c r="Y710" s="8">
        <f>'1 prepared data'!V703</f>
        <v/>
      </c>
      <c r="Z710" s="9">
        <f>Y710*X710</f>
        <v/>
      </c>
      <c r="AA710" s="10">
        <f>IF(W710&gt;$AE$33,1,0)</f>
        <v/>
      </c>
      <c r="AB710">
        <f>IF(AA710=C710,1,0)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$AE$12+D711*$AE$13+E711*$AE$14+F711*$AE$15+G711*$AE$16+H711*$AE$17+I711*$AE$18+J711*$AE$19+K711*$AE$20+L711*$AE$21+M711*$AE$22+N711*$AE$23+O711*$AE$24+P711*$AE$25+Q711*$AE$26+R711*$AE$27+S711*$AE$28+T711*$AE$29+U711*$AE$30</f>
        <v/>
      </c>
      <c r="W711" s="8">
        <f>1/(1+EXP(-V711))</f>
        <v/>
      </c>
      <c r="X711" s="9">
        <f>-IF(C711=1,LN(W711),LN(1-W711))</f>
        <v/>
      </c>
      <c r="Y711" s="8">
        <f>'1 prepared data'!V704</f>
        <v/>
      </c>
      <c r="Z711" s="9">
        <f>Y711*X711</f>
        <v/>
      </c>
      <c r="AA711" s="10">
        <f>IF(W711&gt;$AE$33,1,0)</f>
        <v/>
      </c>
      <c r="AB711">
        <f>IF(AA711=C711,1,0)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$AE$12+D712*$AE$13+E712*$AE$14+F712*$AE$15+G712*$AE$16+H712*$AE$17+I712*$AE$18+J712*$AE$19+K712*$AE$20+L712*$AE$21+M712*$AE$22+N712*$AE$23+O712*$AE$24+P712*$AE$25+Q712*$AE$26+R712*$AE$27+S712*$AE$28+T712*$AE$29+U712*$AE$30</f>
        <v/>
      </c>
      <c r="W712" s="8">
        <f>1/(1+EXP(-V712))</f>
        <v/>
      </c>
      <c r="X712" s="9">
        <f>-IF(C712=1,LN(W712),LN(1-W712))</f>
        <v/>
      </c>
      <c r="Y712" s="8">
        <f>'1 prepared data'!V705</f>
        <v/>
      </c>
      <c r="Z712" s="9">
        <f>Y712*X712</f>
        <v/>
      </c>
      <c r="AA712" s="10">
        <f>IF(W712&gt;$AE$33,1,0)</f>
        <v/>
      </c>
      <c r="AB712">
        <f>IF(AA712=C712,1,0)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$AE$12+D713*$AE$13+E713*$AE$14+F713*$AE$15+G713*$AE$16+H713*$AE$17+I713*$AE$18+J713*$AE$19+K713*$AE$20+L713*$AE$21+M713*$AE$22+N713*$AE$23+O713*$AE$24+P713*$AE$25+Q713*$AE$26+R713*$AE$27+S713*$AE$28+T713*$AE$29+U713*$AE$30</f>
        <v/>
      </c>
      <c r="W713" s="8">
        <f>1/(1+EXP(-V713))</f>
        <v/>
      </c>
      <c r="X713" s="9">
        <f>-IF(C713=1,LN(W713),LN(1-W713))</f>
        <v/>
      </c>
      <c r="Y713" s="8">
        <f>'1 prepared data'!V706</f>
        <v/>
      </c>
      <c r="Z713" s="9">
        <f>Y713*X713</f>
        <v/>
      </c>
      <c r="AA713" s="10">
        <f>IF(W713&gt;$AE$33,1,0)</f>
        <v/>
      </c>
      <c r="AB713">
        <f>IF(AA713=C713,1,0)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$AE$12+D714*$AE$13+E714*$AE$14+F714*$AE$15+G714*$AE$16+H714*$AE$17+I714*$AE$18+J714*$AE$19+K714*$AE$20+L714*$AE$21+M714*$AE$22+N714*$AE$23+O714*$AE$24+P714*$AE$25+Q714*$AE$26+R714*$AE$27+S714*$AE$28+T714*$AE$29+U714*$AE$30</f>
        <v/>
      </c>
      <c r="W714" s="8">
        <f>1/(1+EXP(-V714))</f>
        <v/>
      </c>
      <c r="X714" s="9">
        <f>-IF(C714=1,LN(W714),LN(1-W714))</f>
        <v/>
      </c>
      <c r="Y714" s="8">
        <f>'1 prepared data'!V707</f>
        <v/>
      </c>
      <c r="Z714" s="9">
        <f>Y714*X714</f>
        <v/>
      </c>
      <c r="AA714" s="10">
        <f>IF(W714&gt;$AE$33,1,0)</f>
        <v/>
      </c>
      <c r="AB714">
        <f>IF(AA714=C714,1,0)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$AE$12+D715*$AE$13+E715*$AE$14+F715*$AE$15+G715*$AE$16+H715*$AE$17+I715*$AE$18+J715*$AE$19+K715*$AE$20+L715*$AE$21+M715*$AE$22+N715*$AE$23+O715*$AE$24+P715*$AE$25+Q715*$AE$26+R715*$AE$27+S715*$AE$28+T715*$AE$29+U715*$AE$30</f>
        <v/>
      </c>
      <c r="W715" s="8">
        <f>1/(1+EXP(-V715))</f>
        <v/>
      </c>
      <c r="X715" s="9">
        <f>-IF(C715=1,LN(W715),LN(1-W715))</f>
        <v/>
      </c>
      <c r="Y715" s="8">
        <f>'1 prepared data'!V708</f>
        <v/>
      </c>
      <c r="Z715" s="9">
        <f>Y715*X715</f>
        <v/>
      </c>
      <c r="AA715" s="10">
        <f>IF(W715&gt;$AE$33,1,0)</f>
        <v/>
      </c>
      <c r="AB715">
        <f>IF(AA715=C715,1,0)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$AE$12+D716*$AE$13+E716*$AE$14+F716*$AE$15+G716*$AE$16+H716*$AE$17+I716*$AE$18+J716*$AE$19+K716*$AE$20+L716*$AE$21+M716*$AE$22+N716*$AE$23+O716*$AE$24+P716*$AE$25+Q716*$AE$26+R716*$AE$27+S716*$AE$28+T716*$AE$29+U716*$AE$30</f>
        <v/>
      </c>
      <c r="W716" s="8">
        <f>1/(1+EXP(-V716))</f>
        <v/>
      </c>
      <c r="X716" s="9">
        <f>-IF(C716=1,LN(W716),LN(1-W716))</f>
        <v/>
      </c>
      <c r="Y716" s="8">
        <f>'1 prepared data'!V709</f>
        <v/>
      </c>
      <c r="Z716" s="9">
        <f>Y716*X716</f>
        <v/>
      </c>
      <c r="AA716" s="10">
        <f>IF(W716&gt;$AE$33,1,0)</f>
        <v/>
      </c>
      <c r="AB716">
        <f>IF(AA716=C716,1,0)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$AE$12+D717*$AE$13+E717*$AE$14+F717*$AE$15+G717*$AE$16+H717*$AE$17+I717*$AE$18+J717*$AE$19+K717*$AE$20+L717*$AE$21+M717*$AE$22+N717*$AE$23+O717*$AE$24+P717*$AE$25+Q717*$AE$26+R717*$AE$27+S717*$AE$28+T717*$AE$29+U717*$AE$30</f>
        <v/>
      </c>
      <c r="W717" s="8">
        <f>1/(1+EXP(-V717))</f>
        <v/>
      </c>
      <c r="X717" s="9">
        <f>-IF(C717=1,LN(W717),LN(1-W717))</f>
        <v/>
      </c>
      <c r="Y717" s="8">
        <f>'1 prepared data'!V710</f>
        <v/>
      </c>
      <c r="Z717" s="9">
        <f>Y717*X717</f>
        <v/>
      </c>
      <c r="AA717" s="10">
        <f>IF(W717&gt;$AE$33,1,0)</f>
        <v/>
      </c>
      <c r="AB717">
        <f>IF(AA717=C717,1,0)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$AE$12+D718*$AE$13+E718*$AE$14+F718*$AE$15+G718*$AE$16+H718*$AE$17+I718*$AE$18+J718*$AE$19+K718*$AE$20+L718*$AE$21+M718*$AE$22+N718*$AE$23+O718*$AE$24+P718*$AE$25+Q718*$AE$26+R718*$AE$27+S718*$AE$28+T718*$AE$29+U718*$AE$30</f>
        <v/>
      </c>
      <c r="W718" s="8">
        <f>1/(1+EXP(-V718))</f>
        <v/>
      </c>
      <c r="X718" s="9">
        <f>-IF(C718=1,LN(W718),LN(1-W718))</f>
        <v/>
      </c>
      <c r="Y718" s="8">
        <f>'1 prepared data'!V711</f>
        <v/>
      </c>
      <c r="Z718" s="9">
        <f>Y718*X718</f>
        <v/>
      </c>
      <c r="AA718" s="10">
        <f>IF(W718&gt;$AE$33,1,0)</f>
        <v/>
      </c>
      <c r="AB718">
        <f>IF(AA718=C718,1,0)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$AE$12+D719*$AE$13+E719*$AE$14+F719*$AE$15+G719*$AE$16+H719*$AE$17+I719*$AE$18+J719*$AE$19+K719*$AE$20+L719*$AE$21+M719*$AE$22+N719*$AE$23+O719*$AE$24+P719*$AE$25+Q719*$AE$26+R719*$AE$27+S719*$AE$28+T719*$AE$29+U719*$AE$30</f>
        <v/>
      </c>
      <c r="W719" s="8">
        <f>1/(1+EXP(-V719))</f>
        <v/>
      </c>
      <c r="X719" s="9">
        <f>-IF(C719=1,LN(W719),LN(1-W719))</f>
        <v/>
      </c>
      <c r="Y719" s="8">
        <f>'1 prepared data'!V712</f>
        <v/>
      </c>
      <c r="Z719" s="9">
        <f>Y719*X719</f>
        <v/>
      </c>
      <c r="AA719" s="10">
        <f>IF(W719&gt;$AE$33,1,0)</f>
        <v/>
      </c>
      <c r="AB719">
        <f>IF(AA719=C719,1,0)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$AE$12+D720*$AE$13+E720*$AE$14+F720*$AE$15+G720*$AE$16+H720*$AE$17+I720*$AE$18+J720*$AE$19+K720*$AE$20+L720*$AE$21+M720*$AE$22+N720*$AE$23+O720*$AE$24+P720*$AE$25+Q720*$AE$26+R720*$AE$27+S720*$AE$28+T720*$AE$29+U720*$AE$30</f>
        <v/>
      </c>
      <c r="W720" s="8">
        <f>1/(1+EXP(-V720))</f>
        <v/>
      </c>
      <c r="X720" s="9">
        <f>-IF(C720=1,LN(W720),LN(1-W720))</f>
        <v/>
      </c>
      <c r="Y720" s="8">
        <f>'1 prepared data'!V713</f>
        <v/>
      </c>
      <c r="Z720" s="9">
        <f>Y720*X720</f>
        <v/>
      </c>
      <c r="AA720" s="10">
        <f>IF(W720&gt;$AE$33,1,0)</f>
        <v/>
      </c>
      <c r="AB720">
        <f>IF(AA720=C720,1,0)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$AE$12+D721*$AE$13+E721*$AE$14+F721*$AE$15+G721*$AE$16+H721*$AE$17+I721*$AE$18+J721*$AE$19+K721*$AE$20+L721*$AE$21+M721*$AE$22+N721*$AE$23+O721*$AE$24+P721*$AE$25+Q721*$AE$26+R721*$AE$27+S721*$AE$28+T721*$AE$29+U721*$AE$30</f>
        <v/>
      </c>
      <c r="W721" s="8">
        <f>1/(1+EXP(-V721))</f>
        <v/>
      </c>
      <c r="X721" s="9">
        <f>-IF(C721=1,LN(W721),LN(1-W721))</f>
        <v/>
      </c>
      <c r="Y721" s="8">
        <f>'1 prepared data'!V714</f>
        <v/>
      </c>
      <c r="Z721" s="9">
        <f>Y721*X721</f>
        <v/>
      </c>
      <c r="AA721" s="10">
        <f>IF(W721&gt;$AE$33,1,0)</f>
        <v/>
      </c>
      <c r="AB721">
        <f>IF(AA721=C721,1,0)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$AE$12+D722*$AE$13+E722*$AE$14+F722*$AE$15+G722*$AE$16+H722*$AE$17+I722*$AE$18+J722*$AE$19+K722*$AE$20+L722*$AE$21+M722*$AE$22+N722*$AE$23+O722*$AE$24+P722*$AE$25+Q722*$AE$26+R722*$AE$27+S722*$AE$28+T722*$AE$29+U722*$AE$30</f>
        <v/>
      </c>
      <c r="W722" s="8">
        <f>1/(1+EXP(-V722))</f>
        <v/>
      </c>
      <c r="X722" s="9">
        <f>-IF(C722=1,LN(W722),LN(1-W722))</f>
        <v/>
      </c>
      <c r="Y722" s="8">
        <f>'1 prepared data'!V715</f>
        <v/>
      </c>
      <c r="Z722" s="9">
        <f>Y722*X722</f>
        <v/>
      </c>
      <c r="AA722" s="10">
        <f>IF(W722&gt;$AE$33,1,0)</f>
        <v/>
      </c>
      <c r="AB722">
        <f>IF(AA722=C722,1,0)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$AE$12+D723*$AE$13+E723*$AE$14+F723*$AE$15+G723*$AE$16+H723*$AE$17+I723*$AE$18+J723*$AE$19+K723*$AE$20+L723*$AE$21+M723*$AE$22+N723*$AE$23+O723*$AE$24+P723*$AE$25+Q723*$AE$26+R723*$AE$27+S723*$AE$28+T723*$AE$29+U723*$AE$30</f>
        <v/>
      </c>
      <c r="W723" s="8">
        <f>1/(1+EXP(-V723))</f>
        <v/>
      </c>
      <c r="X723" s="9">
        <f>-IF(C723=1,LN(W723),LN(1-W723))</f>
        <v/>
      </c>
      <c r="Y723" s="8">
        <f>'1 prepared data'!V716</f>
        <v/>
      </c>
      <c r="Z723" s="9">
        <f>Y723*X723</f>
        <v/>
      </c>
      <c r="AA723" s="10">
        <f>IF(W723&gt;$AE$33,1,0)</f>
        <v/>
      </c>
      <c r="AB723">
        <f>IF(AA723=C723,1,0)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$AE$12+D724*$AE$13+E724*$AE$14+F724*$AE$15+G724*$AE$16+H724*$AE$17+I724*$AE$18+J724*$AE$19+K724*$AE$20+L724*$AE$21+M724*$AE$22+N724*$AE$23+O724*$AE$24+P724*$AE$25+Q724*$AE$26+R724*$AE$27+S724*$AE$28+T724*$AE$29+U724*$AE$30</f>
        <v/>
      </c>
      <c r="W724" s="8">
        <f>1/(1+EXP(-V724))</f>
        <v/>
      </c>
      <c r="X724" s="9">
        <f>-IF(C724=1,LN(W724),LN(1-W724))</f>
        <v/>
      </c>
      <c r="Y724" s="8">
        <f>'1 prepared data'!V717</f>
        <v/>
      </c>
      <c r="Z724" s="9">
        <f>Y724*X724</f>
        <v/>
      </c>
      <c r="AA724" s="10">
        <f>IF(W724&gt;$AE$33,1,0)</f>
        <v/>
      </c>
      <c r="AB724">
        <f>IF(AA724=C724,1,0)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$AE$12+D725*$AE$13+E725*$AE$14+F725*$AE$15+G725*$AE$16+H725*$AE$17+I725*$AE$18+J725*$AE$19+K725*$AE$20+L725*$AE$21+M725*$AE$22+N725*$AE$23+O725*$AE$24+P725*$AE$25+Q725*$AE$26+R725*$AE$27+S725*$AE$28+T725*$AE$29+U725*$AE$30</f>
        <v/>
      </c>
      <c r="W725" s="8">
        <f>1/(1+EXP(-V725))</f>
        <v/>
      </c>
      <c r="X725" s="9">
        <f>-IF(C725=1,LN(W725),LN(1-W725))</f>
        <v/>
      </c>
      <c r="Y725" s="8">
        <f>'1 prepared data'!V718</f>
        <v/>
      </c>
      <c r="Z725" s="9">
        <f>Y725*X725</f>
        <v/>
      </c>
      <c r="AA725" s="10">
        <f>IF(W725&gt;$AE$33,1,0)</f>
        <v/>
      </c>
      <c r="AB725">
        <f>IF(AA725=C725,1,0)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$AE$12+D726*$AE$13+E726*$AE$14+F726*$AE$15+G726*$AE$16+H726*$AE$17+I726*$AE$18+J726*$AE$19+K726*$AE$20+L726*$AE$21+M726*$AE$22+N726*$AE$23+O726*$AE$24+P726*$AE$25+Q726*$AE$26+R726*$AE$27+S726*$AE$28+T726*$AE$29+U726*$AE$30</f>
        <v/>
      </c>
      <c r="W726" s="8">
        <f>1/(1+EXP(-V726))</f>
        <v/>
      </c>
      <c r="X726" s="9">
        <f>-IF(C726=1,LN(W726),LN(1-W726))</f>
        <v/>
      </c>
      <c r="Y726" s="8">
        <f>'1 prepared data'!V719</f>
        <v/>
      </c>
      <c r="Z726" s="9">
        <f>Y726*X726</f>
        <v/>
      </c>
      <c r="AA726" s="10">
        <f>IF(W726&gt;$AE$33,1,0)</f>
        <v/>
      </c>
      <c r="AB726">
        <f>IF(AA726=C726,1,0)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$AE$12+D727*$AE$13+E727*$AE$14+F727*$AE$15+G727*$AE$16+H727*$AE$17+I727*$AE$18+J727*$AE$19+K727*$AE$20+L727*$AE$21+M727*$AE$22+N727*$AE$23+O727*$AE$24+P727*$AE$25+Q727*$AE$26+R727*$AE$27+S727*$AE$28+T727*$AE$29+U727*$AE$30</f>
        <v/>
      </c>
      <c r="W727" s="8">
        <f>1/(1+EXP(-V727))</f>
        <v/>
      </c>
      <c r="X727" s="9">
        <f>-IF(C727=1,LN(W727),LN(1-W727))</f>
        <v/>
      </c>
      <c r="Y727" s="8">
        <f>'1 prepared data'!V720</f>
        <v/>
      </c>
      <c r="Z727" s="9">
        <f>Y727*X727</f>
        <v/>
      </c>
      <c r="AA727" s="10">
        <f>IF(W727&gt;$AE$33,1,0)</f>
        <v/>
      </c>
      <c r="AB727">
        <f>IF(AA727=C727,1,0)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$AE$12+D728*$AE$13+E728*$AE$14+F728*$AE$15+G728*$AE$16+H728*$AE$17+I728*$AE$18+J728*$AE$19+K728*$AE$20+L728*$AE$21+M728*$AE$22+N728*$AE$23+O728*$AE$24+P728*$AE$25+Q728*$AE$26+R728*$AE$27+S728*$AE$28+T728*$AE$29+U728*$AE$30</f>
        <v/>
      </c>
      <c r="W728" s="8">
        <f>1/(1+EXP(-V728))</f>
        <v/>
      </c>
      <c r="X728" s="9">
        <f>-IF(C728=1,LN(W728),LN(1-W728))</f>
        <v/>
      </c>
      <c r="Y728" s="8">
        <f>'1 prepared data'!V721</f>
        <v/>
      </c>
      <c r="Z728" s="9">
        <f>Y728*X728</f>
        <v/>
      </c>
      <c r="AA728" s="10">
        <f>IF(W728&gt;$AE$33,1,0)</f>
        <v/>
      </c>
      <c r="AB728">
        <f>IF(AA728=C728,1,0)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$AE$12+D729*$AE$13+E729*$AE$14+F729*$AE$15+G729*$AE$16+H729*$AE$17+I729*$AE$18+J729*$AE$19+K729*$AE$20+L729*$AE$21+M729*$AE$22+N729*$AE$23+O729*$AE$24+P729*$AE$25+Q729*$AE$26+R729*$AE$27+S729*$AE$28+T729*$AE$29+U729*$AE$30</f>
        <v/>
      </c>
      <c r="W729" s="8">
        <f>1/(1+EXP(-V729))</f>
        <v/>
      </c>
      <c r="X729" s="9">
        <f>-IF(C729=1,LN(W729),LN(1-W729))</f>
        <v/>
      </c>
      <c r="Y729" s="8">
        <f>'1 prepared data'!V722</f>
        <v/>
      </c>
      <c r="Z729" s="9">
        <f>Y729*X729</f>
        <v/>
      </c>
      <c r="AA729" s="10">
        <f>IF(W729&gt;$AE$33,1,0)</f>
        <v/>
      </c>
      <c r="AB729">
        <f>IF(AA729=C729,1,0)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$AE$12+D730*$AE$13+E730*$AE$14+F730*$AE$15+G730*$AE$16+H730*$AE$17+I730*$AE$18+J730*$AE$19+K730*$AE$20+L730*$AE$21+M730*$AE$22+N730*$AE$23+O730*$AE$24+P730*$AE$25+Q730*$AE$26+R730*$AE$27+S730*$AE$28+T730*$AE$29+U730*$AE$30</f>
        <v/>
      </c>
      <c r="W730" s="8">
        <f>1/(1+EXP(-V730))</f>
        <v/>
      </c>
      <c r="X730" s="9">
        <f>-IF(C730=1,LN(W730),LN(1-W730))</f>
        <v/>
      </c>
      <c r="Y730" s="8">
        <f>'1 prepared data'!V723</f>
        <v/>
      </c>
      <c r="Z730" s="9">
        <f>Y730*X730</f>
        <v/>
      </c>
      <c r="AA730" s="10">
        <f>IF(W730&gt;$AE$33,1,0)</f>
        <v/>
      </c>
      <c r="AB730">
        <f>IF(AA730=C730,1,0)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$AE$12+D731*$AE$13+E731*$AE$14+F731*$AE$15+G731*$AE$16+H731*$AE$17+I731*$AE$18+J731*$AE$19+K731*$AE$20+L731*$AE$21+M731*$AE$22+N731*$AE$23+O731*$AE$24+P731*$AE$25+Q731*$AE$26+R731*$AE$27+S731*$AE$28+T731*$AE$29+U731*$AE$30</f>
        <v/>
      </c>
      <c r="W731" s="8">
        <f>1/(1+EXP(-V731))</f>
        <v/>
      </c>
      <c r="X731" s="9">
        <f>-IF(C731=1,LN(W731),LN(1-W731))</f>
        <v/>
      </c>
      <c r="Y731" s="8">
        <f>'1 prepared data'!V724</f>
        <v/>
      </c>
      <c r="Z731" s="9">
        <f>Y731*X731</f>
        <v/>
      </c>
      <c r="AA731" s="10">
        <f>IF(W731&gt;$AE$33,1,0)</f>
        <v/>
      </c>
      <c r="AB731">
        <f>IF(AA731=C731,1,0)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$AE$12+D732*$AE$13+E732*$AE$14+F732*$AE$15+G732*$AE$16+H732*$AE$17+I732*$AE$18+J732*$AE$19+K732*$AE$20+L732*$AE$21+M732*$AE$22+N732*$AE$23+O732*$AE$24+P732*$AE$25+Q732*$AE$26+R732*$AE$27+S732*$AE$28+T732*$AE$29+U732*$AE$30</f>
        <v/>
      </c>
      <c r="W732" s="8">
        <f>1/(1+EXP(-V732))</f>
        <v/>
      </c>
      <c r="X732" s="9">
        <f>-IF(C732=1,LN(W732),LN(1-W732))</f>
        <v/>
      </c>
      <c r="Y732" s="8">
        <f>'1 prepared data'!V725</f>
        <v/>
      </c>
      <c r="Z732" s="9">
        <f>Y732*X732</f>
        <v/>
      </c>
      <c r="AA732" s="10">
        <f>IF(W732&gt;$AE$33,1,0)</f>
        <v/>
      </c>
      <c r="AB732">
        <f>IF(AA732=C732,1,0)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$AE$12+D733*$AE$13+E733*$AE$14+F733*$AE$15+G733*$AE$16+H733*$AE$17+I733*$AE$18+J733*$AE$19+K733*$AE$20+L733*$AE$21+M733*$AE$22+N733*$AE$23+O733*$AE$24+P733*$AE$25+Q733*$AE$26+R733*$AE$27+S733*$AE$28+T733*$AE$29+U733*$AE$30</f>
        <v/>
      </c>
      <c r="W733" s="8">
        <f>1/(1+EXP(-V733))</f>
        <v/>
      </c>
      <c r="X733" s="9">
        <f>-IF(C733=1,LN(W733),LN(1-W733))</f>
        <v/>
      </c>
      <c r="Y733" s="8">
        <f>'1 prepared data'!V726</f>
        <v/>
      </c>
      <c r="Z733" s="9">
        <f>Y733*X733</f>
        <v/>
      </c>
      <c r="AA733" s="10">
        <f>IF(W733&gt;$AE$33,1,0)</f>
        <v/>
      </c>
      <c r="AB733">
        <f>IF(AA733=C733,1,0)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$AE$12+D734*$AE$13+E734*$AE$14+F734*$AE$15+G734*$AE$16+H734*$AE$17+I734*$AE$18+J734*$AE$19+K734*$AE$20+L734*$AE$21+M734*$AE$22+N734*$AE$23+O734*$AE$24+P734*$AE$25+Q734*$AE$26+R734*$AE$27+S734*$AE$28+T734*$AE$29+U734*$AE$30</f>
        <v/>
      </c>
      <c r="W734" s="8">
        <f>1/(1+EXP(-V734))</f>
        <v/>
      </c>
      <c r="X734" s="9">
        <f>-IF(C734=1,LN(W734),LN(1-W734))</f>
        <v/>
      </c>
      <c r="Y734" s="8">
        <f>'1 prepared data'!V727</f>
        <v/>
      </c>
      <c r="Z734" s="9">
        <f>Y734*X734</f>
        <v/>
      </c>
      <c r="AA734" s="10">
        <f>IF(W734&gt;$AE$33,1,0)</f>
        <v/>
      </c>
      <c r="AB734">
        <f>IF(AA734=C734,1,0)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$AE$12+D735*$AE$13+E735*$AE$14+F735*$AE$15+G735*$AE$16+H735*$AE$17+I735*$AE$18+J735*$AE$19+K735*$AE$20+L735*$AE$21+M735*$AE$22+N735*$AE$23+O735*$AE$24+P735*$AE$25+Q735*$AE$26+R735*$AE$27+S735*$AE$28+T735*$AE$29+U735*$AE$30</f>
        <v/>
      </c>
      <c r="W735" s="8">
        <f>1/(1+EXP(-V735))</f>
        <v/>
      </c>
      <c r="X735" s="9">
        <f>-IF(C735=1,LN(W735),LN(1-W735))</f>
        <v/>
      </c>
      <c r="Y735" s="8">
        <f>'1 prepared data'!V728</f>
        <v/>
      </c>
      <c r="Z735" s="9">
        <f>Y735*X735</f>
        <v/>
      </c>
      <c r="AA735" s="10">
        <f>IF(W735&gt;$AE$33,1,0)</f>
        <v/>
      </c>
      <c r="AB735">
        <f>IF(AA735=C735,1,0)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$AE$12+D736*$AE$13+E736*$AE$14+F736*$AE$15+G736*$AE$16+H736*$AE$17+I736*$AE$18+J736*$AE$19+K736*$AE$20+L736*$AE$21+M736*$AE$22+N736*$AE$23+O736*$AE$24+P736*$AE$25+Q736*$AE$26+R736*$AE$27+S736*$AE$28+T736*$AE$29+U736*$AE$30</f>
        <v/>
      </c>
      <c r="W736" s="8">
        <f>1/(1+EXP(-V736))</f>
        <v/>
      </c>
      <c r="X736" s="9">
        <f>-IF(C736=1,LN(W736),LN(1-W736))</f>
        <v/>
      </c>
      <c r="Y736" s="8">
        <f>'1 prepared data'!V729</f>
        <v/>
      </c>
      <c r="Z736" s="9">
        <f>Y736*X736</f>
        <v/>
      </c>
      <c r="AA736" s="10">
        <f>IF(W736&gt;$AE$33,1,0)</f>
        <v/>
      </c>
      <c r="AB736">
        <f>IF(AA736=C736,1,0)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$AE$12+D737*$AE$13+E737*$AE$14+F737*$AE$15+G737*$AE$16+H737*$AE$17+I737*$AE$18+J737*$AE$19+K737*$AE$20+L737*$AE$21+M737*$AE$22+N737*$AE$23+O737*$AE$24+P737*$AE$25+Q737*$AE$26+R737*$AE$27+S737*$AE$28+T737*$AE$29+U737*$AE$30</f>
        <v/>
      </c>
      <c r="W737" s="8">
        <f>1/(1+EXP(-V737))</f>
        <v/>
      </c>
      <c r="X737" s="9">
        <f>-IF(C737=1,LN(W737),LN(1-W737))</f>
        <v/>
      </c>
      <c r="Y737" s="8">
        <f>'1 prepared data'!V730</f>
        <v/>
      </c>
      <c r="Z737" s="9">
        <f>Y737*X737</f>
        <v/>
      </c>
      <c r="AA737" s="10">
        <f>IF(W737&gt;$AE$33,1,0)</f>
        <v/>
      </c>
      <c r="AB737">
        <f>IF(AA737=C737,1,0)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$AE$12+D738*$AE$13+E738*$AE$14+F738*$AE$15+G738*$AE$16+H738*$AE$17+I738*$AE$18+J738*$AE$19+K738*$AE$20+L738*$AE$21+M738*$AE$22+N738*$AE$23+O738*$AE$24+P738*$AE$25+Q738*$AE$26+R738*$AE$27+S738*$AE$28+T738*$AE$29+U738*$AE$30</f>
        <v/>
      </c>
      <c r="W738" s="8">
        <f>1/(1+EXP(-V738))</f>
        <v/>
      </c>
      <c r="X738" s="9">
        <f>-IF(C738=1,LN(W738),LN(1-W738))</f>
        <v/>
      </c>
      <c r="Y738" s="8">
        <f>'1 prepared data'!V731</f>
        <v/>
      </c>
      <c r="Z738" s="9">
        <f>Y738*X738</f>
        <v/>
      </c>
      <c r="AA738" s="10">
        <f>IF(W738&gt;$AE$33,1,0)</f>
        <v/>
      </c>
      <c r="AB738">
        <f>IF(AA738=C738,1,0)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$AE$12+D739*$AE$13+E739*$AE$14+F739*$AE$15+G739*$AE$16+H739*$AE$17+I739*$AE$18+J739*$AE$19+K739*$AE$20+L739*$AE$21+M739*$AE$22+N739*$AE$23+O739*$AE$24+P739*$AE$25+Q739*$AE$26+R739*$AE$27+S739*$AE$28+T739*$AE$29+U739*$AE$30</f>
        <v/>
      </c>
      <c r="W739" s="8">
        <f>1/(1+EXP(-V739))</f>
        <v/>
      </c>
      <c r="X739" s="9">
        <f>-IF(C739=1,LN(W739),LN(1-W739))</f>
        <v/>
      </c>
      <c r="Y739" s="8">
        <f>'1 prepared data'!V732</f>
        <v/>
      </c>
      <c r="Z739" s="9">
        <f>Y739*X739</f>
        <v/>
      </c>
      <c r="AA739" s="10">
        <f>IF(W739&gt;$AE$33,1,0)</f>
        <v/>
      </c>
      <c r="AB739">
        <f>IF(AA739=C739,1,0)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$AE$12+D740*$AE$13+E740*$AE$14+F740*$AE$15+G740*$AE$16+H740*$AE$17+I740*$AE$18+J740*$AE$19+K740*$AE$20+L740*$AE$21+M740*$AE$22+N740*$AE$23+O740*$AE$24+P740*$AE$25+Q740*$AE$26+R740*$AE$27+S740*$AE$28+T740*$AE$29+U740*$AE$30</f>
        <v/>
      </c>
      <c r="W740" s="8">
        <f>1/(1+EXP(-V740))</f>
        <v/>
      </c>
      <c r="X740" s="9">
        <f>-IF(C740=1,LN(W740),LN(1-W740))</f>
        <v/>
      </c>
      <c r="Y740" s="8">
        <f>'1 prepared data'!V733</f>
        <v/>
      </c>
      <c r="Z740" s="9">
        <f>Y740*X740</f>
        <v/>
      </c>
      <c r="AA740" s="10">
        <f>IF(W740&gt;$AE$33,1,0)</f>
        <v/>
      </c>
      <c r="AB740">
        <f>IF(AA740=C740,1,0)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$AE$12+D741*$AE$13+E741*$AE$14+F741*$AE$15+G741*$AE$16+H741*$AE$17+I741*$AE$18+J741*$AE$19+K741*$AE$20+L741*$AE$21+M741*$AE$22+N741*$AE$23+O741*$AE$24+P741*$AE$25+Q741*$AE$26+R741*$AE$27+S741*$AE$28+T741*$AE$29+U741*$AE$30</f>
        <v/>
      </c>
      <c r="W741" s="8">
        <f>1/(1+EXP(-V741))</f>
        <v/>
      </c>
      <c r="X741" s="9">
        <f>-IF(C741=1,LN(W741),LN(1-W741))</f>
        <v/>
      </c>
      <c r="Y741" s="8">
        <f>'1 prepared data'!V734</f>
        <v/>
      </c>
      <c r="Z741" s="9">
        <f>Y741*X741</f>
        <v/>
      </c>
      <c r="AA741" s="10">
        <f>IF(W741&gt;$AE$33,1,0)</f>
        <v/>
      </c>
      <c r="AB741">
        <f>IF(AA741=C741,1,0)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$AE$12+D742*$AE$13+E742*$AE$14+F742*$AE$15+G742*$AE$16+H742*$AE$17+I742*$AE$18+J742*$AE$19+K742*$AE$20+L742*$AE$21+M742*$AE$22+N742*$AE$23+O742*$AE$24+P742*$AE$25+Q742*$AE$26+R742*$AE$27+S742*$AE$28+T742*$AE$29+U742*$AE$30</f>
        <v/>
      </c>
      <c r="W742" s="8">
        <f>1/(1+EXP(-V742))</f>
        <v/>
      </c>
      <c r="X742" s="9">
        <f>-IF(C742=1,LN(W742),LN(1-W742))</f>
        <v/>
      </c>
      <c r="Y742" s="8">
        <f>'1 prepared data'!V735</f>
        <v/>
      </c>
      <c r="Z742" s="9">
        <f>Y742*X742</f>
        <v/>
      </c>
      <c r="AA742" s="10">
        <f>IF(W742&gt;$AE$33,1,0)</f>
        <v/>
      </c>
      <c r="AB742">
        <f>IF(AA742=C742,1,0)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$AE$12+D743*$AE$13+E743*$AE$14+F743*$AE$15+G743*$AE$16+H743*$AE$17+I743*$AE$18+J743*$AE$19+K743*$AE$20+L743*$AE$21+M743*$AE$22+N743*$AE$23+O743*$AE$24+P743*$AE$25+Q743*$AE$26+R743*$AE$27+S743*$AE$28+T743*$AE$29+U743*$AE$30</f>
        <v/>
      </c>
      <c r="W743" s="8">
        <f>1/(1+EXP(-V743))</f>
        <v/>
      </c>
      <c r="X743" s="9">
        <f>-IF(C743=1,LN(W743),LN(1-W743))</f>
        <v/>
      </c>
      <c r="Y743" s="8">
        <f>'1 prepared data'!V736</f>
        <v/>
      </c>
      <c r="Z743" s="9">
        <f>Y743*X743</f>
        <v/>
      </c>
      <c r="AA743" s="10">
        <f>IF(W743&gt;$AE$33,1,0)</f>
        <v/>
      </c>
      <c r="AB743">
        <f>IF(AA743=C743,1,0)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$AE$12+D744*$AE$13+E744*$AE$14+F744*$AE$15+G744*$AE$16+H744*$AE$17+I744*$AE$18+J744*$AE$19+K744*$AE$20+L744*$AE$21+M744*$AE$22+N744*$AE$23+O744*$AE$24+P744*$AE$25+Q744*$AE$26+R744*$AE$27+S744*$AE$28+T744*$AE$29+U744*$AE$30</f>
        <v/>
      </c>
      <c r="W744" s="8">
        <f>1/(1+EXP(-V744))</f>
        <v/>
      </c>
      <c r="X744" s="9">
        <f>-IF(C744=1,LN(W744),LN(1-W744))</f>
        <v/>
      </c>
      <c r="Y744" s="8">
        <f>'1 prepared data'!V737</f>
        <v/>
      </c>
      <c r="Z744" s="9">
        <f>Y744*X744</f>
        <v/>
      </c>
      <c r="AA744" s="10">
        <f>IF(W744&gt;$AE$33,1,0)</f>
        <v/>
      </c>
      <c r="AB744">
        <f>IF(AA744=C744,1,0)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$AE$12+D745*$AE$13+E745*$AE$14+F745*$AE$15+G745*$AE$16+H745*$AE$17+I745*$AE$18+J745*$AE$19+K745*$AE$20+L745*$AE$21+M745*$AE$22+N745*$AE$23+O745*$AE$24+P745*$AE$25+Q745*$AE$26+R745*$AE$27+S745*$AE$28+T745*$AE$29+U745*$AE$30</f>
        <v/>
      </c>
      <c r="W745" s="8">
        <f>1/(1+EXP(-V745))</f>
        <v/>
      </c>
      <c r="X745" s="9">
        <f>-IF(C745=1,LN(W745),LN(1-W745))</f>
        <v/>
      </c>
      <c r="Y745" s="8">
        <f>'1 prepared data'!V738</f>
        <v/>
      </c>
      <c r="Z745" s="9">
        <f>Y745*X745</f>
        <v/>
      </c>
      <c r="AA745" s="10">
        <f>IF(W745&gt;$AE$33,1,0)</f>
        <v/>
      </c>
      <c r="AB745">
        <f>IF(AA745=C745,1,0)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$AE$12+D746*$AE$13+E746*$AE$14+F746*$AE$15+G746*$AE$16+H746*$AE$17+I746*$AE$18+J746*$AE$19+K746*$AE$20+L746*$AE$21+M746*$AE$22+N746*$AE$23+O746*$AE$24+P746*$AE$25+Q746*$AE$26+R746*$AE$27+S746*$AE$28+T746*$AE$29+U746*$AE$30</f>
        <v/>
      </c>
      <c r="W746" s="8">
        <f>1/(1+EXP(-V746))</f>
        <v/>
      </c>
      <c r="X746" s="9">
        <f>-IF(C746=1,LN(W746),LN(1-W746))</f>
        <v/>
      </c>
      <c r="Y746" s="8">
        <f>'1 prepared data'!V739</f>
        <v/>
      </c>
      <c r="Z746" s="9">
        <f>Y746*X746</f>
        <v/>
      </c>
      <c r="AA746" s="10">
        <f>IF(W746&gt;$AE$33,1,0)</f>
        <v/>
      </c>
      <c r="AB746">
        <f>IF(AA746=C746,1,0)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$AE$12+D747*$AE$13+E747*$AE$14+F747*$AE$15+G747*$AE$16+H747*$AE$17+I747*$AE$18+J747*$AE$19+K747*$AE$20+L747*$AE$21+M747*$AE$22+N747*$AE$23+O747*$AE$24+P747*$AE$25+Q747*$AE$26+R747*$AE$27+S747*$AE$28+T747*$AE$29+U747*$AE$30</f>
        <v/>
      </c>
      <c r="W747" s="8">
        <f>1/(1+EXP(-V747))</f>
        <v/>
      </c>
      <c r="X747" s="9">
        <f>-IF(C747=1,LN(W747),LN(1-W747))</f>
        <v/>
      </c>
      <c r="Y747" s="8">
        <f>'1 prepared data'!V740</f>
        <v/>
      </c>
      <c r="Z747" s="9">
        <f>Y747*X747</f>
        <v/>
      </c>
      <c r="AA747" s="10">
        <f>IF(W747&gt;$AE$33,1,0)</f>
        <v/>
      </c>
      <c r="AB747">
        <f>IF(AA747=C747,1,0)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$AE$12+D748*$AE$13+E748*$AE$14+F748*$AE$15+G748*$AE$16+H748*$AE$17+I748*$AE$18+J748*$AE$19+K748*$AE$20+L748*$AE$21+M748*$AE$22+N748*$AE$23+O748*$AE$24+P748*$AE$25+Q748*$AE$26+R748*$AE$27+S748*$AE$28+T748*$AE$29+U748*$AE$30</f>
        <v/>
      </c>
      <c r="W748" s="8">
        <f>1/(1+EXP(-V748))</f>
        <v/>
      </c>
      <c r="X748" s="9">
        <f>-IF(C748=1,LN(W748),LN(1-W748))</f>
        <v/>
      </c>
      <c r="Y748" s="8">
        <f>'1 prepared data'!V741</f>
        <v/>
      </c>
      <c r="Z748" s="9">
        <f>Y748*X748</f>
        <v/>
      </c>
      <c r="AA748" s="10">
        <f>IF(W748&gt;$AE$33,1,0)</f>
        <v/>
      </c>
      <c r="AB748">
        <f>IF(AA748=C748,1,0)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$AE$12+D749*$AE$13+E749*$AE$14+F749*$AE$15+G749*$AE$16+H749*$AE$17+I749*$AE$18+J749*$AE$19+K749*$AE$20+L749*$AE$21+M749*$AE$22+N749*$AE$23+O749*$AE$24+P749*$AE$25+Q749*$AE$26+R749*$AE$27+S749*$AE$28+T749*$AE$29+U749*$AE$30</f>
        <v/>
      </c>
      <c r="W749" s="8">
        <f>1/(1+EXP(-V749))</f>
        <v/>
      </c>
      <c r="X749" s="9">
        <f>-IF(C749=1,LN(W749),LN(1-W749))</f>
        <v/>
      </c>
      <c r="Y749" s="8">
        <f>'1 prepared data'!V742</f>
        <v/>
      </c>
      <c r="Z749" s="9">
        <f>Y749*X749</f>
        <v/>
      </c>
      <c r="AA749" s="10">
        <f>IF(W749&gt;$AE$33,1,0)</f>
        <v/>
      </c>
      <c r="AB749">
        <f>IF(AA749=C749,1,0)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$AE$12+D750*$AE$13+E750*$AE$14+F750*$AE$15+G750*$AE$16+H750*$AE$17+I750*$AE$18+J750*$AE$19+K750*$AE$20+L750*$AE$21+M750*$AE$22+N750*$AE$23+O750*$AE$24+P750*$AE$25+Q750*$AE$26+R750*$AE$27+S750*$AE$28+T750*$AE$29+U750*$AE$30</f>
        <v/>
      </c>
      <c r="W750" s="8">
        <f>1/(1+EXP(-V750))</f>
        <v/>
      </c>
      <c r="X750" s="9">
        <f>-IF(C750=1,LN(W750),LN(1-W750))</f>
        <v/>
      </c>
      <c r="Y750" s="8">
        <f>'1 prepared data'!V743</f>
        <v/>
      </c>
      <c r="Z750" s="9">
        <f>Y750*X750</f>
        <v/>
      </c>
      <c r="AA750" s="10">
        <f>IF(W750&gt;$AE$33,1,0)</f>
        <v/>
      </c>
      <c r="AB750">
        <f>IF(AA750=C750,1,0)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$AE$12+D751*$AE$13+E751*$AE$14+F751*$AE$15+G751*$AE$16+H751*$AE$17+I751*$AE$18+J751*$AE$19+K751*$AE$20+L751*$AE$21+M751*$AE$22+N751*$AE$23+O751*$AE$24+P751*$AE$25+Q751*$AE$26+R751*$AE$27+S751*$AE$28+T751*$AE$29+U751*$AE$30</f>
        <v/>
      </c>
      <c r="W751" s="8">
        <f>1/(1+EXP(-V751))</f>
        <v/>
      </c>
      <c r="X751" s="9">
        <f>-IF(C751=1,LN(W751),LN(1-W751))</f>
        <v/>
      </c>
      <c r="Y751" s="8">
        <f>'1 prepared data'!V744</f>
        <v/>
      </c>
      <c r="Z751" s="9">
        <f>Y751*X751</f>
        <v/>
      </c>
      <c r="AA751" s="10">
        <f>IF(W751&gt;$AE$33,1,0)</f>
        <v/>
      </c>
      <c r="AB751">
        <f>IF(AA751=C751,1,0)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$AE$12+D752*$AE$13+E752*$AE$14+F752*$AE$15+G752*$AE$16+H752*$AE$17+I752*$AE$18+J752*$AE$19+K752*$AE$20+L752*$AE$21+M752*$AE$22+N752*$AE$23+O752*$AE$24+P752*$AE$25+Q752*$AE$26+R752*$AE$27+S752*$AE$28+T752*$AE$29+U752*$AE$30</f>
        <v/>
      </c>
      <c r="W752" s="8">
        <f>1/(1+EXP(-V752))</f>
        <v/>
      </c>
      <c r="X752" s="9">
        <f>-IF(C752=1,LN(W752),LN(1-W752))</f>
        <v/>
      </c>
      <c r="Y752" s="8">
        <f>'1 prepared data'!V745</f>
        <v/>
      </c>
      <c r="Z752" s="9">
        <f>Y752*X752</f>
        <v/>
      </c>
      <c r="AA752" s="10">
        <f>IF(W752&gt;$AE$33,1,0)</f>
        <v/>
      </c>
      <c r="AB752">
        <f>IF(AA752=C752,1,0)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$AE$12+D753*$AE$13+E753*$AE$14+F753*$AE$15+G753*$AE$16+H753*$AE$17+I753*$AE$18+J753*$AE$19+K753*$AE$20+L753*$AE$21+M753*$AE$22+N753*$AE$23+O753*$AE$24+P753*$AE$25+Q753*$AE$26+R753*$AE$27+S753*$AE$28+T753*$AE$29+U753*$AE$30</f>
        <v/>
      </c>
      <c r="W753" s="8">
        <f>1/(1+EXP(-V753))</f>
        <v/>
      </c>
      <c r="X753" s="9">
        <f>-IF(C753=1,LN(W753),LN(1-W753))</f>
        <v/>
      </c>
      <c r="Y753" s="8">
        <f>'1 prepared data'!V746</f>
        <v/>
      </c>
      <c r="Z753" s="9">
        <f>Y753*X753</f>
        <v/>
      </c>
      <c r="AA753" s="10">
        <f>IF(W753&gt;$AE$33,1,0)</f>
        <v/>
      </c>
      <c r="AB753">
        <f>IF(AA753=C753,1,0)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$AE$12+D754*$AE$13+E754*$AE$14+F754*$AE$15+G754*$AE$16+H754*$AE$17+I754*$AE$18+J754*$AE$19+K754*$AE$20+L754*$AE$21+M754*$AE$22+N754*$AE$23+O754*$AE$24+P754*$AE$25+Q754*$AE$26+R754*$AE$27+S754*$AE$28+T754*$AE$29+U754*$AE$30</f>
        <v/>
      </c>
      <c r="W754" s="8">
        <f>1/(1+EXP(-V754))</f>
        <v/>
      </c>
      <c r="X754" s="9">
        <f>-IF(C754=1,LN(W754),LN(1-W754))</f>
        <v/>
      </c>
      <c r="Y754" s="8">
        <f>'1 prepared data'!V747</f>
        <v/>
      </c>
      <c r="Z754" s="9">
        <f>Y754*X754</f>
        <v/>
      </c>
      <c r="AA754" s="10">
        <f>IF(W754&gt;$AE$33,1,0)</f>
        <v/>
      </c>
      <c r="AB754">
        <f>IF(AA754=C754,1,0)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$AE$12+D755*$AE$13+E755*$AE$14+F755*$AE$15+G755*$AE$16+H755*$AE$17+I755*$AE$18+J755*$AE$19+K755*$AE$20+L755*$AE$21+M755*$AE$22+N755*$AE$23+O755*$AE$24+P755*$AE$25+Q755*$AE$26+R755*$AE$27+S755*$AE$28+T755*$AE$29+U755*$AE$30</f>
        <v/>
      </c>
      <c r="W755" s="8">
        <f>1/(1+EXP(-V755))</f>
        <v/>
      </c>
      <c r="X755" s="9">
        <f>-IF(C755=1,LN(W755),LN(1-W755))</f>
        <v/>
      </c>
      <c r="Y755" s="8">
        <f>'1 prepared data'!V748</f>
        <v/>
      </c>
      <c r="Z755" s="9">
        <f>Y755*X755</f>
        <v/>
      </c>
      <c r="AA755" s="10">
        <f>IF(W755&gt;$AE$33,1,0)</f>
        <v/>
      </c>
      <c r="AB755">
        <f>IF(AA755=C755,1,0)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$AE$12+D756*$AE$13+E756*$AE$14+F756*$AE$15+G756*$AE$16+H756*$AE$17+I756*$AE$18+J756*$AE$19+K756*$AE$20+L756*$AE$21+M756*$AE$22+N756*$AE$23+O756*$AE$24+P756*$AE$25+Q756*$AE$26+R756*$AE$27+S756*$AE$28+T756*$AE$29+U756*$AE$30</f>
        <v/>
      </c>
      <c r="W756" s="8">
        <f>1/(1+EXP(-V756))</f>
        <v/>
      </c>
      <c r="X756" s="9">
        <f>-IF(C756=1,LN(W756),LN(1-W756))</f>
        <v/>
      </c>
      <c r="Y756" s="8">
        <f>'1 prepared data'!V749</f>
        <v/>
      </c>
      <c r="Z756" s="9">
        <f>Y756*X756</f>
        <v/>
      </c>
      <c r="AA756" s="10">
        <f>IF(W756&gt;$AE$33,1,0)</f>
        <v/>
      </c>
      <c r="AB756">
        <f>IF(AA756=C756,1,0)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$AE$12+D757*$AE$13+E757*$AE$14+F757*$AE$15+G757*$AE$16+H757*$AE$17+I757*$AE$18+J757*$AE$19+K757*$AE$20+L757*$AE$21+M757*$AE$22+N757*$AE$23+O757*$AE$24+P757*$AE$25+Q757*$AE$26+R757*$AE$27+S757*$AE$28+T757*$AE$29+U757*$AE$30</f>
        <v/>
      </c>
      <c r="W757" s="8">
        <f>1/(1+EXP(-V757))</f>
        <v/>
      </c>
      <c r="X757" s="9">
        <f>-IF(C757=1,LN(W757),LN(1-W757))</f>
        <v/>
      </c>
      <c r="Y757" s="8">
        <f>'1 prepared data'!V750</f>
        <v/>
      </c>
      <c r="Z757" s="9">
        <f>Y757*X757</f>
        <v/>
      </c>
      <c r="AA757" s="10">
        <f>IF(W757&gt;$AE$33,1,0)</f>
        <v/>
      </c>
      <c r="AB757">
        <f>IF(AA757=C757,1,0)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$AE$12+D758*$AE$13+E758*$AE$14+F758*$AE$15+G758*$AE$16+H758*$AE$17+I758*$AE$18+J758*$AE$19+K758*$AE$20+L758*$AE$21+M758*$AE$22+N758*$AE$23+O758*$AE$24+P758*$AE$25+Q758*$AE$26+R758*$AE$27+S758*$AE$28+T758*$AE$29+U758*$AE$30</f>
        <v/>
      </c>
      <c r="W758" s="8">
        <f>1/(1+EXP(-V758))</f>
        <v/>
      </c>
      <c r="X758" s="9">
        <f>-IF(C758=1,LN(W758),LN(1-W758))</f>
        <v/>
      </c>
      <c r="Y758" s="8">
        <f>'1 prepared data'!V751</f>
        <v/>
      </c>
      <c r="Z758" s="9">
        <f>Y758*X758</f>
        <v/>
      </c>
      <c r="AA758" s="10">
        <f>IF(W758&gt;$AE$33,1,0)</f>
        <v/>
      </c>
      <c r="AB758">
        <f>IF(AA758=C758,1,0)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$AE$12+D759*$AE$13+E759*$AE$14+F759*$AE$15+G759*$AE$16+H759*$AE$17+I759*$AE$18+J759*$AE$19+K759*$AE$20+L759*$AE$21+M759*$AE$22+N759*$AE$23+O759*$AE$24+P759*$AE$25+Q759*$AE$26+R759*$AE$27+S759*$AE$28+T759*$AE$29+U759*$AE$30</f>
        <v/>
      </c>
      <c r="W759" s="8">
        <f>1/(1+EXP(-V759))</f>
        <v/>
      </c>
      <c r="X759" s="9">
        <f>-IF(C759=1,LN(W759),LN(1-W759))</f>
        <v/>
      </c>
      <c r="Y759" s="8">
        <f>'1 prepared data'!V752</f>
        <v/>
      </c>
      <c r="Z759" s="9">
        <f>Y759*X759</f>
        <v/>
      </c>
      <c r="AA759" s="10">
        <f>IF(W759&gt;$AE$33,1,0)</f>
        <v/>
      </c>
      <c r="AB759">
        <f>IF(AA759=C759,1,0)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$AE$12+D760*$AE$13+E760*$AE$14+F760*$AE$15+G760*$AE$16+H760*$AE$17+I760*$AE$18+J760*$AE$19+K760*$AE$20+L760*$AE$21+M760*$AE$22+N760*$AE$23+O760*$AE$24+P760*$AE$25+Q760*$AE$26+R760*$AE$27+S760*$AE$28+T760*$AE$29+U760*$AE$30</f>
        <v/>
      </c>
      <c r="W760" s="8">
        <f>1/(1+EXP(-V760))</f>
        <v/>
      </c>
      <c r="X760" s="9">
        <f>-IF(C760=1,LN(W760),LN(1-W760))</f>
        <v/>
      </c>
      <c r="Y760" s="8">
        <f>'1 prepared data'!V753</f>
        <v/>
      </c>
      <c r="Z760" s="9">
        <f>Y760*X760</f>
        <v/>
      </c>
      <c r="AA760" s="10">
        <f>IF(W760&gt;$AE$33,1,0)</f>
        <v/>
      </c>
      <c r="AB760">
        <f>IF(AA760=C760,1,0)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$AE$12+D761*$AE$13+E761*$AE$14+F761*$AE$15+G761*$AE$16+H761*$AE$17+I761*$AE$18+J761*$AE$19+K761*$AE$20+L761*$AE$21+M761*$AE$22+N761*$AE$23+O761*$AE$24+P761*$AE$25+Q761*$AE$26+R761*$AE$27+S761*$AE$28+T761*$AE$29+U761*$AE$30</f>
        <v/>
      </c>
      <c r="W761" s="8">
        <f>1/(1+EXP(-V761))</f>
        <v/>
      </c>
      <c r="X761" s="9">
        <f>-IF(C761=1,LN(W761),LN(1-W761))</f>
        <v/>
      </c>
      <c r="Y761" s="8">
        <f>'1 prepared data'!V754</f>
        <v/>
      </c>
      <c r="Z761" s="9">
        <f>Y761*X761</f>
        <v/>
      </c>
      <c r="AA761" s="10">
        <f>IF(W761&gt;$AE$33,1,0)</f>
        <v/>
      </c>
      <c r="AB761">
        <f>IF(AA761=C761,1,0)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$AE$12+D762*$AE$13+E762*$AE$14+F762*$AE$15+G762*$AE$16+H762*$AE$17+I762*$AE$18+J762*$AE$19+K762*$AE$20+L762*$AE$21+M762*$AE$22+N762*$AE$23+O762*$AE$24+P762*$AE$25+Q762*$AE$26+R762*$AE$27+S762*$AE$28+T762*$AE$29+U762*$AE$30</f>
        <v/>
      </c>
      <c r="W762" s="8">
        <f>1/(1+EXP(-V762))</f>
        <v/>
      </c>
      <c r="X762" s="9">
        <f>-IF(C762=1,LN(W762),LN(1-W762))</f>
        <v/>
      </c>
      <c r="Y762" s="8">
        <f>'1 prepared data'!V755</f>
        <v/>
      </c>
      <c r="Z762" s="9">
        <f>Y762*X762</f>
        <v/>
      </c>
      <c r="AA762" s="10">
        <f>IF(W762&gt;$AE$33,1,0)</f>
        <v/>
      </c>
      <c r="AB762">
        <f>IF(AA762=C762,1,0)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$AE$12+D763*$AE$13+E763*$AE$14+F763*$AE$15+G763*$AE$16+H763*$AE$17+I763*$AE$18+J763*$AE$19+K763*$AE$20+L763*$AE$21+M763*$AE$22+N763*$AE$23+O763*$AE$24+P763*$AE$25+Q763*$AE$26+R763*$AE$27+S763*$AE$28+T763*$AE$29+U763*$AE$30</f>
        <v/>
      </c>
      <c r="W763" s="8">
        <f>1/(1+EXP(-V763))</f>
        <v/>
      </c>
      <c r="X763" s="9">
        <f>-IF(C763=1,LN(W763),LN(1-W763))</f>
        <v/>
      </c>
      <c r="Y763" s="8">
        <f>'1 prepared data'!V756</f>
        <v/>
      </c>
      <c r="Z763" s="9">
        <f>Y763*X763</f>
        <v/>
      </c>
      <c r="AA763" s="10">
        <f>IF(W763&gt;$AE$33,1,0)</f>
        <v/>
      </c>
      <c r="AB763">
        <f>IF(AA763=C763,1,0)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$AE$12+D764*$AE$13+E764*$AE$14+F764*$AE$15+G764*$AE$16+H764*$AE$17+I764*$AE$18+J764*$AE$19+K764*$AE$20+L764*$AE$21+M764*$AE$22+N764*$AE$23+O764*$AE$24+P764*$AE$25+Q764*$AE$26+R764*$AE$27+S764*$AE$28+T764*$AE$29+U764*$AE$30</f>
        <v/>
      </c>
      <c r="W764" s="8">
        <f>1/(1+EXP(-V764))</f>
        <v/>
      </c>
      <c r="X764" s="9">
        <f>-IF(C764=1,LN(W764),LN(1-W764))</f>
        <v/>
      </c>
      <c r="Y764" s="8">
        <f>'1 prepared data'!V757</f>
        <v/>
      </c>
      <c r="Z764" s="9">
        <f>Y764*X764</f>
        <v/>
      </c>
      <c r="AA764" s="10">
        <f>IF(W764&gt;$AE$33,1,0)</f>
        <v/>
      </c>
      <c r="AB764">
        <f>IF(AA764=C764,1,0)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$AE$12+D765*$AE$13+E765*$AE$14+F765*$AE$15+G765*$AE$16+H765*$AE$17+I765*$AE$18+J765*$AE$19+K765*$AE$20+L765*$AE$21+M765*$AE$22+N765*$AE$23+O765*$AE$24+P765*$AE$25+Q765*$AE$26+R765*$AE$27+S765*$AE$28+T765*$AE$29+U765*$AE$30</f>
        <v/>
      </c>
      <c r="W765" s="8">
        <f>1/(1+EXP(-V765))</f>
        <v/>
      </c>
      <c r="X765" s="9">
        <f>-IF(C765=1,LN(W765),LN(1-W765))</f>
        <v/>
      </c>
      <c r="Y765" s="8">
        <f>'1 prepared data'!V758</f>
        <v/>
      </c>
      <c r="Z765" s="9">
        <f>Y765*X765</f>
        <v/>
      </c>
      <c r="AA765" s="10">
        <f>IF(W765&gt;$AE$33,1,0)</f>
        <v/>
      </c>
      <c r="AB765">
        <f>IF(AA765=C765,1,0)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$AE$12+D766*$AE$13+E766*$AE$14+F766*$AE$15+G766*$AE$16+H766*$AE$17+I766*$AE$18+J766*$AE$19+K766*$AE$20+L766*$AE$21+M766*$AE$22+N766*$AE$23+O766*$AE$24+P766*$AE$25+Q766*$AE$26+R766*$AE$27+S766*$AE$28+T766*$AE$29+U766*$AE$30</f>
        <v/>
      </c>
      <c r="W766" s="8">
        <f>1/(1+EXP(-V766))</f>
        <v/>
      </c>
      <c r="X766" s="9">
        <f>-IF(C766=1,LN(W766),LN(1-W766))</f>
        <v/>
      </c>
      <c r="Y766" s="8">
        <f>'1 prepared data'!V759</f>
        <v/>
      </c>
      <c r="Z766" s="9">
        <f>Y766*X766</f>
        <v/>
      </c>
      <c r="AA766" s="10">
        <f>IF(W766&gt;$AE$33,1,0)</f>
        <v/>
      </c>
      <c r="AB766">
        <f>IF(AA766=C766,1,0)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$AE$12+D767*$AE$13+E767*$AE$14+F767*$AE$15+G767*$AE$16+H767*$AE$17+I767*$AE$18+J767*$AE$19+K767*$AE$20+L767*$AE$21+M767*$AE$22+N767*$AE$23+O767*$AE$24+P767*$AE$25+Q767*$AE$26+R767*$AE$27+S767*$AE$28+T767*$AE$29+U767*$AE$30</f>
        <v/>
      </c>
      <c r="W767" s="8">
        <f>1/(1+EXP(-V767))</f>
        <v/>
      </c>
      <c r="X767" s="9">
        <f>-IF(C767=1,LN(W767),LN(1-W767))</f>
        <v/>
      </c>
      <c r="Y767" s="8">
        <f>'1 prepared data'!V760</f>
        <v/>
      </c>
      <c r="Z767" s="9">
        <f>Y767*X767</f>
        <v/>
      </c>
      <c r="AA767" s="10">
        <f>IF(W767&gt;$AE$33,1,0)</f>
        <v/>
      </c>
      <c r="AB767">
        <f>IF(AA767=C767,1,0)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$AE$12+D768*$AE$13+E768*$AE$14+F768*$AE$15+G768*$AE$16+H768*$AE$17+I768*$AE$18+J768*$AE$19+K768*$AE$20+L768*$AE$21+M768*$AE$22+N768*$AE$23+O768*$AE$24+P768*$AE$25+Q768*$AE$26+R768*$AE$27+S768*$AE$28+T768*$AE$29+U768*$AE$30</f>
        <v/>
      </c>
      <c r="W768" s="8">
        <f>1/(1+EXP(-V768))</f>
        <v/>
      </c>
      <c r="X768" s="9">
        <f>-IF(C768=1,LN(W768),LN(1-W768))</f>
        <v/>
      </c>
      <c r="Y768" s="8">
        <f>'1 prepared data'!V761</f>
        <v/>
      </c>
      <c r="Z768" s="9">
        <f>Y768*X768</f>
        <v/>
      </c>
      <c r="AA768" s="10">
        <f>IF(W768&gt;$AE$33,1,0)</f>
        <v/>
      </c>
      <c r="AB768">
        <f>IF(AA768=C768,1,0)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$AE$12+D769*$AE$13+E769*$AE$14+F769*$AE$15+G769*$AE$16+H769*$AE$17+I769*$AE$18+J769*$AE$19+K769*$AE$20+L769*$AE$21+M769*$AE$22+N769*$AE$23+O769*$AE$24+P769*$AE$25+Q769*$AE$26+R769*$AE$27+S769*$AE$28+T769*$AE$29+U769*$AE$30</f>
        <v/>
      </c>
      <c r="W769" s="8">
        <f>1/(1+EXP(-V769))</f>
        <v/>
      </c>
      <c r="X769" s="9">
        <f>-IF(C769=1,LN(W769),LN(1-W769))</f>
        <v/>
      </c>
      <c r="Y769" s="8">
        <f>'1 prepared data'!V762</f>
        <v/>
      </c>
      <c r="Z769" s="9">
        <f>Y769*X769</f>
        <v/>
      </c>
      <c r="AA769" s="10">
        <f>IF(W769&gt;$AE$33,1,0)</f>
        <v/>
      </c>
      <c r="AB769">
        <f>IF(AA769=C769,1,0)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$AE$12+D770*$AE$13+E770*$AE$14+F770*$AE$15+G770*$AE$16+H770*$AE$17+I770*$AE$18+J770*$AE$19+K770*$AE$20+L770*$AE$21+M770*$AE$22+N770*$AE$23+O770*$AE$24+P770*$AE$25+Q770*$AE$26+R770*$AE$27+S770*$AE$28+T770*$AE$29+U770*$AE$30</f>
        <v/>
      </c>
      <c r="W770" s="8">
        <f>1/(1+EXP(-V770))</f>
        <v/>
      </c>
      <c r="X770" s="9">
        <f>-IF(C770=1,LN(W770),LN(1-W770))</f>
        <v/>
      </c>
      <c r="Y770" s="8">
        <f>'1 prepared data'!V763</f>
        <v/>
      </c>
      <c r="Z770" s="9">
        <f>Y770*X770</f>
        <v/>
      </c>
      <c r="AA770" s="10">
        <f>IF(W770&gt;$AE$33,1,0)</f>
        <v/>
      </c>
      <c r="AB770">
        <f>IF(AA770=C770,1,0)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$AE$12+D771*$AE$13+E771*$AE$14+F771*$AE$15+G771*$AE$16+H771*$AE$17+I771*$AE$18+J771*$AE$19+K771*$AE$20+L771*$AE$21+M771*$AE$22+N771*$AE$23+O771*$AE$24+P771*$AE$25+Q771*$AE$26+R771*$AE$27+S771*$AE$28+T771*$AE$29+U771*$AE$30</f>
        <v/>
      </c>
      <c r="W771" s="8">
        <f>1/(1+EXP(-V771))</f>
        <v/>
      </c>
      <c r="X771" s="9">
        <f>-IF(C771=1,LN(W771),LN(1-W771))</f>
        <v/>
      </c>
      <c r="Y771" s="8">
        <f>'1 prepared data'!V764</f>
        <v/>
      </c>
      <c r="Z771" s="9">
        <f>Y771*X771</f>
        <v/>
      </c>
      <c r="AA771" s="10">
        <f>IF(W771&gt;$AE$33,1,0)</f>
        <v/>
      </c>
      <c r="AB771">
        <f>IF(AA771=C771,1,0)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$AE$12+D772*$AE$13+E772*$AE$14+F772*$AE$15+G772*$AE$16+H772*$AE$17+I772*$AE$18+J772*$AE$19+K772*$AE$20+L772*$AE$21+M772*$AE$22+N772*$AE$23+O772*$AE$24+P772*$AE$25+Q772*$AE$26+R772*$AE$27+S772*$AE$28+T772*$AE$29+U772*$AE$30</f>
        <v/>
      </c>
      <c r="W772" s="8">
        <f>1/(1+EXP(-V772))</f>
        <v/>
      </c>
      <c r="X772" s="9">
        <f>-IF(C772=1,LN(W772),LN(1-W772))</f>
        <v/>
      </c>
      <c r="Y772" s="8">
        <f>'1 prepared data'!V765</f>
        <v/>
      </c>
      <c r="Z772" s="9">
        <f>Y772*X772</f>
        <v/>
      </c>
      <c r="AA772" s="10">
        <f>IF(W772&gt;$AE$33,1,0)</f>
        <v/>
      </c>
      <c r="AB772">
        <f>IF(AA772=C772,1,0)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$AE$12+D773*$AE$13+E773*$AE$14+F773*$AE$15+G773*$AE$16+H773*$AE$17+I773*$AE$18+J773*$AE$19+K773*$AE$20+L773*$AE$21+M773*$AE$22+N773*$AE$23+O773*$AE$24+P773*$AE$25+Q773*$AE$26+R773*$AE$27+S773*$AE$28+T773*$AE$29+U773*$AE$30</f>
        <v/>
      </c>
      <c r="W773" s="8">
        <f>1/(1+EXP(-V773))</f>
        <v/>
      </c>
      <c r="X773" s="9">
        <f>-IF(C773=1,LN(W773),LN(1-W773))</f>
        <v/>
      </c>
      <c r="Y773" s="8">
        <f>'1 prepared data'!V766</f>
        <v/>
      </c>
      <c r="Z773" s="9">
        <f>Y773*X773</f>
        <v/>
      </c>
      <c r="AA773" s="10">
        <f>IF(W773&gt;$AE$33,1,0)</f>
        <v/>
      </c>
      <c r="AB773">
        <f>IF(AA773=C773,1,0)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$AE$12+D774*$AE$13+E774*$AE$14+F774*$AE$15+G774*$AE$16+H774*$AE$17+I774*$AE$18+J774*$AE$19+K774*$AE$20+L774*$AE$21+M774*$AE$22+N774*$AE$23+O774*$AE$24+P774*$AE$25+Q774*$AE$26+R774*$AE$27+S774*$AE$28+T774*$AE$29+U774*$AE$30</f>
        <v/>
      </c>
      <c r="W774" s="8">
        <f>1/(1+EXP(-V774))</f>
        <v/>
      </c>
      <c r="X774" s="9">
        <f>-IF(C774=1,LN(W774),LN(1-W774))</f>
        <v/>
      </c>
      <c r="Y774" s="8">
        <f>'1 prepared data'!V767</f>
        <v/>
      </c>
      <c r="Z774" s="9">
        <f>Y774*X774</f>
        <v/>
      </c>
      <c r="AA774" s="10">
        <f>IF(W774&gt;$AE$33,1,0)</f>
        <v/>
      </c>
      <c r="AB774">
        <f>IF(AA774=C774,1,0)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$AE$12+D775*$AE$13+E775*$AE$14+F775*$AE$15+G775*$AE$16+H775*$AE$17+I775*$AE$18+J775*$AE$19+K775*$AE$20+L775*$AE$21+M775*$AE$22+N775*$AE$23+O775*$AE$24+P775*$AE$25+Q775*$AE$26+R775*$AE$27+S775*$AE$28+T775*$AE$29+U775*$AE$30</f>
        <v/>
      </c>
      <c r="W775" s="8">
        <f>1/(1+EXP(-V775))</f>
        <v/>
      </c>
      <c r="X775" s="9">
        <f>-IF(C775=1,LN(W775),LN(1-W775))</f>
        <v/>
      </c>
      <c r="Y775" s="8">
        <f>'1 prepared data'!V768</f>
        <v/>
      </c>
      <c r="Z775" s="9">
        <f>Y775*X775</f>
        <v/>
      </c>
      <c r="AA775" s="10">
        <f>IF(W775&gt;$AE$33,1,0)</f>
        <v/>
      </c>
      <c r="AB775">
        <f>IF(AA775=C775,1,0)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$AE$12+D776*$AE$13+E776*$AE$14+F776*$AE$15+G776*$AE$16+H776*$AE$17+I776*$AE$18+J776*$AE$19+K776*$AE$20+L776*$AE$21+M776*$AE$22+N776*$AE$23+O776*$AE$24+P776*$AE$25+Q776*$AE$26+R776*$AE$27+S776*$AE$28+T776*$AE$29+U776*$AE$30</f>
        <v/>
      </c>
      <c r="W776" s="8">
        <f>1/(1+EXP(-V776))</f>
        <v/>
      </c>
      <c r="X776" s="9">
        <f>-IF(C776=1,LN(W776),LN(1-W776))</f>
        <v/>
      </c>
      <c r="Y776" s="8">
        <f>'1 prepared data'!V769</f>
        <v/>
      </c>
      <c r="Z776" s="9">
        <f>Y776*X776</f>
        <v/>
      </c>
      <c r="AA776" s="10">
        <f>IF(W776&gt;$AE$33,1,0)</f>
        <v/>
      </c>
      <c r="AB776">
        <f>IF(AA776=C776,1,0)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$AE$12+D777*$AE$13+E777*$AE$14+F777*$AE$15+G777*$AE$16+H777*$AE$17+I777*$AE$18+J777*$AE$19+K777*$AE$20+L777*$AE$21+M777*$AE$22+N777*$AE$23+O777*$AE$24+P777*$AE$25+Q777*$AE$26+R777*$AE$27+S777*$AE$28+T777*$AE$29+U777*$AE$30</f>
        <v/>
      </c>
      <c r="W777" s="8">
        <f>1/(1+EXP(-V777))</f>
        <v/>
      </c>
      <c r="X777" s="9">
        <f>-IF(C777=1,LN(W777),LN(1-W777))</f>
        <v/>
      </c>
      <c r="Y777" s="8">
        <f>'1 prepared data'!V770</f>
        <v/>
      </c>
      <c r="Z777" s="9">
        <f>Y777*X777</f>
        <v/>
      </c>
      <c r="AA777" s="10">
        <f>IF(W777&gt;$AE$33,1,0)</f>
        <v/>
      </c>
      <c r="AB777">
        <f>IF(AA777=C777,1,0)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$AE$12+D778*$AE$13+E778*$AE$14+F778*$AE$15+G778*$AE$16+H778*$AE$17+I778*$AE$18+J778*$AE$19+K778*$AE$20+L778*$AE$21+M778*$AE$22+N778*$AE$23+O778*$AE$24+P778*$AE$25+Q778*$AE$26+R778*$AE$27+S778*$AE$28+T778*$AE$29+U778*$AE$30</f>
        <v/>
      </c>
      <c r="W778" s="8">
        <f>1/(1+EXP(-V778))</f>
        <v/>
      </c>
      <c r="X778" s="9">
        <f>-IF(C778=1,LN(W778),LN(1-W778))</f>
        <v/>
      </c>
      <c r="Y778" s="8">
        <f>'1 prepared data'!V771</f>
        <v/>
      </c>
      <c r="Z778" s="9">
        <f>Y778*X778</f>
        <v/>
      </c>
      <c r="AA778" s="10">
        <f>IF(W778&gt;$AE$33,1,0)</f>
        <v/>
      </c>
      <c r="AB778">
        <f>IF(AA778=C778,1,0)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$AE$12+D779*$AE$13+E779*$AE$14+F779*$AE$15+G779*$AE$16+H779*$AE$17+I779*$AE$18+J779*$AE$19+K779*$AE$20+L779*$AE$21+M779*$AE$22+N779*$AE$23+O779*$AE$24+P779*$AE$25+Q779*$AE$26+R779*$AE$27+S779*$AE$28+T779*$AE$29+U779*$AE$30</f>
        <v/>
      </c>
      <c r="W779" s="8">
        <f>1/(1+EXP(-V779))</f>
        <v/>
      </c>
      <c r="X779" s="9">
        <f>-IF(C779=1,LN(W779),LN(1-W779))</f>
        <v/>
      </c>
      <c r="Y779" s="8">
        <f>'1 prepared data'!V772</f>
        <v/>
      </c>
      <c r="Z779" s="9">
        <f>Y779*X779</f>
        <v/>
      </c>
      <c r="AA779" s="10">
        <f>IF(W779&gt;$AE$33,1,0)</f>
        <v/>
      </c>
      <c r="AB779">
        <f>IF(AA779=C779,1,0)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$AE$12+D780*$AE$13+E780*$AE$14+F780*$AE$15+G780*$AE$16+H780*$AE$17+I780*$AE$18+J780*$AE$19+K780*$AE$20+L780*$AE$21+M780*$AE$22+N780*$AE$23+O780*$AE$24+P780*$AE$25+Q780*$AE$26+R780*$AE$27+S780*$AE$28+T780*$AE$29+U780*$AE$30</f>
        <v/>
      </c>
      <c r="W780" s="8">
        <f>1/(1+EXP(-V780))</f>
        <v/>
      </c>
      <c r="X780" s="9">
        <f>-IF(C780=1,LN(W780),LN(1-W780))</f>
        <v/>
      </c>
      <c r="Y780" s="8">
        <f>'1 prepared data'!V773</f>
        <v/>
      </c>
      <c r="Z780" s="9">
        <f>Y780*X780</f>
        <v/>
      </c>
      <c r="AA780" s="10">
        <f>IF(W780&gt;$AE$33,1,0)</f>
        <v/>
      </c>
      <c r="AB780">
        <f>IF(AA780=C780,1,0)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$AE$12+D781*$AE$13+E781*$AE$14+F781*$AE$15+G781*$AE$16+H781*$AE$17+I781*$AE$18+J781*$AE$19+K781*$AE$20+L781*$AE$21+M781*$AE$22+N781*$AE$23+O781*$AE$24+P781*$AE$25+Q781*$AE$26+R781*$AE$27+S781*$AE$28+T781*$AE$29+U781*$AE$30</f>
        <v/>
      </c>
      <c r="W781" s="8">
        <f>1/(1+EXP(-V781))</f>
        <v/>
      </c>
      <c r="X781" s="9">
        <f>-IF(C781=1,LN(W781),LN(1-W781))</f>
        <v/>
      </c>
      <c r="Y781" s="8">
        <f>'1 prepared data'!V774</f>
        <v/>
      </c>
      <c r="Z781" s="9">
        <f>Y781*X781</f>
        <v/>
      </c>
      <c r="AA781" s="10">
        <f>IF(W781&gt;$AE$33,1,0)</f>
        <v/>
      </c>
      <c r="AB781">
        <f>IF(AA781=C781,1,0)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$AE$12+D782*$AE$13+E782*$AE$14+F782*$AE$15+G782*$AE$16+H782*$AE$17+I782*$AE$18+J782*$AE$19+K782*$AE$20+L782*$AE$21+M782*$AE$22+N782*$AE$23+O782*$AE$24+P782*$AE$25+Q782*$AE$26+R782*$AE$27+S782*$AE$28+T782*$AE$29+U782*$AE$30</f>
        <v/>
      </c>
      <c r="W782" s="8">
        <f>1/(1+EXP(-V782))</f>
        <v/>
      </c>
      <c r="X782" s="9">
        <f>-IF(C782=1,LN(W782),LN(1-W782))</f>
        <v/>
      </c>
      <c r="Y782" s="8">
        <f>'1 prepared data'!V775</f>
        <v/>
      </c>
      <c r="Z782" s="9">
        <f>Y782*X782</f>
        <v/>
      </c>
      <c r="AA782" s="10">
        <f>IF(W782&gt;$AE$33,1,0)</f>
        <v/>
      </c>
      <c r="AB782">
        <f>IF(AA782=C782,1,0)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$AE$12+D783*$AE$13+E783*$AE$14+F783*$AE$15+G783*$AE$16+H783*$AE$17+I783*$AE$18+J783*$AE$19+K783*$AE$20+L783*$AE$21+M783*$AE$22+N783*$AE$23+O783*$AE$24+P783*$AE$25+Q783*$AE$26+R783*$AE$27+S783*$AE$28+T783*$AE$29+U783*$AE$30</f>
        <v/>
      </c>
      <c r="W783" s="8">
        <f>1/(1+EXP(-V783))</f>
        <v/>
      </c>
      <c r="X783" s="9">
        <f>-IF(C783=1,LN(W783),LN(1-W783))</f>
        <v/>
      </c>
      <c r="Y783" s="8">
        <f>'1 prepared data'!V776</f>
        <v/>
      </c>
      <c r="Z783" s="9">
        <f>Y783*X783</f>
        <v/>
      </c>
      <c r="AA783" s="10">
        <f>IF(W783&gt;$AE$33,1,0)</f>
        <v/>
      </c>
      <c r="AB783">
        <f>IF(AA783=C783,1,0)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$AE$12+D784*$AE$13+E784*$AE$14+F784*$AE$15+G784*$AE$16+H784*$AE$17+I784*$AE$18+J784*$AE$19+K784*$AE$20+L784*$AE$21+M784*$AE$22+N784*$AE$23+O784*$AE$24+P784*$AE$25+Q784*$AE$26+R784*$AE$27+S784*$AE$28+T784*$AE$29+U784*$AE$30</f>
        <v/>
      </c>
      <c r="W784" s="8">
        <f>1/(1+EXP(-V784))</f>
        <v/>
      </c>
      <c r="X784" s="9">
        <f>-IF(C784=1,LN(W784),LN(1-W784))</f>
        <v/>
      </c>
      <c r="Y784" s="8">
        <f>'1 prepared data'!V777</f>
        <v/>
      </c>
      <c r="Z784" s="9">
        <f>Y784*X784</f>
        <v/>
      </c>
      <c r="AA784" s="10">
        <f>IF(W784&gt;$AE$33,1,0)</f>
        <v/>
      </c>
      <c r="AB784">
        <f>IF(AA784=C784,1,0)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$AE$12+D785*$AE$13+E785*$AE$14+F785*$AE$15+G785*$AE$16+H785*$AE$17+I785*$AE$18+J785*$AE$19+K785*$AE$20+L785*$AE$21+M785*$AE$22+N785*$AE$23+O785*$AE$24+P785*$AE$25+Q785*$AE$26+R785*$AE$27+S785*$AE$28+T785*$AE$29+U785*$AE$30</f>
        <v/>
      </c>
      <c r="W785" s="8">
        <f>1/(1+EXP(-V785))</f>
        <v/>
      </c>
      <c r="X785" s="9">
        <f>-IF(C785=1,LN(W785),LN(1-W785))</f>
        <v/>
      </c>
      <c r="Y785" s="8">
        <f>'1 prepared data'!V778</f>
        <v/>
      </c>
      <c r="Z785" s="9">
        <f>Y785*X785</f>
        <v/>
      </c>
      <c r="AA785" s="10">
        <f>IF(W785&gt;$AE$33,1,0)</f>
        <v/>
      </c>
      <c r="AB785">
        <f>IF(AA785=C785,1,0)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$AE$12+D786*$AE$13+E786*$AE$14+F786*$AE$15+G786*$AE$16+H786*$AE$17+I786*$AE$18+J786*$AE$19+K786*$AE$20+L786*$AE$21+M786*$AE$22+N786*$AE$23+O786*$AE$24+P786*$AE$25+Q786*$AE$26+R786*$AE$27+S786*$AE$28+T786*$AE$29+U786*$AE$30</f>
        <v/>
      </c>
      <c r="W786" s="8">
        <f>1/(1+EXP(-V786))</f>
        <v/>
      </c>
      <c r="X786" s="9">
        <f>-IF(C786=1,LN(W786),LN(1-W786))</f>
        <v/>
      </c>
      <c r="Y786" s="8">
        <f>'1 prepared data'!V779</f>
        <v/>
      </c>
      <c r="Z786" s="9">
        <f>Y786*X786</f>
        <v/>
      </c>
      <c r="AA786" s="10">
        <f>IF(W786&gt;$AE$33,1,0)</f>
        <v/>
      </c>
      <c r="AB786">
        <f>IF(AA786=C786,1,0)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$AE$12+D787*$AE$13+E787*$AE$14+F787*$AE$15+G787*$AE$16+H787*$AE$17+I787*$AE$18+J787*$AE$19+K787*$AE$20+L787*$AE$21+M787*$AE$22+N787*$AE$23+O787*$AE$24+P787*$AE$25+Q787*$AE$26+R787*$AE$27+S787*$AE$28+T787*$AE$29+U787*$AE$30</f>
        <v/>
      </c>
      <c r="W787" s="8">
        <f>1/(1+EXP(-V787))</f>
        <v/>
      </c>
      <c r="X787" s="9">
        <f>-IF(C787=1,LN(W787),LN(1-W787))</f>
        <v/>
      </c>
      <c r="Y787" s="8">
        <f>'1 prepared data'!V780</f>
        <v/>
      </c>
      <c r="Z787" s="9">
        <f>Y787*X787</f>
        <v/>
      </c>
      <c r="AA787" s="10">
        <f>IF(W787&gt;$AE$33,1,0)</f>
        <v/>
      </c>
      <c r="AB787">
        <f>IF(AA787=C787,1,0)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$AE$12+D788*$AE$13+E788*$AE$14+F788*$AE$15+G788*$AE$16+H788*$AE$17+I788*$AE$18+J788*$AE$19+K788*$AE$20+L788*$AE$21+M788*$AE$22+N788*$AE$23+O788*$AE$24+P788*$AE$25+Q788*$AE$26+R788*$AE$27+S788*$AE$28+T788*$AE$29+U788*$AE$30</f>
        <v/>
      </c>
      <c r="W788" s="8">
        <f>1/(1+EXP(-V788))</f>
        <v/>
      </c>
      <c r="X788" s="9">
        <f>-IF(C788=1,LN(W788),LN(1-W788))</f>
        <v/>
      </c>
      <c r="Y788" s="8">
        <f>'1 prepared data'!V781</f>
        <v/>
      </c>
      <c r="Z788" s="9">
        <f>Y788*X788</f>
        <v/>
      </c>
      <c r="AA788" s="10">
        <f>IF(W788&gt;$AE$33,1,0)</f>
        <v/>
      </c>
      <c r="AB788">
        <f>IF(AA788=C788,1,0)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$AE$12+D789*$AE$13+E789*$AE$14+F789*$AE$15+G789*$AE$16+H789*$AE$17+I789*$AE$18+J789*$AE$19+K789*$AE$20+L789*$AE$21+M789*$AE$22+N789*$AE$23+O789*$AE$24+P789*$AE$25+Q789*$AE$26+R789*$AE$27+S789*$AE$28+T789*$AE$29+U789*$AE$30</f>
        <v/>
      </c>
      <c r="W789" s="8">
        <f>1/(1+EXP(-V789))</f>
        <v/>
      </c>
      <c r="X789" s="9">
        <f>-IF(C789=1,LN(W789),LN(1-W789))</f>
        <v/>
      </c>
      <c r="Y789" s="8">
        <f>'1 prepared data'!V782</f>
        <v/>
      </c>
      <c r="Z789" s="9">
        <f>Y789*X789</f>
        <v/>
      </c>
      <c r="AA789" s="10">
        <f>IF(W789&gt;$AE$33,1,0)</f>
        <v/>
      </c>
      <c r="AB789">
        <f>IF(AA789=C789,1,0)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$AE$12+D790*$AE$13+E790*$AE$14+F790*$AE$15+G790*$AE$16+H790*$AE$17+I790*$AE$18+J790*$AE$19+K790*$AE$20+L790*$AE$21+M790*$AE$22+N790*$AE$23+O790*$AE$24+P790*$AE$25+Q790*$AE$26+R790*$AE$27+S790*$AE$28+T790*$AE$29+U790*$AE$30</f>
        <v/>
      </c>
      <c r="W790" s="8">
        <f>1/(1+EXP(-V790))</f>
        <v/>
      </c>
      <c r="X790" s="9">
        <f>-IF(C790=1,LN(W790),LN(1-W790))</f>
        <v/>
      </c>
      <c r="Y790" s="8">
        <f>'1 prepared data'!V783</f>
        <v/>
      </c>
      <c r="Z790" s="9">
        <f>Y790*X790</f>
        <v/>
      </c>
      <c r="AA790" s="10">
        <f>IF(W790&gt;$AE$33,1,0)</f>
        <v/>
      </c>
      <c r="AB790">
        <f>IF(AA790=C790,1,0)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$AE$12+D791*$AE$13+E791*$AE$14+F791*$AE$15+G791*$AE$16+H791*$AE$17+I791*$AE$18+J791*$AE$19+K791*$AE$20+L791*$AE$21+M791*$AE$22+N791*$AE$23+O791*$AE$24+P791*$AE$25+Q791*$AE$26+R791*$AE$27+S791*$AE$28+T791*$AE$29+U791*$AE$30</f>
        <v/>
      </c>
      <c r="W791" s="8">
        <f>1/(1+EXP(-V791))</f>
        <v/>
      </c>
      <c r="X791" s="9">
        <f>-IF(C791=1,LN(W791),LN(1-W791))</f>
        <v/>
      </c>
      <c r="Y791" s="8">
        <f>'1 prepared data'!V784</f>
        <v/>
      </c>
      <c r="Z791" s="9">
        <f>Y791*X791</f>
        <v/>
      </c>
      <c r="AA791" s="10">
        <f>IF(W791&gt;$AE$33,1,0)</f>
        <v/>
      </c>
      <c r="AB791">
        <f>IF(AA791=C791,1,0)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$AE$12+D792*$AE$13+E792*$AE$14+F792*$AE$15+G792*$AE$16+H792*$AE$17+I792*$AE$18+J792*$AE$19+K792*$AE$20+L792*$AE$21+M792*$AE$22+N792*$AE$23+O792*$AE$24+P792*$AE$25+Q792*$AE$26+R792*$AE$27+S792*$AE$28+T792*$AE$29+U792*$AE$30</f>
        <v/>
      </c>
      <c r="W792" s="8">
        <f>1/(1+EXP(-V792))</f>
        <v/>
      </c>
      <c r="X792" s="9">
        <f>-IF(C792=1,LN(W792),LN(1-W792))</f>
        <v/>
      </c>
      <c r="Y792" s="8">
        <f>'1 prepared data'!V785</f>
        <v/>
      </c>
      <c r="Z792" s="9">
        <f>Y792*X792</f>
        <v/>
      </c>
      <c r="AA792" s="10">
        <f>IF(W792&gt;$AE$33,1,0)</f>
        <v/>
      </c>
      <c r="AB792">
        <f>IF(AA792=C792,1,0)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$AE$12+D793*$AE$13+E793*$AE$14+F793*$AE$15+G793*$AE$16+H793*$AE$17+I793*$AE$18+J793*$AE$19+K793*$AE$20+L793*$AE$21+M793*$AE$22+N793*$AE$23+O793*$AE$24+P793*$AE$25+Q793*$AE$26+R793*$AE$27+S793*$AE$28+T793*$AE$29+U793*$AE$30</f>
        <v/>
      </c>
      <c r="W793" s="8">
        <f>1/(1+EXP(-V793))</f>
        <v/>
      </c>
      <c r="X793" s="9">
        <f>-IF(C793=1,LN(W793),LN(1-W793))</f>
        <v/>
      </c>
      <c r="Y793" s="8">
        <f>'1 prepared data'!V786</f>
        <v/>
      </c>
      <c r="Z793" s="9">
        <f>Y793*X793</f>
        <v/>
      </c>
      <c r="AA793" s="10">
        <f>IF(W793&gt;$AE$33,1,0)</f>
        <v/>
      </c>
      <c r="AB793">
        <f>IF(AA793=C793,1,0)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$AE$12+D794*$AE$13+E794*$AE$14+F794*$AE$15+G794*$AE$16+H794*$AE$17+I794*$AE$18+J794*$AE$19+K794*$AE$20+L794*$AE$21+M794*$AE$22+N794*$AE$23+O794*$AE$24+P794*$AE$25+Q794*$AE$26+R794*$AE$27+S794*$AE$28+T794*$AE$29+U794*$AE$30</f>
        <v/>
      </c>
      <c r="W794" s="8">
        <f>1/(1+EXP(-V794))</f>
        <v/>
      </c>
      <c r="X794" s="9">
        <f>-IF(C794=1,LN(W794),LN(1-W794))</f>
        <v/>
      </c>
      <c r="Y794" s="8">
        <f>'1 prepared data'!V787</f>
        <v/>
      </c>
      <c r="Z794" s="9">
        <f>Y794*X794</f>
        <v/>
      </c>
      <c r="AA794" s="10">
        <f>IF(W794&gt;$AE$33,1,0)</f>
        <v/>
      </c>
      <c r="AB794">
        <f>IF(AA794=C794,1,0)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$AE$12+D795*$AE$13+E795*$AE$14+F795*$AE$15+G795*$AE$16+H795*$AE$17+I795*$AE$18+J795*$AE$19+K795*$AE$20+L795*$AE$21+M795*$AE$22+N795*$AE$23+O795*$AE$24+P795*$AE$25+Q795*$AE$26+R795*$AE$27+S795*$AE$28+T795*$AE$29+U795*$AE$30</f>
        <v/>
      </c>
      <c r="W795" s="8">
        <f>1/(1+EXP(-V795))</f>
        <v/>
      </c>
      <c r="X795" s="9">
        <f>-IF(C795=1,LN(W795),LN(1-W795))</f>
        <v/>
      </c>
      <c r="Y795" s="8">
        <f>'1 prepared data'!V788</f>
        <v/>
      </c>
      <c r="Z795" s="9">
        <f>Y795*X795</f>
        <v/>
      </c>
      <c r="AA795" s="10">
        <f>IF(W795&gt;$AE$33,1,0)</f>
        <v/>
      </c>
      <c r="AB795">
        <f>IF(AA795=C795,1,0)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$AE$12+D796*$AE$13+E796*$AE$14+F796*$AE$15+G796*$AE$16+H796*$AE$17+I796*$AE$18+J796*$AE$19+K796*$AE$20+L796*$AE$21+M796*$AE$22+N796*$AE$23+O796*$AE$24+P796*$AE$25+Q796*$AE$26+R796*$AE$27+S796*$AE$28+T796*$AE$29+U796*$AE$30</f>
        <v/>
      </c>
      <c r="W796" s="8">
        <f>1/(1+EXP(-V796))</f>
        <v/>
      </c>
      <c r="X796" s="9">
        <f>-IF(C796=1,LN(W796),LN(1-W796))</f>
        <v/>
      </c>
      <c r="Y796" s="8">
        <f>'1 prepared data'!V789</f>
        <v/>
      </c>
      <c r="Z796" s="9">
        <f>Y796*X796</f>
        <v/>
      </c>
      <c r="AA796" s="10">
        <f>IF(W796&gt;$AE$33,1,0)</f>
        <v/>
      </c>
      <c r="AB796">
        <f>IF(AA796=C796,1,0)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$AE$12+D797*$AE$13+E797*$AE$14+F797*$AE$15+G797*$AE$16+H797*$AE$17+I797*$AE$18+J797*$AE$19+K797*$AE$20+L797*$AE$21+M797*$AE$22+N797*$AE$23+O797*$AE$24+P797*$AE$25+Q797*$AE$26+R797*$AE$27+S797*$AE$28+T797*$AE$29+U797*$AE$30</f>
        <v/>
      </c>
      <c r="W797" s="8">
        <f>1/(1+EXP(-V797))</f>
        <v/>
      </c>
      <c r="X797" s="9">
        <f>-IF(C797=1,LN(W797),LN(1-W797))</f>
        <v/>
      </c>
      <c r="Y797" s="8">
        <f>'1 prepared data'!V790</f>
        <v/>
      </c>
      <c r="Z797" s="9">
        <f>Y797*X797</f>
        <v/>
      </c>
      <c r="AA797" s="10">
        <f>IF(W797&gt;$AE$33,1,0)</f>
        <v/>
      </c>
      <c r="AB797">
        <f>IF(AA797=C797,1,0)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$AE$12+D798*$AE$13+E798*$AE$14+F798*$AE$15+G798*$AE$16+H798*$AE$17+I798*$AE$18+J798*$AE$19+K798*$AE$20+L798*$AE$21+M798*$AE$22+N798*$AE$23+O798*$AE$24+P798*$AE$25+Q798*$AE$26+R798*$AE$27+S798*$AE$28+T798*$AE$29+U798*$AE$30</f>
        <v/>
      </c>
      <c r="W798" s="8">
        <f>1/(1+EXP(-V798))</f>
        <v/>
      </c>
      <c r="X798" s="9">
        <f>-IF(C798=1,LN(W798),LN(1-W798))</f>
        <v/>
      </c>
      <c r="Y798" s="8">
        <f>'1 prepared data'!V791</f>
        <v/>
      </c>
      <c r="Z798" s="9">
        <f>Y798*X798</f>
        <v/>
      </c>
      <c r="AA798" s="10">
        <f>IF(W798&gt;$AE$33,1,0)</f>
        <v/>
      </c>
      <c r="AB798">
        <f>IF(AA798=C798,1,0)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$AE$12+D799*$AE$13+E799*$AE$14+F799*$AE$15+G799*$AE$16+H799*$AE$17+I799*$AE$18+J799*$AE$19+K799*$AE$20+L799*$AE$21+M799*$AE$22+N799*$AE$23+O799*$AE$24+P799*$AE$25+Q799*$AE$26+R799*$AE$27+S799*$AE$28+T799*$AE$29+U799*$AE$30</f>
        <v/>
      </c>
      <c r="W799" s="8">
        <f>1/(1+EXP(-V799))</f>
        <v/>
      </c>
      <c r="X799" s="9">
        <f>-IF(C799=1,LN(W799),LN(1-W799))</f>
        <v/>
      </c>
      <c r="Y799" s="8">
        <f>'1 prepared data'!V792</f>
        <v/>
      </c>
      <c r="Z799" s="9">
        <f>Y799*X799</f>
        <v/>
      </c>
      <c r="AA799" s="10">
        <f>IF(W799&gt;$AE$33,1,0)</f>
        <v/>
      </c>
      <c r="AB799">
        <f>IF(AA799=C799,1,0)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$AE$12+D800*$AE$13+E800*$AE$14+F800*$AE$15+G800*$AE$16+H800*$AE$17+I800*$AE$18+J800*$AE$19+K800*$AE$20+L800*$AE$21+M800*$AE$22+N800*$AE$23+O800*$AE$24+P800*$AE$25+Q800*$AE$26+R800*$AE$27+S800*$AE$28+T800*$AE$29+U800*$AE$30</f>
        <v/>
      </c>
      <c r="W800" s="8">
        <f>1/(1+EXP(-V800))</f>
        <v/>
      </c>
      <c r="X800" s="9">
        <f>-IF(C800=1,LN(W800),LN(1-W800))</f>
        <v/>
      </c>
      <c r="Y800" s="8">
        <f>'1 prepared data'!V793</f>
        <v/>
      </c>
      <c r="Z800" s="9">
        <f>Y800*X800</f>
        <v/>
      </c>
      <c r="AA800" s="10">
        <f>IF(W800&gt;$AE$33,1,0)</f>
        <v/>
      </c>
      <c r="AB800">
        <f>IF(AA800=C800,1,0)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$AE$12+D801*$AE$13+E801*$AE$14+F801*$AE$15+G801*$AE$16+H801*$AE$17+I801*$AE$18+J801*$AE$19+K801*$AE$20+L801*$AE$21+M801*$AE$22+N801*$AE$23+O801*$AE$24+P801*$AE$25+Q801*$AE$26+R801*$AE$27+S801*$AE$28+T801*$AE$29+U801*$AE$30</f>
        <v/>
      </c>
      <c r="W801" s="8">
        <f>1/(1+EXP(-V801))</f>
        <v/>
      </c>
      <c r="X801" s="9">
        <f>-IF(C801=1,LN(W801),LN(1-W801))</f>
        <v/>
      </c>
      <c r="Y801" s="8">
        <f>'1 prepared data'!V794</f>
        <v/>
      </c>
      <c r="Z801" s="9">
        <f>Y801*X801</f>
        <v/>
      </c>
      <c r="AA801" s="10">
        <f>IF(W801&gt;$AE$33,1,0)</f>
        <v/>
      </c>
      <c r="AB801">
        <f>IF(AA801=C801,1,0)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$AE$12+D802*$AE$13+E802*$AE$14+F802*$AE$15+G802*$AE$16+H802*$AE$17+I802*$AE$18+J802*$AE$19+K802*$AE$20+L802*$AE$21+M802*$AE$22+N802*$AE$23+O802*$AE$24+P802*$AE$25+Q802*$AE$26+R802*$AE$27+S802*$AE$28+T802*$AE$29+U802*$AE$30</f>
        <v/>
      </c>
      <c r="W802" s="8">
        <f>1/(1+EXP(-V802))</f>
        <v/>
      </c>
      <c r="X802" s="9">
        <f>-IF(C802=1,LN(W802),LN(1-W802))</f>
        <v/>
      </c>
      <c r="Y802" s="8">
        <f>'1 prepared data'!V795</f>
        <v/>
      </c>
      <c r="Z802" s="9">
        <f>Y802*X802</f>
        <v/>
      </c>
      <c r="AA802" s="10">
        <f>IF(W802&gt;$AE$33,1,0)</f>
        <v/>
      </c>
      <c r="AB802">
        <f>IF(AA802=C802,1,0)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$AE$12+D803*$AE$13+E803*$AE$14+F803*$AE$15+G803*$AE$16+H803*$AE$17+I803*$AE$18+J803*$AE$19+K803*$AE$20+L803*$AE$21+M803*$AE$22+N803*$AE$23+O803*$AE$24+P803*$AE$25+Q803*$AE$26+R803*$AE$27+S803*$AE$28+T803*$AE$29+U803*$AE$30</f>
        <v/>
      </c>
      <c r="W803" s="8">
        <f>1/(1+EXP(-V803))</f>
        <v/>
      </c>
      <c r="X803" s="9">
        <f>-IF(C803=1,LN(W803),LN(1-W803))</f>
        <v/>
      </c>
      <c r="Y803" s="8">
        <f>'1 prepared data'!V796</f>
        <v/>
      </c>
      <c r="Z803" s="9">
        <f>Y803*X803</f>
        <v/>
      </c>
      <c r="AA803" s="10">
        <f>IF(W803&gt;$AE$33,1,0)</f>
        <v/>
      </c>
      <c r="AB803">
        <f>IF(AA803=C803,1,0)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$AE$12+D804*$AE$13+E804*$AE$14+F804*$AE$15+G804*$AE$16+H804*$AE$17+I804*$AE$18+J804*$AE$19+K804*$AE$20+L804*$AE$21+M804*$AE$22+N804*$AE$23+O804*$AE$24+P804*$AE$25+Q804*$AE$26+R804*$AE$27+S804*$AE$28+T804*$AE$29+U804*$AE$30</f>
        <v/>
      </c>
      <c r="W804" s="8">
        <f>1/(1+EXP(-V804))</f>
        <v/>
      </c>
      <c r="X804" s="9">
        <f>-IF(C804=1,LN(W804),LN(1-W804))</f>
        <v/>
      </c>
      <c r="Y804" s="8">
        <f>'1 prepared data'!V797</f>
        <v/>
      </c>
      <c r="Z804" s="9">
        <f>Y804*X804</f>
        <v/>
      </c>
      <c r="AA804" s="10">
        <f>IF(W804&gt;$AE$33,1,0)</f>
        <v/>
      </c>
      <c r="AB804">
        <f>IF(AA804=C804,1,0)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$AE$12+D805*$AE$13+E805*$AE$14+F805*$AE$15+G805*$AE$16+H805*$AE$17+I805*$AE$18+J805*$AE$19+K805*$AE$20+L805*$AE$21+M805*$AE$22+N805*$AE$23+O805*$AE$24+P805*$AE$25+Q805*$AE$26+R805*$AE$27+S805*$AE$28+T805*$AE$29+U805*$AE$30</f>
        <v/>
      </c>
      <c r="W805" s="8">
        <f>1/(1+EXP(-V805))</f>
        <v/>
      </c>
      <c r="X805" s="9">
        <f>-IF(C805=1,LN(W805),LN(1-W805))</f>
        <v/>
      </c>
      <c r="Y805" s="8">
        <f>'1 prepared data'!V798</f>
        <v/>
      </c>
      <c r="Z805" s="9">
        <f>Y805*X805</f>
        <v/>
      </c>
      <c r="AA805" s="10">
        <f>IF(W805&gt;$AE$33,1,0)</f>
        <v/>
      </c>
      <c r="AB805">
        <f>IF(AA805=C805,1,0)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$AE$12+D806*$AE$13+E806*$AE$14+F806*$AE$15+G806*$AE$16+H806*$AE$17+I806*$AE$18+J806*$AE$19+K806*$AE$20+L806*$AE$21+M806*$AE$22+N806*$AE$23+O806*$AE$24+P806*$AE$25+Q806*$AE$26+R806*$AE$27+S806*$AE$28+T806*$AE$29+U806*$AE$30</f>
        <v/>
      </c>
      <c r="W806" s="8">
        <f>1/(1+EXP(-V806))</f>
        <v/>
      </c>
      <c r="X806" s="9">
        <f>-IF(C806=1,LN(W806),LN(1-W806))</f>
        <v/>
      </c>
      <c r="Y806" s="8">
        <f>'1 prepared data'!V799</f>
        <v/>
      </c>
      <c r="Z806" s="9">
        <f>Y806*X806</f>
        <v/>
      </c>
      <c r="AA806" s="10">
        <f>IF(W806&gt;$AE$33,1,0)</f>
        <v/>
      </c>
      <c r="AB806">
        <f>IF(AA806=C806,1,0)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$AE$12+D807*$AE$13+E807*$AE$14+F807*$AE$15+G807*$AE$16+H807*$AE$17+I807*$AE$18+J807*$AE$19+K807*$AE$20+L807*$AE$21+M807*$AE$22+N807*$AE$23+O807*$AE$24+P807*$AE$25+Q807*$AE$26+R807*$AE$27+S807*$AE$28+T807*$AE$29+U807*$AE$30</f>
        <v/>
      </c>
      <c r="W807" s="8">
        <f>1/(1+EXP(-V807))</f>
        <v/>
      </c>
      <c r="X807" s="9">
        <f>-IF(C807=1,LN(W807),LN(1-W807))</f>
        <v/>
      </c>
      <c r="Y807" s="8">
        <f>'1 prepared data'!V800</f>
        <v/>
      </c>
      <c r="Z807" s="9">
        <f>Y807*X807</f>
        <v/>
      </c>
      <c r="AA807" s="10">
        <f>IF(W807&gt;$AE$33,1,0)</f>
        <v/>
      </c>
      <c r="AB807">
        <f>IF(AA807=C807,1,0)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$AE$12+D808*$AE$13+E808*$AE$14+F808*$AE$15+G808*$AE$16+H808*$AE$17+I808*$AE$18+J808*$AE$19+K808*$AE$20+L808*$AE$21+M808*$AE$22+N808*$AE$23+O808*$AE$24+P808*$AE$25+Q808*$AE$26+R808*$AE$27+S808*$AE$28+T808*$AE$29+U808*$AE$30</f>
        <v/>
      </c>
      <c r="W808" s="8">
        <f>1/(1+EXP(-V808))</f>
        <v/>
      </c>
      <c r="X808" s="9">
        <f>-IF(C808=1,LN(W808),LN(1-W808))</f>
        <v/>
      </c>
      <c r="Y808" s="8">
        <f>'1 prepared data'!V801</f>
        <v/>
      </c>
      <c r="Z808" s="9">
        <f>Y808*X808</f>
        <v/>
      </c>
      <c r="AA808" s="10">
        <f>IF(W808&gt;$AE$33,1,0)</f>
        <v/>
      </c>
      <c r="AB808">
        <f>IF(AA808=C808,1,0)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$AE$12+D809*$AE$13+E809*$AE$14+F809*$AE$15+G809*$AE$16+H809*$AE$17+I809*$AE$18+J809*$AE$19+K809*$AE$20+L809*$AE$21+M809*$AE$22+N809*$AE$23+O809*$AE$24+P809*$AE$25+Q809*$AE$26+R809*$AE$27+S809*$AE$28+T809*$AE$29+U809*$AE$30</f>
        <v/>
      </c>
      <c r="W809" s="8">
        <f>1/(1+EXP(-V809))</f>
        <v/>
      </c>
      <c r="X809" s="9">
        <f>-IF(C809=1,LN(W809),LN(1-W809))</f>
        <v/>
      </c>
      <c r="Y809" s="8">
        <f>'1 prepared data'!V802</f>
        <v/>
      </c>
      <c r="Z809" s="9">
        <f>Y809*X809</f>
        <v/>
      </c>
      <c r="AA809" s="10">
        <f>IF(W809&gt;$AE$33,1,0)</f>
        <v/>
      </c>
      <c r="AB809">
        <f>IF(AA809=C809,1,0)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$AE$12+D810*$AE$13+E810*$AE$14+F810*$AE$15+G810*$AE$16+H810*$AE$17+I810*$AE$18+J810*$AE$19+K810*$AE$20+L810*$AE$21+M810*$AE$22+N810*$AE$23+O810*$AE$24+P810*$AE$25+Q810*$AE$26+R810*$AE$27+S810*$AE$28+T810*$AE$29+U810*$AE$30</f>
        <v/>
      </c>
      <c r="W810" s="8">
        <f>1/(1+EXP(-V810))</f>
        <v/>
      </c>
      <c r="X810" s="9">
        <f>-IF(C810=1,LN(W810),LN(1-W810))</f>
        <v/>
      </c>
      <c r="Y810" s="8">
        <f>'1 prepared data'!V803</f>
        <v/>
      </c>
      <c r="Z810" s="9">
        <f>Y810*X810</f>
        <v/>
      </c>
      <c r="AA810" s="10">
        <f>IF(W810&gt;$AE$33,1,0)</f>
        <v/>
      </c>
      <c r="AB810">
        <f>IF(AA810=C810,1,0)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$AE$12+D811*$AE$13+E811*$AE$14+F811*$AE$15+G811*$AE$16+H811*$AE$17+I811*$AE$18+J811*$AE$19+K811*$AE$20+L811*$AE$21+M811*$AE$22+N811*$AE$23+O811*$AE$24+P811*$AE$25+Q811*$AE$26+R811*$AE$27+S811*$AE$28+T811*$AE$29+U811*$AE$30</f>
        <v/>
      </c>
      <c r="W811" s="8">
        <f>1/(1+EXP(-V811))</f>
        <v/>
      </c>
      <c r="X811" s="9">
        <f>-IF(C811=1,LN(W811),LN(1-W811))</f>
        <v/>
      </c>
      <c r="Y811" s="8">
        <f>'1 prepared data'!V804</f>
        <v/>
      </c>
      <c r="Z811" s="9">
        <f>Y811*X811</f>
        <v/>
      </c>
      <c r="AA811" s="10">
        <f>IF(W811&gt;$AE$33,1,0)</f>
        <v/>
      </c>
      <c r="AB811">
        <f>IF(AA811=C811,1,0)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$AE$12+D812*$AE$13+E812*$AE$14+F812*$AE$15+G812*$AE$16+H812*$AE$17+I812*$AE$18+J812*$AE$19+K812*$AE$20+L812*$AE$21+M812*$AE$22+N812*$AE$23+O812*$AE$24+P812*$AE$25+Q812*$AE$26+R812*$AE$27+S812*$AE$28+T812*$AE$29+U812*$AE$30</f>
        <v/>
      </c>
      <c r="W812" s="8">
        <f>1/(1+EXP(-V812))</f>
        <v/>
      </c>
      <c r="X812" s="9">
        <f>-IF(C812=1,LN(W812),LN(1-W812))</f>
        <v/>
      </c>
      <c r="Y812" s="8">
        <f>'1 prepared data'!V805</f>
        <v/>
      </c>
      <c r="Z812" s="9">
        <f>Y812*X812</f>
        <v/>
      </c>
      <c r="AA812" s="10">
        <f>IF(W812&gt;$AE$33,1,0)</f>
        <v/>
      </c>
      <c r="AB812">
        <f>IF(AA812=C812,1,0)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$AE$12+D813*$AE$13+E813*$AE$14+F813*$AE$15+G813*$AE$16+H813*$AE$17+I813*$AE$18+J813*$AE$19+K813*$AE$20+L813*$AE$21+M813*$AE$22+N813*$AE$23+O813*$AE$24+P813*$AE$25+Q813*$AE$26+R813*$AE$27+S813*$AE$28+T813*$AE$29+U813*$AE$30</f>
        <v/>
      </c>
      <c r="W813" s="8">
        <f>1/(1+EXP(-V813))</f>
        <v/>
      </c>
      <c r="X813" s="9">
        <f>-IF(C813=1,LN(W813),LN(1-W813))</f>
        <v/>
      </c>
      <c r="Y813" s="8">
        <f>'1 prepared data'!V806</f>
        <v/>
      </c>
      <c r="Z813" s="9">
        <f>Y813*X813</f>
        <v/>
      </c>
      <c r="AA813" s="10">
        <f>IF(W813&gt;$AE$33,1,0)</f>
        <v/>
      </c>
      <c r="AB813">
        <f>IF(AA813=C813,1,0)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$AE$12+D814*$AE$13+E814*$AE$14+F814*$AE$15+G814*$AE$16+H814*$AE$17+I814*$AE$18+J814*$AE$19+K814*$AE$20+L814*$AE$21+M814*$AE$22+N814*$AE$23+O814*$AE$24+P814*$AE$25+Q814*$AE$26+R814*$AE$27+S814*$AE$28+T814*$AE$29+U814*$AE$30</f>
        <v/>
      </c>
      <c r="W814" s="8">
        <f>1/(1+EXP(-V814))</f>
        <v/>
      </c>
      <c r="X814" s="9">
        <f>-IF(C814=1,LN(W814),LN(1-W814))</f>
        <v/>
      </c>
      <c r="Y814" s="8">
        <f>'1 prepared data'!V807</f>
        <v/>
      </c>
      <c r="Z814" s="9">
        <f>Y814*X814</f>
        <v/>
      </c>
      <c r="AA814" s="10">
        <f>IF(W814&gt;$AE$33,1,0)</f>
        <v/>
      </c>
      <c r="AB814">
        <f>IF(AA814=C814,1,0)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$AE$12+D815*$AE$13+E815*$AE$14+F815*$AE$15+G815*$AE$16+H815*$AE$17+I815*$AE$18+J815*$AE$19+K815*$AE$20+L815*$AE$21+M815*$AE$22+N815*$AE$23+O815*$AE$24+P815*$AE$25+Q815*$AE$26+R815*$AE$27+S815*$AE$28+T815*$AE$29+U815*$AE$30</f>
        <v/>
      </c>
      <c r="W815" s="8">
        <f>1/(1+EXP(-V815))</f>
        <v/>
      </c>
      <c r="X815" s="9">
        <f>-IF(C815=1,LN(W815),LN(1-W815))</f>
        <v/>
      </c>
      <c r="Y815" s="8">
        <f>'1 prepared data'!V808</f>
        <v/>
      </c>
      <c r="Z815" s="9">
        <f>Y815*X815</f>
        <v/>
      </c>
      <c r="AA815" s="10">
        <f>IF(W815&gt;$AE$33,1,0)</f>
        <v/>
      </c>
      <c r="AB815">
        <f>IF(AA815=C815,1,0)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$AE$12+D816*$AE$13+E816*$AE$14+F816*$AE$15+G816*$AE$16+H816*$AE$17+I816*$AE$18+J816*$AE$19+K816*$AE$20+L816*$AE$21+M816*$AE$22+N816*$AE$23+O816*$AE$24+P816*$AE$25+Q816*$AE$26+R816*$AE$27+S816*$AE$28+T816*$AE$29+U816*$AE$30</f>
        <v/>
      </c>
      <c r="W816" s="8">
        <f>1/(1+EXP(-V816))</f>
        <v/>
      </c>
      <c r="X816" s="9">
        <f>-IF(C816=1,LN(W816),LN(1-W816))</f>
        <v/>
      </c>
      <c r="Y816" s="8">
        <f>'1 prepared data'!V809</f>
        <v/>
      </c>
      <c r="Z816" s="9">
        <f>Y816*X816</f>
        <v/>
      </c>
      <c r="AA816" s="10">
        <f>IF(W816&gt;$AE$33,1,0)</f>
        <v/>
      </c>
      <c r="AB816">
        <f>IF(AA816=C816,1,0)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$AE$12+D817*$AE$13+E817*$AE$14+F817*$AE$15+G817*$AE$16+H817*$AE$17+I817*$AE$18+J817*$AE$19+K817*$AE$20+L817*$AE$21+M817*$AE$22+N817*$AE$23+O817*$AE$24+P817*$AE$25+Q817*$AE$26+R817*$AE$27+S817*$AE$28+T817*$AE$29+U817*$AE$30</f>
        <v/>
      </c>
      <c r="W817" s="8">
        <f>1/(1+EXP(-V817))</f>
        <v/>
      </c>
      <c r="X817" s="9">
        <f>-IF(C817=1,LN(W817),LN(1-W817))</f>
        <v/>
      </c>
      <c r="Y817" s="8">
        <f>'1 prepared data'!V810</f>
        <v/>
      </c>
      <c r="Z817" s="9">
        <f>Y817*X817</f>
        <v/>
      </c>
      <c r="AA817" s="10">
        <f>IF(W817&gt;$AE$33,1,0)</f>
        <v/>
      </c>
      <c r="AB817">
        <f>IF(AA817=C817,1,0)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$AE$12+D818*$AE$13+E818*$AE$14+F818*$AE$15+G818*$AE$16+H818*$AE$17+I818*$AE$18+J818*$AE$19+K818*$AE$20+L818*$AE$21+M818*$AE$22+N818*$AE$23+O818*$AE$24+P818*$AE$25+Q818*$AE$26+R818*$AE$27+S818*$AE$28+T818*$AE$29+U818*$AE$30</f>
        <v/>
      </c>
      <c r="W818" s="8">
        <f>1/(1+EXP(-V818))</f>
        <v/>
      </c>
      <c r="X818" s="9">
        <f>-IF(C818=1,LN(W818),LN(1-W818))</f>
        <v/>
      </c>
      <c r="Y818" s="8">
        <f>'1 prepared data'!V811</f>
        <v/>
      </c>
      <c r="Z818" s="9">
        <f>Y818*X818</f>
        <v/>
      </c>
      <c r="AA818" s="10">
        <f>IF(W818&gt;$AE$33,1,0)</f>
        <v/>
      </c>
      <c r="AB818">
        <f>IF(AA818=C818,1,0)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$AE$12+D819*$AE$13+E819*$AE$14+F819*$AE$15+G819*$AE$16+H819*$AE$17+I819*$AE$18+J819*$AE$19+K819*$AE$20+L819*$AE$21+M819*$AE$22+N819*$AE$23+O819*$AE$24+P819*$AE$25+Q819*$AE$26+R819*$AE$27+S819*$AE$28+T819*$AE$29+U819*$AE$30</f>
        <v/>
      </c>
      <c r="W819" s="8">
        <f>1/(1+EXP(-V819))</f>
        <v/>
      </c>
      <c r="X819" s="9">
        <f>-IF(C819=1,LN(W819),LN(1-W819))</f>
        <v/>
      </c>
      <c r="Y819" s="8">
        <f>'1 prepared data'!V812</f>
        <v/>
      </c>
      <c r="Z819" s="9">
        <f>Y819*X819</f>
        <v/>
      </c>
      <c r="AA819" s="10">
        <f>IF(W819&gt;$AE$33,1,0)</f>
        <v/>
      </c>
      <c r="AB819">
        <f>IF(AA819=C819,1,0)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$AE$12+D820*$AE$13+E820*$AE$14+F820*$AE$15+G820*$AE$16+H820*$AE$17+I820*$AE$18+J820*$AE$19+K820*$AE$20+L820*$AE$21+M820*$AE$22+N820*$AE$23+O820*$AE$24+P820*$AE$25+Q820*$AE$26+R820*$AE$27+S820*$AE$28+T820*$AE$29+U820*$AE$30</f>
        <v/>
      </c>
      <c r="W820" s="8">
        <f>1/(1+EXP(-V820))</f>
        <v/>
      </c>
      <c r="X820" s="9">
        <f>-IF(C820=1,LN(W820),LN(1-W820))</f>
        <v/>
      </c>
      <c r="Y820" s="8">
        <f>'1 prepared data'!V813</f>
        <v/>
      </c>
      <c r="Z820" s="9">
        <f>Y820*X820</f>
        <v/>
      </c>
      <c r="AA820" s="10">
        <f>IF(W820&gt;$AE$33,1,0)</f>
        <v/>
      </c>
      <c r="AB820">
        <f>IF(AA820=C820,1,0)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$AE$12+D821*$AE$13+E821*$AE$14+F821*$AE$15+G821*$AE$16+H821*$AE$17+I821*$AE$18+J821*$AE$19+K821*$AE$20+L821*$AE$21+M821*$AE$22+N821*$AE$23+O821*$AE$24+P821*$AE$25+Q821*$AE$26+R821*$AE$27+S821*$AE$28+T821*$AE$29+U821*$AE$30</f>
        <v/>
      </c>
      <c r="W821" s="8">
        <f>1/(1+EXP(-V821))</f>
        <v/>
      </c>
      <c r="X821" s="9">
        <f>-IF(C821=1,LN(W821),LN(1-W821))</f>
        <v/>
      </c>
      <c r="Y821" s="8">
        <f>'1 prepared data'!V814</f>
        <v/>
      </c>
      <c r="Z821" s="9">
        <f>Y821*X821</f>
        <v/>
      </c>
      <c r="AA821" s="10">
        <f>IF(W821&gt;$AE$33,1,0)</f>
        <v/>
      </c>
      <c r="AB821">
        <f>IF(AA821=C821,1,0)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$AE$12+D822*$AE$13+E822*$AE$14+F822*$AE$15+G822*$AE$16+H822*$AE$17+I822*$AE$18+J822*$AE$19+K822*$AE$20+L822*$AE$21+M822*$AE$22+N822*$AE$23+O822*$AE$24+P822*$AE$25+Q822*$AE$26+R822*$AE$27+S822*$AE$28+T822*$AE$29+U822*$AE$30</f>
        <v/>
      </c>
      <c r="W822" s="8">
        <f>1/(1+EXP(-V822))</f>
        <v/>
      </c>
      <c r="X822" s="9">
        <f>-IF(C822=1,LN(W822),LN(1-W822))</f>
        <v/>
      </c>
      <c r="Y822" s="8">
        <f>'1 prepared data'!V815</f>
        <v/>
      </c>
      <c r="Z822" s="9">
        <f>Y822*X822</f>
        <v/>
      </c>
      <c r="AA822" s="10">
        <f>IF(W822&gt;$AE$33,1,0)</f>
        <v/>
      </c>
      <c r="AB822">
        <f>IF(AA822=C822,1,0)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$AE$12+D823*$AE$13+E823*$AE$14+F823*$AE$15+G823*$AE$16+H823*$AE$17+I823*$AE$18+J823*$AE$19+K823*$AE$20+L823*$AE$21+M823*$AE$22+N823*$AE$23+O823*$AE$24+P823*$AE$25+Q823*$AE$26+R823*$AE$27+S823*$AE$28+T823*$AE$29+U823*$AE$30</f>
        <v/>
      </c>
      <c r="W823" s="8">
        <f>1/(1+EXP(-V823))</f>
        <v/>
      </c>
      <c r="X823" s="9">
        <f>-IF(C823=1,LN(W823),LN(1-W823))</f>
        <v/>
      </c>
      <c r="Y823" s="8">
        <f>'1 prepared data'!V816</f>
        <v/>
      </c>
      <c r="Z823" s="9">
        <f>Y823*X823</f>
        <v/>
      </c>
      <c r="AA823" s="10">
        <f>IF(W823&gt;$AE$33,1,0)</f>
        <v/>
      </c>
      <c r="AB823">
        <f>IF(AA823=C823,1,0)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$AE$12+D824*$AE$13+E824*$AE$14+F824*$AE$15+G824*$AE$16+H824*$AE$17+I824*$AE$18+J824*$AE$19+K824*$AE$20+L824*$AE$21+M824*$AE$22+N824*$AE$23+O824*$AE$24+P824*$AE$25+Q824*$AE$26+R824*$AE$27+S824*$AE$28+T824*$AE$29+U824*$AE$30</f>
        <v/>
      </c>
      <c r="W824" s="8">
        <f>1/(1+EXP(-V824))</f>
        <v/>
      </c>
      <c r="X824" s="9">
        <f>-IF(C824=1,LN(W824),LN(1-W824))</f>
        <v/>
      </c>
      <c r="Y824" s="8">
        <f>'1 prepared data'!V817</f>
        <v/>
      </c>
      <c r="Z824" s="9">
        <f>Y824*X824</f>
        <v/>
      </c>
      <c r="AA824" s="10">
        <f>IF(W824&gt;$AE$33,1,0)</f>
        <v/>
      </c>
      <c r="AB824">
        <f>IF(AA824=C824,1,0)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$AE$12+D825*$AE$13+E825*$AE$14+F825*$AE$15+G825*$AE$16+H825*$AE$17+I825*$AE$18+J825*$AE$19+K825*$AE$20+L825*$AE$21+M825*$AE$22+N825*$AE$23+O825*$AE$24+P825*$AE$25+Q825*$AE$26+R825*$AE$27+S825*$AE$28+T825*$AE$29+U825*$AE$30</f>
        <v/>
      </c>
      <c r="W825" s="8">
        <f>1/(1+EXP(-V825))</f>
        <v/>
      </c>
      <c r="X825" s="9">
        <f>-IF(C825=1,LN(W825),LN(1-W825))</f>
        <v/>
      </c>
      <c r="Y825" s="8">
        <f>'1 prepared data'!V818</f>
        <v/>
      </c>
      <c r="Z825" s="9">
        <f>Y825*X825</f>
        <v/>
      </c>
      <c r="AA825" s="10">
        <f>IF(W825&gt;$AE$33,1,0)</f>
        <v/>
      </c>
      <c r="AB825">
        <f>IF(AA825=C825,1,0)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$AE$12+D826*$AE$13+E826*$AE$14+F826*$AE$15+G826*$AE$16+H826*$AE$17+I826*$AE$18+J826*$AE$19+K826*$AE$20+L826*$AE$21+M826*$AE$22+N826*$AE$23+O826*$AE$24+P826*$AE$25+Q826*$AE$26+R826*$AE$27+S826*$AE$28+T826*$AE$29+U826*$AE$30</f>
        <v/>
      </c>
      <c r="W826" s="8">
        <f>1/(1+EXP(-V826))</f>
        <v/>
      </c>
      <c r="X826" s="9">
        <f>-IF(C826=1,LN(W826),LN(1-W826))</f>
        <v/>
      </c>
      <c r="Y826" s="8">
        <f>'1 prepared data'!V819</f>
        <v/>
      </c>
      <c r="Z826" s="9">
        <f>Y826*X826</f>
        <v/>
      </c>
      <c r="AA826" s="10">
        <f>IF(W826&gt;$AE$33,1,0)</f>
        <v/>
      </c>
      <c r="AB826">
        <f>IF(AA826=C826,1,0)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$AE$12+D827*$AE$13+E827*$AE$14+F827*$AE$15+G827*$AE$16+H827*$AE$17+I827*$AE$18+J827*$AE$19+K827*$AE$20+L827*$AE$21+M827*$AE$22+N827*$AE$23+O827*$AE$24+P827*$AE$25+Q827*$AE$26+R827*$AE$27+S827*$AE$28+T827*$AE$29+U827*$AE$30</f>
        <v/>
      </c>
      <c r="W827" s="8">
        <f>1/(1+EXP(-V827))</f>
        <v/>
      </c>
      <c r="X827" s="9">
        <f>-IF(C827=1,LN(W827),LN(1-W827))</f>
        <v/>
      </c>
      <c r="Y827" s="8">
        <f>'1 prepared data'!V820</f>
        <v/>
      </c>
      <c r="Z827" s="9">
        <f>Y827*X827</f>
        <v/>
      </c>
      <c r="AA827" s="10">
        <f>IF(W827&gt;$AE$33,1,0)</f>
        <v/>
      </c>
      <c r="AB827">
        <f>IF(AA827=C827,1,0)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$AE$12+D828*$AE$13+E828*$AE$14+F828*$AE$15+G828*$AE$16+H828*$AE$17+I828*$AE$18+J828*$AE$19+K828*$AE$20+L828*$AE$21+M828*$AE$22+N828*$AE$23+O828*$AE$24+P828*$AE$25+Q828*$AE$26+R828*$AE$27+S828*$AE$28+T828*$AE$29+U828*$AE$30</f>
        <v/>
      </c>
      <c r="W828" s="8">
        <f>1/(1+EXP(-V828))</f>
        <v/>
      </c>
      <c r="X828" s="9">
        <f>-IF(C828=1,LN(W828),LN(1-W828))</f>
        <v/>
      </c>
      <c r="Y828" s="8">
        <f>'1 prepared data'!V821</f>
        <v/>
      </c>
      <c r="Z828" s="9">
        <f>Y828*X828</f>
        <v/>
      </c>
      <c r="AA828" s="10">
        <f>IF(W828&gt;$AE$33,1,0)</f>
        <v/>
      </c>
      <c r="AB828">
        <f>IF(AA828=C828,1,0)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$AE$12+D829*$AE$13+E829*$AE$14+F829*$AE$15+G829*$AE$16+H829*$AE$17+I829*$AE$18+J829*$AE$19+K829*$AE$20+L829*$AE$21+M829*$AE$22+N829*$AE$23+O829*$AE$24+P829*$AE$25+Q829*$AE$26+R829*$AE$27+S829*$AE$28+T829*$AE$29+U829*$AE$30</f>
        <v/>
      </c>
      <c r="W829" s="8">
        <f>1/(1+EXP(-V829))</f>
        <v/>
      </c>
      <c r="X829" s="9">
        <f>-IF(C829=1,LN(W829),LN(1-W829))</f>
        <v/>
      </c>
      <c r="Y829" s="8">
        <f>'1 prepared data'!V822</f>
        <v/>
      </c>
      <c r="Z829" s="9">
        <f>Y829*X829</f>
        <v/>
      </c>
      <c r="AA829" s="10">
        <f>IF(W829&gt;$AE$33,1,0)</f>
        <v/>
      </c>
      <c r="AB829">
        <f>IF(AA829=C829,1,0)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$AE$12+D830*$AE$13+E830*$AE$14+F830*$AE$15+G830*$AE$16+H830*$AE$17+I830*$AE$18+J830*$AE$19+K830*$AE$20+L830*$AE$21+M830*$AE$22+N830*$AE$23+O830*$AE$24+P830*$AE$25+Q830*$AE$26+R830*$AE$27+S830*$AE$28+T830*$AE$29+U830*$AE$30</f>
        <v/>
      </c>
      <c r="W830" s="8">
        <f>1/(1+EXP(-V830))</f>
        <v/>
      </c>
      <c r="X830" s="9">
        <f>-IF(C830=1,LN(W830),LN(1-W830))</f>
        <v/>
      </c>
      <c r="Y830" s="8">
        <f>'1 prepared data'!V823</f>
        <v/>
      </c>
      <c r="Z830" s="9">
        <f>Y830*X830</f>
        <v/>
      </c>
      <c r="AA830" s="10">
        <f>IF(W830&gt;$AE$33,1,0)</f>
        <v/>
      </c>
      <c r="AB830">
        <f>IF(AA830=C830,1,0)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$AE$12+D831*$AE$13+E831*$AE$14+F831*$AE$15+G831*$AE$16+H831*$AE$17+I831*$AE$18+J831*$AE$19+K831*$AE$20+L831*$AE$21+M831*$AE$22+N831*$AE$23+O831*$AE$24+P831*$AE$25+Q831*$AE$26+R831*$AE$27+S831*$AE$28+T831*$AE$29+U831*$AE$30</f>
        <v/>
      </c>
      <c r="W831" s="8">
        <f>1/(1+EXP(-V831))</f>
        <v/>
      </c>
      <c r="X831" s="9">
        <f>-IF(C831=1,LN(W831),LN(1-W831))</f>
        <v/>
      </c>
      <c r="Y831" s="8">
        <f>'1 prepared data'!V824</f>
        <v/>
      </c>
      <c r="Z831" s="9">
        <f>Y831*X831</f>
        <v/>
      </c>
      <c r="AA831" s="10">
        <f>IF(W831&gt;$AE$33,1,0)</f>
        <v/>
      </c>
      <c r="AB831">
        <f>IF(AA831=C831,1,0)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$AE$12+D832*$AE$13+E832*$AE$14+F832*$AE$15+G832*$AE$16+H832*$AE$17+I832*$AE$18+J832*$AE$19+K832*$AE$20+L832*$AE$21+M832*$AE$22+N832*$AE$23+O832*$AE$24+P832*$AE$25+Q832*$AE$26+R832*$AE$27+S832*$AE$28+T832*$AE$29+U832*$AE$30</f>
        <v/>
      </c>
      <c r="W832" s="8">
        <f>1/(1+EXP(-V832))</f>
        <v/>
      </c>
      <c r="X832" s="9">
        <f>-IF(C832=1,LN(W832),LN(1-W832))</f>
        <v/>
      </c>
      <c r="Y832" s="8">
        <f>'1 prepared data'!V825</f>
        <v/>
      </c>
      <c r="Z832" s="9">
        <f>Y832*X832</f>
        <v/>
      </c>
      <c r="AA832" s="10">
        <f>IF(W832&gt;$AE$33,1,0)</f>
        <v/>
      </c>
      <c r="AB832">
        <f>IF(AA832=C832,1,0)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$AE$12+D833*$AE$13+E833*$AE$14+F833*$AE$15+G833*$AE$16+H833*$AE$17+I833*$AE$18+J833*$AE$19+K833*$AE$20+L833*$AE$21+M833*$AE$22+N833*$AE$23+O833*$AE$24+P833*$AE$25+Q833*$AE$26+R833*$AE$27+S833*$AE$28+T833*$AE$29+U833*$AE$30</f>
        <v/>
      </c>
      <c r="W833" s="8">
        <f>1/(1+EXP(-V833))</f>
        <v/>
      </c>
      <c r="X833" s="9">
        <f>-IF(C833=1,LN(W833),LN(1-W833))</f>
        <v/>
      </c>
      <c r="Y833" s="8">
        <f>'1 prepared data'!V826</f>
        <v/>
      </c>
      <c r="Z833" s="9">
        <f>Y833*X833</f>
        <v/>
      </c>
      <c r="AA833" s="10">
        <f>IF(W833&gt;$AE$33,1,0)</f>
        <v/>
      </c>
      <c r="AB833">
        <f>IF(AA833=C833,1,0)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$AE$12+D834*$AE$13+E834*$AE$14+F834*$AE$15+G834*$AE$16+H834*$AE$17+I834*$AE$18+J834*$AE$19+K834*$AE$20+L834*$AE$21+M834*$AE$22+N834*$AE$23+O834*$AE$24+P834*$AE$25+Q834*$AE$26+R834*$AE$27+S834*$AE$28+T834*$AE$29+U834*$AE$30</f>
        <v/>
      </c>
      <c r="W834" s="8">
        <f>1/(1+EXP(-V834))</f>
        <v/>
      </c>
      <c r="X834" s="9">
        <f>-IF(C834=1,LN(W834),LN(1-W834))</f>
        <v/>
      </c>
      <c r="Y834" s="8">
        <f>'1 prepared data'!V827</f>
        <v/>
      </c>
      <c r="Z834" s="9">
        <f>Y834*X834</f>
        <v/>
      </c>
      <c r="AA834" s="10">
        <f>IF(W834&gt;$AE$33,1,0)</f>
        <v/>
      </c>
      <c r="AB834">
        <f>IF(AA834=C834,1,0)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$AE$12+D835*$AE$13+E835*$AE$14+F835*$AE$15+G835*$AE$16+H835*$AE$17+I835*$AE$18+J835*$AE$19+K835*$AE$20+L835*$AE$21+M835*$AE$22+N835*$AE$23+O835*$AE$24+P835*$AE$25+Q835*$AE$26+R835*$AE$27+S835*$AE$28+T835*$AE$29+U835*$AE$30</f>
        <v/>
      </c>
      <c r="W835" s="8">
        <f>1/(1+EXP(-V835))</f>
        <v/>
      </c>
      <c r="X835" s="9">
        <f>-IF(C835=1,LN(W835),LN(1-W835))</f>
        <v/>
      </c>
      <c r="Y835" s="8">
        <f>'1 prepared data'!V828</f>
        <v/>
      </c>
      <c r="Z835" s="9">
        <f>Y835*X835</f>
        <v/>
      </c>
      <c r="AA835" s="10">
        <f>IF(W835&gt;$AE$33,1,0)</f>
        <v/>
      </c>
      <c r="AB835">
        <f>IF(AA835=C835,1,0)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$AE$12+D836*$AE$13+E836*$AE$14+F836*$AE$15+G836*$AE$16+H836*$AE$17+I836*$AE$18+J836*$AE$19+K836*$AE$20+L836*$AE$21+M836*$AE$22+N836*$AE$23+O836*$AE$24+P836*$AE$25+Q836*$AE$26+R836*$AE$27+S836*$AE$28+T836*$AE$29+U836*$AE$30</f>
        <v/>
      </c>
      <c r="W836" s="8">
        <f>1/(1+EXP(-V836))</f>
        <v/>
      </c>
      <c r="X836" s="9">
        <f>-IF(C836=1,LN(W836),LN(1-W836))</f>
        <v/>
      </c>
      <c r="Y836" s="8">
        <f>'1 prepared data'!V829</f>
        <v/>
      </c>
      <c r="Z836" s="9">
        <f>Y836*X836</f>
        <v/>
      </c>
      <c r="AA836" s="10">
        <f>IF(W836&gt;$AE$33,1,0)</f>
        <v/>
      </c>
      <c r="AB836">
        <f>IF(AA836=C836,1,0)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$AE$12+D837*$AE$13+E837*$AE$14+F837*$AE$15+G837*$AE$16+H837*$AE$17+I837*$AE$18+J837*$AE$19+K837*$AE$20+L837*$AE$21+M837*$AE$22+N837*$AE$23+O837*$AE$24+P837*$AE$25+Q837*$AE$26+R837*$AE$27+S837*$AE$28+T837*$AE$29+U837*$AE$30</f>
        <v/>
      </c>
      <c r="W837" s="8">
        <f>1/(1+EXP(-V837))</f>
        <v/>
      </c>
      <c r="X837" s="9">
        <f>-IF(C837=1,LN(W837),LN(1-W837))</f>
        <v/>
      </c>
      <c r="Y837" s="8">
        <f>'1 prepared data'!V830</f>
        <v/>
      </c>
      <c r="Z837" s="9">
        <f>Y837*X837</f>
        <v/>
      </c>
      <c r="AA837" s="10">
        <f>IF(W837&gt;$AE$33,1,0)</f>
        <v/>
      </c>
      <c r="AB837">
        <f>IF(AA837=C837,1,0)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$AE$12+D838*$AE$13+E838*$AE$14+F838*$AE$15+G838*$AE$16+H838*$AE$17+I838*$AE$18+J838*$AE$19+K838*$AE$20+L838*$AE$21+M838*$AE$22+N838*$AE$23+O838*$AE$24+P838*$AE$25+Q838*$AE$26+R838*$AE$27+S838*$AE$28+T838*$AE$29+U838*$AE$30</f>
        <v/>
      </c>
      <c r="W838" s="8">
        <f>1/(1+EXP(-V838))</f>
        <v/>
      </c>
      <c r="X838" s="9">
        <f>-IF(C838=1,LN(W838),LN(1-W838))</f>
        <v/>
      </c>
      <c r="Y838" s="8">
        <f>'1 prepared data'!V831</f>
        <v/>
      </c>
      <c r="Z838" s="9">
        <f>Y838*X838</f>
        <v/>
      </c>
      <c r="AA838" s="10">
        <f>IF(W838&gt;$AE$33,1,0)</f>
        <v/>
      </c>
      <c r="AB838">
        <f>IF(AA838=C838,1,0)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$AE$12+D839*$AE$13+E839*$AE$14+F839*$AE$15+G839*$AE$16+H839*$AE$17+I839*$AE$18+J839*$AE$19+K839*$AE$20+L839*$AE$21+M839*$AE$22+N839*$AE$23+O839*$AE$24+P839*$AE$25+Q839*$AE$26+R839*$AE$27+S839*$AE$28+T839*$AE$29+U839*$AE$30</f>
        <v/>
      </c>
      <c r="W839" s="8">
        <f>1/(1+EXP(-V839))</f>
        <v/>
      </c>
      <c r="X839" s="9">
        <f>-IF(C839=1,LN(W839),LN(1-W839))</f>
        <v/>
      </c>
      <c r="Y839" s="8">
        <f>'1 prepared data'!V832</f>
        <v/>
      </c>
      <c r="Z839" s="9">
        <f>Y839*X839</f>
        <v/>
      </c>
      <c r="AA839" s="10">
        <f>IF(W839&gt;$AE$33,1,0)</f>
        <v/>
      </c>
      <c r="AB839">
        <f>IF(AA839=C839,1,0)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$AE$12+D840*$AE$13+E840*$AE$14+F840*$AE$15+G840*$AE$16+H840*$AE$17+I840*$AE$18+J840*$AE$19+K840*$AE$20+L840*$AE$21+M840*$AE$22+N840*$AE$23+O840*$AE$24+P840*$AE$25+Q840*$AE$26+R840*$AE$27+S840*$AE$28+T840*$AE$29+U840*$AE$30</f>
        <v/>
      </c>
      <c r="W840" s="8">
        <f>1/(1+EXP(-V840))</f>
        <v/>
      </c>
      <c r="X840" s="9">
        <f>-IF(C840=1,LN(W840),LN(1-W840))</f>
        <v/>
      </c>
      <c r="Y840" s="8">
        <f>'1 prepared data'!V833</f>
        <v/>
      </c>
      <c r="Z840" s="9">
        <f>Y840*X840</f>
        <v/>
      </c>
      <c r="AA840" s="10">
        <f>IF(W840&gt;$AE$33,1,0)</f>
        <v/>
      </c>
      <c r="AB840">
        <f>IF(AA840=C840,1,0)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$AE$12+D841*$AE$13+E841*$AE$14+F841*$AE$15+G841*$AE$16+H841*$AE$17+I841*$AE$18+J841*$AE$19+K841*$AE$20+L841*$AE$21+M841*$AE$22+N841*$AE$23+O841*$AE$24+P841*$AE$25+Q841*$AE$26+R841*$AE$27+S841*$AE$28+T841*$AE$29+U841*$AE$30</f>
        <v/>
      </c>
      <c r="W841" s="8">
        <f>1/(1+EXP(-V841))</f>
        <v/>
      </c>
      <c r="X841" s="9">
        <f>-IF(C841=1,LN(W841),LN(1-W841))</f>
        <v/>
      </c>
      <c r="Y841" s="8">
        <f>'1 prepared data'!V834</f>
        <v/>
      </c>
      <c r="Z841" s="9">
        <f>Y841*X841</f>
        <v/>
      </c>
      <c r="AA841" s="10">
        <f>IF(W841&gt;$AE$33,1,0)</f>
        <v/>
      </c>
      <c r="AB841">
        <f>IF(AA841=C841,1,0)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$AE$12+D842*$AE$13+E842*$AE$14+F842*$AE$15+G842*$AE$16+H842*$AE$17+I842*$AE$18+J842*$AE$19+K842*$AE$20+L842*$AE$21+M842*$AE$22+N842*$AE$23+O842*$AE$24+P842*$AE$25+Q842*$AE$26+R842*$AE$27+S842*$AE$28+T842*$AE$29+U842*$AE$30</f>
        <v/>
      </c>
      <c r="W842" s="8">
        <f>1/(1+EXP(-V842))</f>
        <v/>
      </c>
      <c r="X842" s="9">
        <f>-IF(C842=1,LN(W842),LN(1-W842))</f>
        <v/>
      </c>
      <c r="Y842" s="8">
        <f>'1 prepared data'!V835</f>
        <v/>
      </c>
      <c r="Z842" s="9">
        <f>Y842*X842</f>
        <v/>
      </c>
      <c r="AA842" s="10">
        <f>IF(W842&gt;$AE$33,1,0)</f>
        <v/>
      </c>
      <c r="AB842">
        <f>IF(AA842=C842,1,0)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$AE$12+D843*$AE$13+E843*$AE$14+F843*$AE$15+G843*$AE$16+H843*$AE$17+I843*$AE$18+J843*$AE$19+K843*$AE$20+L843*$AE$21+M843*$AE$22+N843*$AE$23+O843*$AE$24+P843*$AE$25+Q843*$AE$26+R843*$AE$27+S843*$AE$28+T843*$AE$29+U843*$AE$30</f>
        <v/>
      </c>
      <c r="W843" s="8">
        <f>1/(1+EXP(-V843))</f>
        <v/>
      </c>
      <c r="X843" s="9">
        <f>-IF(C843=1,LN(W843),LN(1-W843))</f>
        <v/>
      </c>
      <c r="Y843" s="8">
        <f>'1 prepared data'!V836</f>
        <v/>
      </c>
      <c r="Z843" s="9">
        <f>Y843*X843</f>
        <v/>
      </c>
      <c r="AA843" s="10">
        <f>IF(W843&gt;$AE$33,1,0)</f>
        <v/>
      </c>
      <c r="AB843">
        <f>IF(AA843=C843,1,0)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$AE$12+D844*$AE$13+E844*$AE$14+F844*$AE$15+G844*$AE$16+H844*$AE$17+I844*$AE$18+J844*$AE$19+K844*$AE$20+L844*$AE$21+M844*$AE$22+N844*$AE$23+O844*$AE$24+P844*$AE$25+Q844*$AE$26+R844*$AE$27+S844*$AE$28+T844*$AE$29+U844*$AE$30</f>
        <v/>
      </c>
      <c r="W844" s="8">
        <f>1/(1+EXP(-V844))</f>
        <v/>
      </c>
      <c r="X844" s="9">
        <f>-IF(C844=1,LN(W844),LN(1-W844))</f>
        <v/>
      </c>
      <c r="Y844" s="8">
        <f>'1 prepared data'!V837</f>
        <v/>
      </c>
      <c r="Z844" s="9">
        <f>Y844*X844</f>
        <v/>
      </c>
      <c r="AA844" s="10">
        <f>IF(W844&gt;$AE$33,1,0)</f>
        <v/>
      </c>
      <c r="AB844">
        <f>IF(AA844=C844,1,0)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$AE$12+D845*$AE$13+E845*$AE$14+F845*$AE$15+G845*$AE$16+H845*$AE$17+I845*$AE$18+J845*$AE$19+K845*$AE$20+L845*$AE$21+M845*$AE$22+N845*$AE$23+O845*$AE$24+P845*$AE$25+Q845*$AE$26+R845*$AE$27+S845*$AE$28+T845*$AE$29+U845*$AE$30</f>
        <v/>
      </c>
      <c r="W845" s="8">
        <f>1/(1+EXP(-V845))</f>
        <v/>
      </c>
      <c r="X845" s="9">
        <f>-IF(C845=1,LN(W845),LN(1-W845))</f>
        <v/>
      </c>
      <c r="Y845" s="8">
        <f>'1 prepared data'!V838</f>
        <v/>
      </c>
      <c r="Z845" s="9">
        <f>Y845*X845</f>
        <v/>
      </c>
      <c r="AA845" s="10">
        <f>IF(W845&gt;$AE$33,1,0)</f>
        <v/>
      </c>
      <c r="AB845">
        <f>IF(AA845=C845,1,0)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$AE$12+D846*$AE$13+E846*$AE$14+F846*$AE$15+G846*$AE$16+H846*$AE$17+I846*$AE$18+J846*$AE$19+K846*$AE$20+L846*$AE$21+M846*$AE$22+N846*$AE$23+O846*$AE$24+P846*$AE$25+Q846*$AE$26+R846*$AE$27+S846*$AE$28+T846*$AE$29+U846*$AE$30</f>
        <v/>
      </c>
      <c r="W846" s="8">
        <f>1/(1+EXP(-V846))</f>
        <v/>
      </c>
      <c r="X846" s="9">
        <f>-IF(C846=1,LN(W846),LN(1-W846))</f>
        <v/>
      </c>
      <c r="Y846" s="8">
        <f>'1 prepared data'!V839</f>
        <v/>
      </c>
      <c r="Z846" s="9">
        <f>Y846*X846</f>
        <v/>
      </c>
      <c r="AA846" s="10">
        <f>IF(W846&gt;$AE$33,1,0)</f>
        <v/>
      </c>
      <c r="AB846">
        <f>IF(AA846=C846,1,0)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$AE$12+D847*$AE$13+E847*$AE$14+F847*$AE$15+G847*$AE$16+H847*$AE$17+I847*$AE$18+J847*$AE$19+K847*$AE$20+L847*$AE$21+M847*$AE$22+N847*$AE$23+O847*$AE$24+P847*$AE$25+Q847*$AE$26+R847*$AE$27+S847*$AE$28+T847*$AE$29+U847*$AE$30</f>
        <v/>
      </c>
      <c r="W847" s="8">
        <f>1/(1+EXP(-V847))</f>
        <v/>
      </c>
      <c r="X847" s="9">
        <f>-IF(C847=1,LN(W847),LN(1-W847))</f>
        <v/>
      </c>
      <c r="Y847" s="8">
        <f>'1 prepared data'!V840</f>
        <v/>
      </c>
      <c r="Z847" s="9">
        <f>Y847*X847</f>
        <v/>
      </c>
      <c r="AA847" s="10">
        <f>IF(W847&gt;$AE$33,1,0)</f>
        <v/>
      </c>
      <c r="AB847">
        <f>IF(AA847=C847,1,0)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$AE$12+D848*$AE$13+E848*$AE$14+F848*$AE$15+G848*$AE$16+H848*$AE$17+I848*$AE$18+J848*$AE$19+K848*$AE$20+L848*$AE$21+M848*$AE$22+N848*$AE$23+O848*$AE$24+P848*$AE$25+Q848*$AE$26+R848*$AE$27+S848*$AE$28+T848*$AE$29+U848*$AE$30</f>
        <v/>
      </c>
      <c r="W848" s="8">
        <f>1/(1+EXP(-V848))</f>
        <v/>
      </c>
      <c r="X848" s="9">
        <f>-IF(C848=1,LN(W848),LN(1-W848))</f>
        <v/>
      </c>
      <c r="Y848" s="8">
        <f>'1 prepared data'!V841</f>
        <v/>
      </c>
      <c r="Z848" s="9">
        <f>Y848*X848</f>
        <v/>
      </c>
      <c r="AA848" s="10">
        <f>IF(W848&gt;$AE$33,1,0)</f>
        <v/>
      </c>
      <c r="AB848">
        <f>IF(AA848=C848,1,0)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$AE$12+D849*$AE$13+E849*$AE$14+F849*$AE$15+G849*$AE$16+H849*$AE$17+I849*$AE$18+J849*$AE$19+K849*$AE$20+L849*$AE$21+M849*$AE$22+N849*$AE$23+O849*$AE$24+P849*$AE$25+Q849*$AE$26+R849*$AE$27+S849*$AE$28+T849*$AE$29+U849*$AE$30</f>
        <v/>
      </c>
      <c r="W849" s="8">
        <f>1/(1+EXP(-V849))</f>
        <v/>
      </c>
      <c r="X849" s="9">
        <f>-IF(C849=1,LN(W849),LN(1-W849))</f>
        <v/>
      </c>
      <c r="Y849" s="8">
        <f>'1 prepared data'!V842</f>
        <v/>
      </c>
      <c r="Z849" s="9">
        <f>Y849*X849</f>
        <v/>
      </c>
      <c r="AA849" s="10">
        <f>IF(W849&gt;$AE$33,1,0)</f>
        <v/>
      </c>
      <c r="AB849">
        <f>IF(AA849=C849,1,0)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$AE$12+D850*$AE$13+E850*$AE$14+F850*$AE$15+G850*$AE$16+H850*$AE$17+I850*$AE$18+J850*$AE$19+K850*$AE$20+L850*$AE$21+M850*$AE$22+N850*$AE$23+O850*$AE$24+P850*$AE$25+Q850*$AE$26+R850*$AE$27+S850*$AE$28+T850*$AE$29+U850*$AE$30</f>
        <v/>
      </c>
      <c r="W850" s="8">
        <f>1/(1+EXP(-V850))</f>
        <v/>
      </c>
      <c r="X850" s="9">
        <f>-IF(C850=1,LN(W850),LN(1-W850))</f>
        <v/>
      </c>
      <c r="Y850" s="8">
        <f>'1 prepared data'!V843</f>
        <v/>
      </c>
      <c r="Z850" s="9">
        <f>Y850*X850</f>
        <v/>
      </c>
      <c r="AA850" s="10">
        <f>IF(W850&gt;$AE$33,1,0)</f>
        <v/>
      </c>
      <c r="AB850">
        <f>IF(AA850=C850,1,0)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$AE$12+D851*$AE$13+E851*$AE$14+F851*$AE$15+G851*$AE$16+H851*$AE$17+I851*$AE$18+J851*$AE$19+K851*$AE$20+L851*$AE$21+M851*$AE$22+N851*$AE$23+O851*$AE$24+P851*$AE$25+Q851*$AE$26+R851*$AE$27+S851*$AE$28+T851*$AE$29+U851*$AE$30</f>
        <v/>
      </c>
      <c r="W851" s="8">
        <f>1/(1+EXP(-V851))</f>
        <v/>
      </c>
      <c r="X851" s="9">
        <f>-IF(C851=1,LN(W851),LN(1-W851))</f>
        <v/>
      </c>
      <c r="Y851" s="8">
        <f>'1 prepared data'!V844</f>
        <v/>
      </c>
      <c r="Z851" s="9">
        <f>Y851*X851</f>
        <v/>
      </c>
      <c r="AA851" s="10">
        <f>IF(W851&gt;$AE$33,1,0)</f>
        <v/>
      </c>
      <c r="AB851">
        <f>IF(AA851=C851,1,0)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$AE$12+D852*$AE$13+E852*$AE$14+F852*$AE$15+G852*$AE$16+H852*$AE$17+I852*$AE$18+J852*$AE$19+K852*$AE$20+L852*$AE$21+M852*$AE$22+N852*$AE$23+O852*$AE$24+P852*$AE$25+Q852*$AE$26+R852*$AE$27+S852*$AE$28+T852*$AE$29+U852*$AE$30</f>
        <v/>
      </c>
      <c r="W852" s="8">
        <f>1/(1+EXP(-V852))</f>
        <v/>
      </c>
      <c r="X852" s="9">
        <f>-IF(C852=1,LN(W852),LN(1-W852))</f>
        <v/>
      </c>
      <c r="Y852" s="8">
        <f>'1 prepared data'!V845</f>
        <v/>
      </c>
      <c r="Z852" s="9">
        <f>Y852*X852</f>
        <v/>
      </c>
      <c r="AA852" s="10">
        <f>IF(W852&gt;$AE$33,1,0)</f>
        <v/>
      </c>
      <c r="AB852">
        <f>IF(AA852=C852,1,0)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$AE$12+D853*$AE$13+E853*$AE$14+F853*$AE$15+G853*$AE$16+H853*$AE$17+I853*$AE$18+J853*$AE$19+K853*$AE$20+L853*$AE$21+M853*$AE$22+N853*$AE$23+O853*$AE$24+P853*$AE$25+Q853*$AE$26+R853*$AE$27+S853*$AE$28+T853*$AE$29+U853*$AE$30</f>
        <v/>
      </c>
      <c r="W853" s="8">
        <f>1/(1+EXP(-V853))</f>
        <v/>
      </c>
      <c r="X853" s="9">
        <f>-IF(C853=1,LN(W853),LN(1-W853))</f>
        <v/>
      </c>
      <c r="Y853" s="8">
        <f>'1 prepared data'!V846</f>
        <v/>
      </c>
      <c r="Z853" s="9">
        <f>Y853*X853</f>
        <v/>
      </c>
      <c r="AA853" s="10">
        <f>IF(W853&gt;$AE$33,1,0)</f>
        <v/>
      </c>
      <c r="AB853">
        <f>IF(AA853=C853,1,0)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$AE$12+D854*$AE$13+E854*$AE$14+F854*$AE$15+G854*$AE$16+H854*$AE$17+I854*$AE$18+J854*$AE$19+K854*$AE$20+L854*$AE$21+M854*$AE$22+N854*$AE$23+O854*$AE$24+P854*$AE$25+Q854*$AE$26+R854*$AE$27+S854*$AE$28+T854*$AE$29+U854*$AE$30</f>
        <v/>
      </c>
      <c r="W854" s="8">
        <f>1/(1+EXP(-V854))</f>
        <v/>
      </c>
      <c r="X854" s="9">
        <f>-IF(C854=1,LN(W854),LN(1-W854))</f>
        <v/>
      </c>
      <c r="Y854" s="8">
        <f>'1 prepared data'!V847</f>
        <v/>
      </c>
      <c r="Z854" s="9">
        <f>Y854*X854</f>
        <v/>
      </c>
      <c r="AA854" s="10">
        <f>IF(W854&gt;$AE$33,1,0)</f>
        <v/>
      </c>
      <c r="AB854">
        <f>IF(AA854=C854,1,0)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$AE$12+D855*$AE$13+E855*$AE$14+F855*$AE$15+G855*$AE$16+H855*$AE$17+I855*$AE$18+J855*$AE$19+K855*$AE$20+L855*$AE$21+M855*$AE$22+N855*$AE$23+O855*$AE$24+P855*$AE$25+Q855*$AE$26+R855*$AE$27+S855*$AE$28+T855*$AE$29+U855*$AE$30</f>
        <v/>
      </c>
      <c r="W855" s="8">
        <f>1/(1+EXP(-V855))</f>
        <v/>
      </c>
      <c r="X855" s="9">
        <f>-IF(C855=1,LN(W855),LN(1-W855))</f>
        <v/>
      </c>
      <c r="Y855" s="8">
        <f>'1 prepared data'!V848</f>
        <v/>
      </c>
      <c r="Z855" s="9">
        <f>Y855*X855</f>
        <v/>
      </c>
      <c r="AA855" s="10">
        <f>IF(W855&gt;$AE$33,1,0)</f>
        <v/>
      </c>
      <c r="AB855">
        <f>IF(AA855=C855,1,0)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$AE$12+D856*$AE$13+E856*$AE$14+F856*$AE$15+G856*$AE$16+H856*$AE$17+I856*$AE$18+J856*$AE$19+K856*$AE$20+L856*$AE$21+M856*$AE$22+N856*$AE$23+O856*$AE$24+P856*$AE$25+Q856*$AE$26+R856*$AE$27+S856*$AE$28+T856*$AE$29+U856*$AE$30</f>
        <v/>
      </c>
      <c r="W856" s="8">
        <f>1/(1+EXP(-V856))</f>
        <v/>
      </c>
      <c r="X856" s="9">
        <f>-IF(C856=1,LN(W856),LN(1-W856))</f>
        <v/>
      </c>
      <c r="Y856" s="8">
        <f>'1 prepared data'!V849</f>
        <v/>
      </c>
      <c r="Z856" s="9">
        <f>Y856*X856</f>
        <v/>
      </c>
      <c r="AA856" s="10">
        <f>IF(W856&gt;$AE$33,1,0)</f>
        <v/>
      </c>
      <c r="AB856">
        <f>IF(AA856=C856,1,0)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$AE$12+D857*$AE$13+E857*$AE$14+F857*$AE$15+G857*$AE$16+H857*$AE$17+I857*$AE$18+J857*$AE$19+K857*$AE$20+L857*$AE$21+M857*$AE$22+N857*$AE$23+O857*$AE$24+P857*$AE$25+Q857*$AE$26+R857*$AE$27+S857*$AE$28+T857*$AE$29+U857*$AE$30</f>
        <v/>
      </c>
      <c r="W857" s="8">
        <f>1/(1+EXP(-V857))</f>
        <v/>
      </c>
      <c r="X857" s="9">
        <f>-IF(C857=1,LN(W857),LN(1-W857))</f>
        <v/>
      </c>
      <c r="Y857" s="8">
        <f>'1 prepared data'!V850</f>
        <v/>
      </c>
      <c r="Z857" s="9">
        <f>Y857*X857</f>
        <v/>
      </c>
      <c r="AA857" s="10">
        <f>IF(W857&gt;$AE$33,1,0)</f>
        <v/>
      </c>
      <c r="AB857">
        <f>IF(AA857=C857,1,0)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$AE$12+D858*$AE$13+E858*$AE$14+F858*$AE$15+G858*$AE$16+H858*$AE$17+I858*$AE$18+J858*$AE$19+K858*$AE$20+L858*$AE$21+M858*$AE$22+N858*$AE$23+O858*$AE$24+P858*$AE$25+Q858*$AE$26+R858*$AE$27+S858*$AE$28+T858*$AE$29+U858*$AE$30</f>
        <v/>
      </c>
      <c r="W858" s="8">
        <f>1/(1+EXP(-V858))</f>
        <v/>
      </c>
      <c r="X858" s="9">
        <f>-IF(C858=1,LN(W858),LN(1-W858))</f>
        <v/>
      </c>
      <c r="Y858" s="8">
        <f>'1 prepared data'!V851</f>
        <v/>
      </c>
      <c r="Z858" s="9">
        <f>Y858*X858</f>
        <v/>
      </c>
      <c r="AA858" s="10">
        <f>IF(W858&gt;$AE$33,1,0)</f>
        <v/>
      </c>
      <c r="AB858">
        <f>IF(AA858=C858,1,0)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$AE$12+D859*$AE$13+E859*$AE$14+F859*$AE$15+G859*$AE$16+H859*$AE$17+I859*$AE$18+J859*$AE$19+K859*$AE$20+L859*$AE$21+M859*$AE$22+N859*$AE$23+O859*$AE$24+P859*$AE$25+Q859*$AE$26+R859*$AE$27+S859*$AE$28+T859*$AE$29+U859*$AE$30</f>
        <v/>
      </c>
      <c r="W859" s="8">
        <f>1/(1+EXP(-V859))</f>
        <v/>
      </c>
      <c r="X859" s="9">
        <f>-IF(C859=1,LN(W859),LN(1-W859))</f>
        <v/>
      </c>
      <c r="Y859" s="8">
        <f>'1 prepared data'!V852</f>
        <v/>
      </c>
      <c r="Z859" s="9">
        <f>Y859*X859</f>
        <v/>
      </c>
      <c r="AA859" s="10">
        <f>IF(W859&gt;$AE$33,1,0)</f>
        <v/>
      </c>
      <c r="AB859">
        <f>IF(AA859=C859,1,0)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$AE$12+D860*$AE$13+E860*$AE$14+F860*$AE$15+G860*$AE$16+H860*$AE$17+I860*$AE$18+J860*$AE$19+K860*$AE$20+L860*$AE$21+M860*$AE$22+N860*$AE$23+O860*$AE$24+P860*$AE$25+Q860*$AE$26+R860*$AE$27+S860*$AE$28+T860*$AE$29+U860*$AE$30</f>
        <v/>
      </c>
      <c r="W860" s="8">
        <f>1/(1+EXP(-V860))</f>
        <v/>
      </c>
      <c r="X860" s="9">
        <f>-IF(C860=1,LN(W860),LN(1-W860))</f>
        <v/>
      </c>
      <c r="Y860" s="8">
        <f>'1 prepared data'!V853</f>
        <v/>
      </c>
      <c r="Z860" s="9">
        <f>Y860*X860</f>
        <v/>
      </c>
      <c r="AA860" s="10">
        <f>IF(W860&gt;$AE$33,1,0)</f>
        <v/>
      </c>
      <c r="AB860">
        <f>IF(AA860=C860,1,0)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$AE$12+D861*$AE$13+E861*$AE$14+F861*$AE$15+G861*$AE$16+H861*$AE$17+I861*$AE$18+J861*$AE$19+K861*$AE$20+L861*$AE$21+M861*$AE$22+N861*$AE$23+O861*$AE$24+P861*$AE$25+Q861*$AE$26+R861*$AE$27+S861*$AE$28+T861*$AE$29+U861*$AE$30</f>
        <v/>
      </c>
      <c r="W861" s="8">
        <f>1/(1+EXP(-V861))</f>
        <v/>
      </c>
      <c r="X861" s="9">
        <f>-IF(C861=1,LN(W861),LN(1-W861))</f>
        <v/>
      </c>
      <c r="Y861" s="8">
        <f>'1 prepared data'!V854</f>
        <v/>
      </c>
      <c r="Z861" s="9">
        <f>Y861*X861</f>
        <v/>
      </c>
      <c r="AA861" s="10">
        <f>IF(W861&gt;$AE$33,1,0)</f>
        <v/>
      </c>
      <c r="AB861">
        <f>IF(AA861=C861,1,0)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$AE$12+D862*$AE$13+E862*$AE$14+F862*$AE$15+G862*$AE$16+H862*$AE$17+I862*$AE$18+J862*$AE$19+K862*$AE$20+L862*$AE$21+M862*$AE$22+N862*$AE$23+O862*$AE$24+P862*$AE$25+Q862*$AE$26+R862*$AE$27+S862*$AE$28+T862*$AE$29+U862*$AE$30</f>
        <v/>
      </c>
      <c r="W862" s="8">
        <f>1/(1+EXP(-V862))</f>
        <v/>
      </c>
      <c r="X862" s="9">
        <f>-IF(C862=1,LN(W862),LN(1-W862))</f>
        <v/>
      </c>
      <c r="Y862" s="8">
        <f>'1 prepared data'!V855</f>
        <v/>
      </c>
      <c r="Z862" s="9">
        <f>Y862*X862</f>
        <v/>
      </c>
      <c r="AA862" s="10">
        <f>IF(W862&gt;$AE$33,1,0)</f>
        <v/>
      </c>
      <c r="AB862">
        <f>IF(AA862=C862,1,0)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$AE$12+D863*$AE$13+E863*$AE$14+F863*$AE$15+G863*$AE$16+H863*$AE$17+I863*$AE$18+J863*$AE$19+K863*$AE$20+L863*$AE$21+M863*$AE$22+N863*$AE$23+O863*$AE$24+P863*$AE$25+Q863*$AE$26+R863*$AE$27+S863*$AE$28+T863*$AE$29+U863*$AE$30</f>
        <v/>
      </c>
      <c r="W863" s="8">
        <f>1/(1+EXP(-V863))</f>
        <v/>
      </c>
      <c r="X863" s="9">
        <f>-IF(C863=1,LN(W863),LN(1-W863))</f>
        <v/>
      </c>
      <c r="Y863" s="8">
        <f>'1 prepared data'!V856</f>
        <v/>
      </c>
      <c r="Z863" s="9">
        <f>Y863*X863</f>
        <v/>
      </c>
      <c r="AA863" s="10">
        <f>IF(W863&gt;$AE$33,1,0)</f>
        <v/>
      </c>
      <c r="AB863">
        <f>IF(AA863=C863,1,0)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$AE$12+D864*$AE$13+E864*$AE$14+F864*$AE$15+G864*$AE$16+H864*$AE$17+I864*$AE$18+J864*$AE$19+K864*$AE$20+L864*$AE$21+M864*$AE$22+N864*$AE$23+O864*$AE$24+P864*$AE$25+Q864*$AE$26+R864*$AE$27+S864*$AE$28+T864*$AE$29+U864*$AE$30</f>
        <v/>
      </c>
      <c r="W864" s="8">
        <f>1/(1+EXP(-V864))</f>
        <v/>
      </c>
      <c r="X864" s="9">
        <f>-IF(C864=1,LN(W864),LN(1-W864))</f>
        <v/>
      </c>
      <c r="Y864" s="8">
        <f>'1 prepared data'!V857</f>
        <v/>
      </c>
      <c r="Z864" s="9">
        <f>Y864*X864</f>
        <v/>
      </c>
      <c r="AA864" s="10">
        <f>IF(W864&gt;$AE$33,1,0)</f>
        <v/>
      </c>
      <c r="AB864">
        <f>IF(AA864=C864,1,0)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$AE$12+D865*$AE$13+E865*$AE$14+F865*$AE$15+G865*$AE$16+H865*$AE$17+I865*$AE$18+J865*$AE$19+K865*$AE$20+L865*$AE$21+M865*$AE$22+N865*$AE$23+O865*$AE$24+P865*$AE$25+Q865*$AE$26+R865*$AE$27+S865*$AE$28+T865*$AE$29+U865*$AE$30</f>
        <v/>
      </c>
      <c r="W865" s="8">
        <f>1/(1+EXP(-V865))</f>
        <v/>
      </c>
      <c r="X865" s="9">
        <f>-IF(C865=1,LN(W865),LN(1-W865))</f>
        <v/>
      </c>
      <c r="Y865" s="8">
        <f>'1 prepared data'!V858</f>
        <v/>
      </c>
      <c r="Z865" s="9">
        <f>Y865*X865</f>
        <v/>
      </c>
      <c r="AA865" s="10">
        <f>IF(W865&gt;$AE$33,1,0)</f>
        <v/>
      </c>
      <c r="AB865">
        <f>IF(AA865=C865,1,0)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$AE$12+D866*$AE$13+E866*$AE$14+F866*$AE$15+G866*$AE$16+H866*$AE$17+I866*$AE$18+J866*$AE$19+K866*$AE$20+L866*$AE$21+M866*$AE$22+N866*$AE$23+O866*$AE$24+P866*$AE$25+Q866*$AE$26+R866*$AE$27+S866*$AE$28+T866*$AE$29+U866*$AE$30</f>
        <v/>
      </c>
      <c r="W866" s="8">
        <f>1/(1+EXP(-V866))</f>
        <v/>
      </c>
      <c r="X866" s="9">
        <f>-IF(C866=1,LN(W866),LN(1-W866))</f>
        <v/>
      </c>
      <c r="Y866" s="8">
        <f>'1 prepared data'!V859</f>
        <v/>
      </c>
      <c r="Z866" s="9">
        <f>Y866*X866</f>
        <v/>
      </c>
      <c r="AA866" s="10">
        <f>IF(W866&gt;$AE$33,1,0)</f>
        <v/>
      </c>
      <c r="AB866">
        <f>IF(AA866=C866,1,0)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$AE$12+D867*$AE$13+E867*$AE$14+F867*$AE$15+G867*$AE$16+H867*$AE$17+I867*$AE$18+J867*$AE$19+K867*$AE$20+L867*$AE$21+M867*$AE$22+N867*$AE$23+O867*$AE$24+P867*$AE$25+Q867*$AE$26+R867*$AE$27+S867*$AE$28+T867*$AE$29+U867*$AE$30</f>
        <v/>
      </c>
      <c r="W867" s="8">
        <f>1/(1+EXP(-V867))</f>
        <v/>
      </c>
      <c r="X867" s="9">
        <f>-IF(C867=1,LN(W867),LN(1-W867))</f>
        <v/>
      </c>
      <c r="Y867" s="8">
        <f>'1 prepared data'!V860</f>
        <v/>
      </c>
      <c r="Z867" s="9">
        <f>Y867*X867</f>
        <v/>
      </c>
      <c r="AA867" s="10">
        <f>IF(W867&gt;$AE$33,1,0)</f>
        <v/>
      </c>
      <c r="AB867">
        <f>IF(AA867=C867,1,0)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$AE$12+D868*$AE$13+E868*$AE$14+F868*$AE$15+G868*$AE$16+H868*$AE$17+I868*$AE$18+J868*$AE$19+K868*$AE$20+L868*$AE$21+M868*$AE$22+N868*$AE$23+O868*$AE$24+P868*$AE$25+Q868*$AE$26+R868*$AE$27+S868*$AE$28+T868*$AE$29+U868*$AE$30</f>
        <v/>
      </c>
      <c r="W868" s="8">
        <f>1/(1+EXP(-V868))</f>
        <v/>
      </c>
      <c r="X868" s="9">
        <f>-IF(C868=1,LN(W868),LN(1-W868))</f>
        <v/>
      </c>
      <c r="Y868" s="8">
        <f>'1 prepared data'!V861</f>
        <v/>
      </c>
      <c r="Z868" s="9">
        <f>Y868*X868</f>
        <v/>
      </c>
      <c r="AA868" s="10">
        <f>IF(W868&gt;$AE$33,1,0)</f>
        <v/>
      </c>
      <c r="AB868">
        <f>IF(AA868=C868,1,0)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$AE$12+D869*$AE$13+E869*$AE$14+F869*$AE$15+G869*$AE$16+H869*$AE$17+I869*$AE$18+J869*$AE$19+K869*$AE$20+L869*$AE$21+M869*$AE$22+N869*$AE$23+O869*$AE$24+P869*$AE$25+Q869*$AE$26+R869*$AE$27+S869*$AE$28+T869*$AE$29+U869*$AE$30</f>
        <v/>
      </c>
      <c r="W869" s="8">
        <f>1/(1+EXP(-V869))</f>
        <v/>
      </c>
      <c r="X869" s="9">
        <f>-IF(C869=1,LN(W869),LN(1-W869))</f>
        <v/>
      </c>
      <c r="Y869" s="8">
        <f>'1 prepared data'!V862</f>
        <v/>
      </c>
      <c r="Z869" s="9">
        <f>Y869*X869</f>
        <v/>
      </c>
      <c r="AA869" s="10">
        <f>IF(W869&gt;$AE$33,1,0)</f>
        <v/>
      </c>
      <c r="AB869">
        <f>IF(AA869=C869,1,0)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$AE$12+D870*$AE$13+E870*$AE$14+F870*$AE$15+G870*$AE$16+H870*$AE$17+I870*$AE$18+J870*$AE$19+K870*$AE$20+L870*$AE$21+M870*$AE$22+N870*$AE$23+O870*$AE$24+P870*$AE$25+Q870*$AE$26+R870*$AE$27+S870*$AE$28+T870*$AE$29+U870*$AE$30</f>
        <v/>
      </c>
      <c r="W870" s="8">
        <f>1/(1+EXP(-V870))</f>
        <v/>
      </c>
      <c r="X870" s="9">
        <f>-IF(C870=1,LN(W870),LN(1-W870))</f>
        <v/>
      </c>
      <c r="Y870" s="8">
        <f>'1 prepared data'!V863</f>
        <v/>
      </c>
      <c r="Z870" s="9">
        <f>Y870*X870</f>
        <v/>
      </c>
      <c r="AA870" s="10">
        <f>IF(W870&gt;$AE$33,1,0)</f>
        <v/>
      </c>
      <c r="AB870">
        <f>IF(AA870=C870,1,0)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$AE$12+D871*$AE$13+E871*$AE$14+F871*$AE$15+G871*$AE$16+H871*$AE$17+I871*$AE$18+J871*$AE$19+K871*$AE$20+L871*$AE$21+M871*$AE$22+N871*$AE$23+O871*$AE$24+P871*$AE$25+Q871*$AE$26+R871*$AE$27+S871*$AE$28+T871*$AE$29+U871*$AE$30</f>
        <v/>
      </c>
      <c r="W871" s="8">
        <f>1/(1+EXP(-V871))</f>
        <v/>
      </c>
      <c r="X871" s="9">
        <f>-IF(C871=1,LN(W871),LN(1-W871))</f>
        <v/>
      </c>
      <c r="Y871" s="8">
        <f>'1 prepared data'!V864</f>
        <v/>
      </c>
      <c r="Z871" s="9">
        <f>Y871*X871</f>
        <v/>
      </c>
      <c r="AA871" s="10">
        <f>IF(W871&gt;$AE$33,1,0)</f>
        <v/>
      </c>
      <c r="AB871">
        <f>IF(AA871=C871,1,0)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$AE$12+D872*$AE$13+E872*$AE$14+F872*$AE$15+G872*$AE$16+H872*$AE$17+I872*$AE$18+J872*$AE$19+K872*$AE$20+L872*$AE$21+M872*$AE$22+N872*$AE$23+O872*$AE$24+P872*$AE$25+Q872*$AE$26+R872*$AE$27+S872*$AE$28+T872*$AE$29+U872*$AE$30</f>
        <v/>
      </c>
      <c r="W872" s="8">
        <f>1/(1+EXP(-V872))</f>
        <v/>
      </c>
      <c r="X872" s="9">
        <f>-IF(C872=1,LN(W872),LN(1-W872))</f>
        <v/>
      </c>
      <c r="Y872" s="8">
        <f>'1 prepared data'!V865</f>
        <v/>
      </c>
      <c r="Z872" s="9">
        <f>Y872*X872</f>
        <v/>
      </c>
      <c r="AA872" s="10">
        <f>IF(W872&gt;$AE$33,1,0)</f>
        <v/>
      </c>
      <c r="AB872">
        <f>IF(AA872=C872,1,0)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$AE$12+D873*$AE$13+E873*$AE$14+F873*$AE$15+G873*$AE$16+H873*$AE$17+I873*$AE$18+J873*$AE$19+K873*$AE$20+L873*$AE$21+M873*$AE$22+N873*$AE$23+O873*$AE$24+P873*$AE$25+Q873*$AE$26+R873*$AE$27+S873*$AE$28+T873*$AE$29+U873*$AE$30</f>
        <v/>
      </c>
      <c r="W873" s="8">
        <f>1/(1+EXP(-V873))</f>
        <v/>
      </c>
      <c r="X873" s="9">
        <f>-IF(C873=1,LN(W873),LN(1-W873))</f>
        <v/>
      </c>
      <c r="Y873" s="8">
        <f>'1 prepared data'!V866</f>
        <v/>
      </c>
      <c r="Z873" s="9">
        <f>Y873*X873</f>
        <v/>
      </c>
      <c r="AA873" s="10">
        <f>IF(W873&gt;$AE$33,1,0)</f>
        <v/>
      </c>
      <c r="AB873">
        <f>IF(AA873=C873,1,0)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$AE$12+D874*$AE$13+E874*$AE$14+F874*$AE$15+G874*$AE$16+H874*$AE$17+I874*$AE$18+J874*$AE$19+K874*$AE$20+L874*$AE$21+M874*$AE$22+N874*$AE$23+O874*$AE$24+P874*$AE$25+Q874*$AE$26+R874*$AE$27+S874*$AE$28+T874*$AE$29+U874*$AE$30</f>
        <v/>
      </c>
      <c r="W874" s="8">
        <f>1/(1+EXP(-V874))</f>
        <v/>
      </c>
      <c r="X874" s="9">
        <f>-IF(C874=1,LN(W874),LN(1-W874))</f>
        <v/>
      </c>
      <c r="Y874" s="8">
        <f>'1 prepared data'!V867</f>
        <v/>
      </c>
      <c r="Z874" s="9">
        <f>Y874*X874</f>
        <v/>
      </c>
      <c r="AA874" s="10">
        <f>IF(W874&gt;$AE$33,1,0)</f>
        <v/>
      </c>
      <c r="AB874">
        <f>IF(AA874=C874,1,0)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$AE$12+D875*$AE$13+E875*$AE$14+F875*$AE$15+G875*$AE$16+H875*$AE$17+I875*$AE$18+J875*$AE$19+K875*$AE$20+L875*$AE$21+M875*$AE$22+N875*$AE$23+O875*$AE$24+P875*$AE$25+Q875*$AE$26+R875*$AE$27+S875*$AE$28+T875*$AE$29+U875*$AE$30</f>
        <v/>
      </c>
      <c r="W875" s="8">
        <f>1/(1+EXP(-V875))</f>
        <v/>
      </c>
      <c r="X875" s="9">
        <f>-IF(C875=1,LN(W875),LN(1-W875))</f>
        <v/>
      </c>
      <c r="Y875" s="8">
        <f>'1 prepared data'!V868</f>
        <v/>
      </c>
      <c r="Z875" s="9">
        <f>Y875*X875</f>
        <v/>
      </c>
      <c r="AA875" s="10">
        <f>IF(W875&gt;$AE$33,1,0)</f>
        <v/>
      </c>
      <c r="AB875">
        <f>IF(AA875=C875,1,0)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$AE$12+D876*$AE$13+E876*$AE$14+F876*$AE$15+G876*$AE$16+H876*$AE$17+I876*$AE$18+J876*$AE$19+K876*$AE$20+L876*$AE$21+M876*$AE$22+N876*$AE$23+O876*$AE$24+P876*$AE$25+Q876*$AE$26+R876*$AE$27+S876*$AE$28+T876*$AE$29+U876*$AE$30</f>
        <v/>
      </c>
      <c r="W876" s="8">
        <f>1/(1+EXP(-V876))</f>
        <v/>
      </c>
      <c r="X876" s="9">
        <f>-IF(C876=1,LN(W876),LN(1-W876))</f>
        <v/>
      </c>
      <c r="Y876" s="8">
        <f>'1 prepared data'!V869</f>
        <v/>
      </c>
      <c r="Z876" s="9">
        <f>Y876*X876</f>
        <v/>
      </c>
      <c r="AA876" s="10">
        <f>IF(W876&gt;$AE$33,1,0)</f>
        <v/>
      </c>
      <c r="AB876">
        <f>IF(AA876=C876,1,0)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$AE$12+D877*$AE$13+E877*$AE$14+F877*$AE$15+G877*$AE$16+H877*$AE$17+I877*$AE$18+J877*$AE$19+K877*$AE$20+L877*$AE$21+M877*$AE$22+N877*$AE$23+O877*$AE$24+P877*$AE$25+Q877*$AE$26+R877*$AE$27+S877*$AE$28+T877*$AE$29+U877*$AE$30</f>
        <v/>
      </c>
      <c r="W877" s="8">
        <f>1/(1+EXP(-V877))</f>
        <v/>
      </c>
      <c r="X877" s="9">
        <f>-IF(C877=1,LN(W877),LN(1-W877))</f>
        <v/>
      </c>
      <c r="Y877" s="8">
        <f>'1 prepared data'!V870</f>
        <v/>
      </c>
      <c r="Z877" s="9">
        <f>Y877*X877</f>
        <v/>
      </c>
      <c r="AA877" s="10">
        <f>IF(W877&gt;$AE$33,1,0)</f>
        <v/>
      </c>
      <c r="AB877">
        <f>IF(AA877=C877,1,0)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$AE$12+D878*$AE$13+E878*$AE$14+F878*$AE$15+G878*$AE$16+H878*$AE$17+I878*$AE$18+J878*$AE$19+K878*$AE$20+L878*$AE$21+M878*$AE$22+N878*$AE$23+O878*$AE$24+P878*$AE$25+Q878*$AE$26+R878*$AE$27+S878*$AE$28+T878*$AE$29+U878*$AE$30</f>
        <v/>
      </c>
      <c r="W878" s="8">
        <f>1/(1+EXP(-V878))</f>
        <v/>
      </c>
      <c r="X878" s="9">
        <f>-IF(C878=1,LN(W878),LN(1-W878))</f>
        <v/>
      </c>
      <c r="Y878" s="8">
        <f>'1 prepared data'!V871</f>
        <v/>
      </c>
      <c r="Z878" s="9">
        <f>Y878*X878</f>
        <v/>
      </c>
      <c r="AA878" s="10">
        <f>IF(W878&gt;$AE$33,1,0)</f>
        <v/>
      </c>
      <c r="AB878">
        <f>IF(AA878=C878,1,0)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$AE$12+D879*$AE$13+E879*$AE$14+F879*$AE$15+G879*$AE$16+H879*$AE$17+I879*$AE$18+J879*$AE$19+K879*$AE$20+L879*$AE$21+M879*$AE$22+N879*$AE$23+O879*$AE$24+P879*$AE$25+Q879*$AE$26+R879*$AE$27+S879*$AE$28+T879*$AE$29+U879*$AE$30</f>
        <v/>
      </c>
      <c r="W879" s="8">
        <f>1/(1+EXP(-V879))</f>
        <v/>
      </c>
      <c r="X879" s="9">
        <f>-IF(C879=1,LN(W879),LN(1-W879))</f>
        <v/>
      </c>
      <c r="Y879" s="8">
        <f>'1 prepared data'!V872</f>
        <v/>
      </c>
      <c r="Z879" s="9">
        <f>Y879*X879</f>
        <v/>
      </c>
      <c r="AA879" s="10">
        <f>IF(W879&gt;$AE$33,1,0)</f>
        <v/>
      </c>
      <c r="AB879">
        <f>IF(AA879=C879,1,0)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$AE$12+D880*$AE$13+E880*$AE$14+F880*$AE$15+G880*$AE$16+H880*$AE$17+I880*$AE$18+J880*$AE$19+K880*$AE$20+L880*$AE$21+M880*$AE$22+N880*$AE$23+O880*$AE$24+P880*$AE$25+Q880*$AE$26+R880*$AE$27+S880*$AE$28+T880*$AE$29+U880*$AE$30</f>
        <v/>
      </c>
      <c r="W880" s="8">
        <f>1/(1+EXP(-V880))</f>
        <v/>
      </c>
      <c r="X880" s="9">
        <f>-IF(C880=1,LN(W880),LN(1-W880))</f>
        <v/>
      </c>
      <c r="Y880" s="8">
        <f>'1 prepared data'!V873</f>
        <v/>
      </c>
      <c r="Z880" s="9">
        <f>Y880*X880</f>
        <v/>
      </c>
      <c r="AA880" s="10">
        <f>IF(W880&gt;$AE$33,1,0)</f>
        <v/>
      </c>
      <c r="AB880">
        <f>IF(AA880=C880,1,0)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$AE$12+D881*$AE$13+E881*$AE$14+F881*$AE$15+G881*$AE$16+H881*$AE$17+I881*$AE$18+J881*$AE$19+K881*$AE$20+L881*$AE$21+M881*$AE$22+N881*$AE$23+O881*$AE$24+P881*$AE$25+Q881*$AE$26+R881*$AE$27+S881*$AE$28+T881*$AE$29+U881*$AE$30</f>
        <v/>
      </c>
      <c r="W881" s="8">
        <f>1/(1+EXP(-V881))</f>
        <v/>
      </c>
      <c r="X881" s="9">
        <f>-IF(C881=1,LN(W881),LN(1-W881))</f>
        <v/>
      </c>
      <c r="Y881" s="8">
        <f>'1 prepared data'!V874</f>
        <v/>
      </c>
      <c r="Z881" s="9">
        <f>Y881*X881</f>
        <v/>
      </c>
      <c r="AA881" s="10">
        <f>IF(W881&gt;$AE$33,1,0)</f>
        <v/>
      </c>
      <c r="AB881">
        <f>IF(AA881=C881,1,0)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$AE$12+D882*$AE$13+E882*$AE$14+F882*$AE$15+G882*$AE$16+H882*$AE$17+I882*$AE$18+J882*$AE$19+K882*$AE$20+L882*$AE$21+M882*$AE$22+N882*$AE$23+O882*$AE$24+P882*$AE$25+Q882*$AE$26+R882*$AE$27+S882*$AE$28+T882*$AE$29+U882*$AE$30</f>
        <v/>
      </c>
      <c r="W882" s="8">
        <f>1/(1+EXP(-V882))</f>
        <v/>
      </c>
      <c r="X882" s="9">
        <f>-IF(C882=1,LN(W882),LN(1-W882))</f>
        <v/>
      </c>
      <c r="Y882" s="8">
        <f>'1 prepared data'!V875</f>
        <v/>
      </c>
      <c r="Z882" s="9">
        <f>Y882*X882</f>
        <v/>
      </c>
      <c r="AA882" s="10">
        <f>IF(W882&gt;$AE$33,1,0)</f>
        <v/>
      </c>
      <c r="AB882">
        <f>IF(AA882=C882,1,0)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$AE$12+D883*$AE$13+E883*$AE$14+F883*$AE$15+G883*$AE$16+H883*$AE$17+I883*$AE$18+J883*$AE$19+K883*$AE$20+L883*$AE$21+M883*$AE$22+N883*$AE$23+O883*$AE$24+P883*$AE$25+Q883*$AE$26+R883*$AE$27+S883*$AE$28+T883*$AE$29+U883*$AE$30</f>
        <v/>
      </c>
      <c r="W883" s="8">
        <f>1/(1+EXP(-V883))</f>
        <v/>
      </c>
      <c r="X883" s="9">
        <f>-IF(C883=1,LN(W883),LN(1-W883))</f>
        <v/>
      </c>
      <c r="Y883" s="8">
        <f>'1 prepared data'!V876</f>
        <v/>
      </c>
      <c r="Z883" s="9">
        <f>Y883*X883</f>
        <v/>
      </c>
      <c r="AA883" s="10">
        <f>IF(W883&gt;$AE$33,1,0)</f>
        <v/>
      </c>
      <c r="AB883">
        <f>IF(AA883=C883,1,0)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$AE$12+D884*$AE$13+E884*$AE$14+F884*$AE$15+G884*$AE$16+H884*$AE$17+I884*$AE$18+J884*$AE$19+K884*$AE$20+L884*$AE$21+M884*$AE$22+N884*$AE$23+O884*$AE$24+P884*$AE$25+Q884*$AE$26+R884*$AE$27+S884*$AE$28+T884*$AE$29+U884*$AE$30</f>
        <v/>
      </c>
      <c r="W884" s="8">
        <f>1/(1+EXP(-V884))</f>
        <v/>
      </c>
      <c r="X884" s="9">
        <f>-IF(C884=1,LN(W884),LN(1-W884))</f>
        <v/>
      </c>
      <c r="Y884" s="8">
        <f>'1 prepared data'!V877</f>
        <v/>
      </c>
      <c r="Z884" s="9">
        <f>Y884*X884</f>
        <v/>
      </c>
      <c r="AA884" s="10">
        <f>IF(W884&gt;$AE$33,1,0)</f>
        <v/>
      </c>
      <c r="AB884">
        <f>IF(AA884=C884,1,0)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$AE$12+D885*$AE$13+E885*$AE$14+F885*$AE$15+G885*$AE$16+H885*$AE$17+I885*$AE$18+J885*$AE$19+K885*$AE$20+L885*$AE$21+M885*$AE$22+N885*$AE$23+O885*$AE$24+P885*$AE$25+Q885*$AE$26+R885*$AE$27+S885*$AE$28+T885*$AE$29+U885*$AE$30</f>
        <v/>
      </c>
      <c r="W885" s="8">
        <f>1/(1+EXP(-V885))</f>
        <v/>
      </c>
      <c r="X885" s="9">
        <f>-IF(C885=1,LN(W885),LN(1-W885))</f>
        <v/>
      </c>
      <c r="Y885" s="8">
        <f>'1 prepared data'!V878</f>
        <v/>
      </c>
      <c r="Z885" s="9">
        <f>Y885*X885</f>
        <v/>
      </c>
      <c r="AA885" s="10">
        <f>IF(W885&gt;$AE$33,1,0)</f>
        <v/>
      </c>
      <c r="AB885">
        <f>IF(AA885=C885,1,0)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$AE$12+D886*$AE$13+E886*$AE$14+F886*$AE$15+G886*$AE$16+H886*$AE$17+I886*$AE$18+J886*$AE$19+K886*$AE$20+L886*$AE$21+M886*$AE$22+N886*$AE$23+O886*$AE$24+P886*$AE$25+Q886*$AE$26+R886*$AE$27+S886*$AE$28+T886*$AE$29+U886*$AE$30</f>
        <v/>
      </c>
      <c r="W886" s="8">
        <f>1/(1+EXP(-V886))</f>
        <v/>
      </c>
      <c r="X886" s="9">
        <f>-IF(C886=1,LN(W886),LN(1-W886))</f>
        <v/>
      </c>
      <c r="Y886" s="8">
        <f>'1 prepared data'!V879</f>
        <v/>
      </c>
      <c r="Z886" s="9">
        <f>Y886*X886</f>
        <v/>
      </c>
      <c r="AA886" s="10">
        <f>IF(W886&gt;$AE$33,1,0)</f>
        <v/>
      </c>
      <c r="AB886">
        <f>IF(AA886=C886,1,0)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$AE$12+D887*$AE$13+E887*$AE$14+F887*$AE$15+G887*$AE$16+H887*$AE$17+I887*$AE$18+J887*$AE$19+K887*$AE$20+L887*$AE$21+M887*$AE$22+N887*$AE$23+O887*$AE$24+P887*$AE$25+Q887*$AE$26+R887*$AE$27+S887*$AE$28+T887*$AE$29+U887*$AE$30</f>
        <v/>
      </c>
      <c r="W887" s="8">
        <f>1/(1+EXP(-V887))</f>
        <v/>
      </c>
      <c r="X887" s="9">
        <f>-IF(C887=1,LN(W887),LN(1-W887))</f>
        <v/>
      </c>
      <c r="Y887" s="8">
        <f>'1 prepared data'!V880</f>
        <v/>
      </c>
      <c r="Z887" s="9">
        <f>Y887*X887</f>
        <v/>
      </c>
      <c r="AA887" s="10">
        <f>IF(W887&gt;$AE$33,1,0)</f>
        <v/>
      </c>
      <c r="AB887">
        <f>IF(AA887=C887,1,0)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$AE$12+D888*$AE$13+E888*$AE$14+F888*$AE$15+G888*$AE$16+H888*$AE$17+I888*$AE$18+J888*$AE$19+K888*$AE$20+L888*$AE$21+M888*$AE$22+N888*$AE$23+O888*$AE$24+P888*$AE$25+Q888*$AE$26+R888*$AE$27+S888*$AE$28+T888*$AE$29+U888*$AE$30</f>
        <v/>
      </c>
      <c r="W888" s="8">
        <f>1/(1+EXP(-V888))</f>
        <v/>
      </c>
      <c r="X888" s="9">
        <f>-IF(C888=1,LN(W888),LN(1-W888))</f>
        <v/>
      </c>
      <c r="Y888" s="8">
        <f>'1 prepared data'!V881</f>
        <v/>
      </c>
      <c r="Z888" s="9">
        <f>Y888*X888</f>
        <v/>
      </c>
      <c r="AA888" s="10">
        <f>IF(W888&gt;$AE$33,1,0)</f>
        <v/>
      </c>
      <c r="AB888">
        <f>IF(AA888=C888,1,0)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$AE$12+D889*$AE$13+E889*$AE$14+F889*$AE$15+G889*$AE$16+H889*$AE$17+I889*$AE$18+J889*$AE$19+K889*$AE$20+L889*$AE$21+M889*$AE$22+N889*$AE$23+O889*$AE$24+P889*$AE$25+Q889*$AE$26+R889*$AE$27+S889*$AE$28+T889*$AE$29+U889*$AE$30</f>
        <v/>
      </c>
      <c r="W889" s="8">
        <f>1/(1+EXP(-V889))</f>
        <v/>
      </c>
      <c r="X889" s="9">
        <f>-IF(C889=1,LN(W889),LN(1-W889))</f>
        <v/>
      </c>
      <c r="Y889" s="8">
        <f>'1 prepared data'!V882</f>
        <v/>
      </c>
      <c r="Z889" s="9">
        <f>Y889*X889</f>
        <v/>
      </c>
      <c r="AA889" s="10">
        <f>IF(W889&gt;$AE$33,1,0)</f>
        <v/>
      </c>
      <c r="AB889">
        <f>IF(AA889=C889,1,0)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$AE$12+D890*$AE$13+E890*$AE$14+F890*$AE$15+G890*$AE$16+H890*$AE$17+I890*$AE$18+J890*$AE$19+K890*$AE$20+L890*$AE$21+M890*$AE$22+N890*$AE$23+O890*$AE$24+P890*$AE$25+Q890*$AE$26+R890*$AE$27+S890*$AE$28+T890*$AE$29+U890*$AE$30</f>
        <v/>
      </c>
      <c r="W890" s="8">
        <f>1/(1+EXP(-V890))</f>
        <v/>
      </c>
      <c r="X890" s="9">
        <f>-IF(C890=1,LN(W890),LN(1-W890))</f>
        <v/>
      </c>
      <c r="Y890" s="8">
        <f>'1 prepared data'!V883</f>
        <v/>
      </c>
      <c r="Z890" s="9">
        <f>Y890*X890</f>
        <v/>
      </c>
      <c r="AA890" s="10">
        <f>IF(W890&gt;$AE$33,1,0)</f>
        <v/>
      </c>
      <c r="AB890">
        <f>IF(AA890=C890,1,0)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$AE$12+D891*$AE$13+E891*$AE$14+F891*$AE$15+G891*$AE$16+H891*$AE$17+I891*$AE$18+J891*$AE$19+K891*$AE$20+L891*$AE$21+M891*$AE$22+N891*$AE$23+O891*$AE$24+P891*$AE$25+Q891*$AE$26+R891*$AE$27+S891*$AE$28+T891*$AE$29+U891*$AE$30</f>
        <v/>
      </c>
      <c r="W891" s="8">
        <f>1/(1+EXP(-V891))</f>
        <v/>
      </c>
      <c r="X891" s="9">
        <f>-IF(C891=1,LN(W891),LN(1-W891))</f>
        <v/>
      </c>
      <c r="Y891" s="8">
        <f>'1 prepared data'!V884</f>
        <v/>
      </c>
      <c r="Z891" s="9">
        <f>Y891*X891</f>
        <v/>
      </c>
      <c r="AA891" s="10">
        <f>IF(W891&gt;$AE$33,1,0)</f>
        <v/>
      </c>
      <c r="AB891">
        <f>IF(AA891=C891,1,0)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$AE$12+D892*$AE$13+E892*$AE$14+F892*$AE$15+G892*$AE$16+H892*$AE$17+I892*$AE$18+J892*$AE$19+K892*$AE$20+L892*$AE$21+M892*$AE$22+N892*$AE$23+O892*$AE$24+P892*$AE$25+Q892*$AE$26+R892*$AE$27+S892*$AE$28+T892*$AE$29+U892*$AE$30</f>
        <v/>
      </c>
      <c r="W892" s="8">
        <f>1/(1+EXP(-V892))</f>
        <v/>
      </c>
      <c r="X892" s="9">
        <f>-IF(C892=1,LN(W892),LN(1-W892))</f>
        <v/>
      </c>
      <c r="Y892" s="8">
        <f>'1 prepared data'!V885</f>
        <v/>
      </c>
      <c r="Z892" s="9">
        <f>Y892*X892</f>
        <v/>
      </c>
      <c r="AA892" s="10">
        <f>IF(W892&gt;$AE$33,1,0)</f>
        <v/>
      </c>
      <c r="AB892">
        <f>IF(AA892=C892,1,0)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$AE$12+D893*$AE$13+E893*$AE$14+F893*$AE$15+G893*$AE$16+H893*$AE$17+I893*$AE$18+J893*$AE$19+K893*$AE$20+L893*$AE$21+M893*$AE$22+N893*$AE$23+O893*$AE$24+P893*$AE$25+Q893*$AE$26+R893*$AE$27+S893*$AE$28+T893*$AE$29+U893*$AE$30</f>
        <v/>
      </c>
      <c r="W893" s="8">
        <f>1/(1+EXP(-V893))</f>
        <v/>
      </c>
      <c r="X893" s="9">
        <f>-IF(C893=1,LN(W893),LN(1-W893))</f>
        <v/>
      </c>
      <c r="Y893" s="8">
        <f>'1 prepared data'!V886</f>
        <v/>
      </c>
      <c r="Z893" s="9">
        <f>Y893*X893</f>
        <v/>
      </c>
      <c r="AA893" s="10">
        <f>IF(W893&gt;$AE$33,1,0)</f>
        <v/>
      </c>
      <c r="AB893">
        <f>IF(AA893=C893,1,0)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$AE$12+D894*$AE$13+E894*$AE$14+F894*$AE$15+G894*$AE$16+H894*$AE$17+I894*$AE$18+J894*$AE$19+K894*$AE$20+L894*$AE$21+M894*$AE$22+N894*$AE$23+O894*$AE$24+P894*$AE$25+Q894*$AE$26+R894*$AE$27+S894*$AE$28+T894*$AE$29+U894*$AE$30</f>
        <v/>
      </c>
      <c r="W894" s="8">
        <f>1/(1+EXP(-V894))</f>
        <v/>
      </c>
      <c r="X894" s="9">
        <f>-IF(C894=1,LN(W894),LN(1-W894))</f>
        <v/>
      </c>
      <c r="Y894" s="8">
        <f>'1 prepared data'!V887</f>
        <v/>
      </c>
      <c r="Z894" s="9">
        <f>Y894*X894</f>
        <v/>
      </c>
      <c r="AA894" s="10">
        <f>IF(W894&gt;$AE$33,1,0)</f>
        <v/>
      </c>
      <c r="AB894">
        <f>IF(AA894=C894,1,0)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$AE$12+D895*$AE$13+E895*$AE$14+F895*$AE$15+G895*$AE$16+H895*$AE$17+I895*$AE$18+J895*$AE$19+K895*$AE$20+L895*$AE$21+M895*$AE$22+N895*$AE$23+O895*$AE$24+P895*$AE$25+Q895*$AE$26+R895*$AE$27+S895*$AE$28+T895*$AE$29+U895*$AE$30</f>
        <v/>
      </c>
      <c r="W895" s="8">
        <f>1/(1+EXP(-V895))</f>
        <v/>
      </c>
      <c r="X895" s="9">
        <f>-IF(C895=1,LN(W895),LN(1-W895))</f>
        <v/>
      </c>
      <c r="Y895" s="8">
        <f>'1 prepared data'!V888</f>
        <v/>
      </c>
      <c r="Z895" s="9">
        <f>Y895*X895</f>
        <v/>
      </c>
      <c r="AA895" s="10">
        <f>IF(W895&gt;$AE$33,1,0)</f>
        <v/>
      </c>
      <c r="AB895">
        <f>IF(AA895=C895,1,0)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$AE$12+D896*$AE$13+E896*$AE$14+F896*$AE$15+G896*$AE$16+H896*$AE$17+I896*$AE$18+J896*$AE$19+K896*$AE$20+L896*$AE$21+M896*$AE$22+N896*$AE$23+O896*$AE$24+P896*$AE$25+Q896*$AE$26+R896*$AE$27+S896*$AE$28+T896*$AE$29+U896*$AE$30</f>
        <v/>
      </c>
      <c r="W896" s="8">
        <f>1/(1+EXP(-V896))</f>
        <v/>
      </c>
      <c r="X896" s="9">
        <f>-IF(C896=1,LN(W896),LN(1-W896))</f>
        <v/>
      </c>
      <c r="Y896" s="8">
        <f>'1 prepared data'!V889</f>
        <v/>
      </c>
      <c r="Z896" s="9">
        <f>Y896*X896</f>
        <v/>
      </c>
      <c r="AA896" s="10">
        <f>IF(W896&gt;$AE$33,1,0)</f>
        <v/>
      </c>
      <c r="AB896">
        <f>IF(AA896=C896,1,0)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$AE$12+D897*$AE$13+E897*$AE$14+F897*$AE$15+G897*$AE$16+H897*$AE$17+I897*$AE$18+J897*$AE$19+K897*$AE$20+L897*$AE$21+M897*$AE$22+N897*$AE$23+O897*$AE$24+P897*$AE$25+Q897*$AE$26+R897*$AE$27+S897*$AE$28+T897*$AE$29+U897*$AE$30</f>
        <v/>
      </c>
      <c r="W897" s="8">
        <f>1/(1+EXP(-V897))</f>
        <v/>
      </c>
      <c r="X897" s="9">
        <f>-IF(C897=1,LN(W897),LN(1-W897))</f>
        <v/>
      </c>
      <c r="Y897" s="8">
        <f>'1 prepared data'!V890</f>
        <v/>
      </c>
      <c r="Z897" s="9">
        <f>Y897*X897</f>
        <v/>
      </c>
      <c r="AA897" s="10">
        <f>IF(W897&gt;$AE$33,1,0)</f>
        <v/>
      </c>
      <c r="AB897">
        <f>IF(AA897=C897,1,0)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$AE$12+D898*$AE$13+E898*$AE$14+F898*$AE$15+G898*$AE$16+H898*$AE$17+I898*$AE$18+J898*$AE$19+K898*$AE$20+L898*$AE$21+M898*$AE$22+N898*$AE$23+O898*$AE$24+P898*$AE$25+Q898*$AE$26+R898*$AE$27+S898*$AE$28+T898*$AE$29+U898*$AE$30</f>
        <v/>
      </c>
      <c r="W898" s="8">
        <f>1/(1+EXP(-V898))</f>
        <v/>
      </c>
      <c r="X898" s="9">
        <f>-IF(C898=1,LN(W898),LN(1-W898))</f>
        <v/>
      </c>
      <c r="Y898" s="8">
        <f>'1 prepared data'!V891</f>
        <v/>
      </c>
      <c r="Z898" s="9">
        <f>Y898*X898</f>
        <v/>
      </c>
      <c r="AA898" s="10">
        <f>IF(W898&gt;$AE$33,1,0)</f>
        <v/>
      </c>
      <c r="AB898">
        <f>IF(AA898=C898,1,0)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$AE$12+D899*$AE$13+E899*$AE$14+F899*$AE$15+G899*$AE$16+H899*$AE$17+I899*$AE$18+J899*$AE$19+K899*$AE$20+L899*$AE$21+M899*$AE$22+N899*$AE$23+O899*$AE$24+P899*$AE$25+Q899*$AE$26+R899*$AE$27+S899*$AE$28+T899*$AE$29+U899*$AE$30</f>
        <v/>
      </c>
      <c r="W899" s="8">
        <f>1/(1+EXP(-V899))</f>
        <v/>
      </c>
      <c r="X899" s="9">
        <f>-IF(C899=1,LN(W899),LN(1-W899))</f>
        <v/>
      </c>
      <c r="Y899" s="8">
        <f>'1 prepared data'!V892</f>
        <v/>
      </c>
      <c r="Z899" s="9">
        <f>Y899*X899</f>
        <v/>
      </c>
      <c r="AA899" s="10">
        <f>IF(W899&gt;$AE$33,1,0)</f>
        <v/>
      </c>
      <c r="AB899">
        <f>IF(AA899=C899,1,0)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$AE$12+D900*$AE$13+E900*$AE$14+F900*$AE$15+G900*$AE$16+H900*$AE$17+I900*$AE$18+J900*$AE$19+K900*$AE$20+L900*$AE$21+M900*$AE$22+N900*$AE$23+O900*$AE$24+P900*$AE$25+Q900*$AE$26+R900*$AE$27+S900*$AE$28+T900*$AE$29+U900*$AE$30</f>
        <v/>
      </c>
      <c r="W900" s="8">
        <f>1/(1+EXP(-V900))</f>
        <v/>
      </c>
      <c r="X900" s="9">
        <f>-IF(C900=1,LN(W900),LN(1-W900))</f>
        <v/>
      </c>
      <c r="Y900" s="8">
        <f>'1 prepared data'!V893</f>
        <v/>
      </c>
      <c r="Z900" s="9">
        <f>Y900*X900</f>
        <v/>
      </c>
      <c r="AA900" s="10">
        <f>IF(W900&gt;$AE$33,1,0)</f>
        <v/>
      </c>
      <c r="AB900">
        <f>IF(AA900=C900,1,0)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$AE$12+D901*$AE$13+E901*$AE$14+F901*$AE$15+G901*$AE$16+H901*$AE$17+I901*$AE$18+J901*$AE$19+K901*$AE$20+L901*$AE$21+M901*$AE$22+N901*$AE$23+O901*$AE$24+P901*$AE$25+Q901*$AE$26+R901*$AE$27+S901*$AE$28+T901*$AE$29+U901*$AE$30</f>
        <v/>
      </c>
      <c r="W901" s="8">
        <f>1/(1+EXP(-V901))</f>
        <v/>
      </c>
      <c r="X901" s="9">
        <f>-IF(C901=1,LN(W901),LN(1-W901))</f>
        <v/>
      </c>
      <c r="Y901" s="8">
        <f>'1 prepared data'!V894</f>
        <v/>
      </c>
      <c r="Z901" s="9">
        <f>Y901*X901</f>
        <v/>
      </c>
      <c r="AA901" s="10">
        <f>IF(W901&gt;$AE$33,1,0)</f>
        <v/>
      </c>
      <c r="AB901">
        <f>IF(AA901=C901,1,0)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$AE$12+D902*$AE$13+E902*$AE$14+F902*$AE$15+G902*$AE$16+H902*$AE$17+I902*$AE$18+J902*$AE$19+K902*$AE$20+L902*$AE$21+M902*$AE$22+N902*$AE$23+O902*$AE$24+P902*$AE$25+Q902*$AE$26+R902*$AE$27+S902*$AE$28+T902*$AE$29+U902*$AE$30</f>
        <v/>
      </c>
      <c r="W902" s="8">
        <f>1/(1+EXP(-V902))</f>
        <v/>
      </c>
      <c r="X902" s="9">
        <f>-IF(C902=1,LN(W902),LN(1-W902))</f>
        <v/>
      </c>
      <c r="Y902" s="8">
        <f>'1 prepared data'!V895</f>
        <v/>
      </c>
      <c r="Z902" s="9">
        <f>Y902*X902</f>
        <v/>
      </c>
      <c r="AA902" s="10">
        <f>IF(W902&gt;$AE$33,1,0)</f>
        <v/>
      </c>
      <c r="AB902">
        <f>IF(AA902=C902,1,0)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$AE$12+D903*$AE$13+E903*$AE$14+F903*$AE$15+G903*$AE$16+H903*$AE$17+I903*$AE$18+J903*$AE$19+K903*$AE$20+L903*$AE$21+M903*$AE$22+N903*$AE$23+O903*$AE$24+P903*$AE$25+Q903*$AE$26+R903*$AE$27+S903*$AE$28+T903*$AE$29+U903*$AE$30</f>
        <v/>
      </c>
      <c r="W903" s="8">
        <f>1/(1+EXP(-V903))</f>
        <v/>
      </c>
      <c r="X903" s="9">
        <f>-IF(C903=1,LN(W903),LN(1-W903))</f>
        <v/>
      </c>
      <c r="Y903" s="8">
        <f>'1 prepared data'!V896</f>
        <v/>
      </c>
      <c r="Z903" s="9">
        <f>Y903*X903</f>
        <v/>
      </c>
      <c r="AA903" s="10">
        <f>IF(W903&gt;$AE$33,1,0)</f>
        <v/>
      </c>
      <c r="AB903">
        <f>IF(AA903=C903,1,0)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$AE$12+D904*$AE$13+E904*$AE$14+F904*$AE$15+G904*$AE$16+H904*$AE$17+I904*$AE$18+J904*$AE$19+K904*$AE$20+L904*$AE$21+M904*$AE$22+N904*$AE$23+O904*$AE$24+P904*$AE$25+Q904*$AE$26+R904*$AE$27+S904*$AE$28+T904*$AE$29+U904*$AE$30</f>
        <v/>
      </c>
      <c r="W904" s="8">
        <f>1/(1+EXP(-V904))</f>
        <v/>
      </c>
      <c r="X904" s="9">
        <f>-IF(C904=1,LN(W904),LN(1-W904))</f>
        <v/>
      </c>
      <c r="Y904" s="8">
        <f>'1 prepared data'!V897</f>
        <v/>
      </c>
      <c r="Z904" s="9">
        <f>Y904*X904</f>
        <v/>
      </c>
      <c r="AA904" s="10">
        <f>IF(W904&gt;$AE$33,1,0)</f>
        <v/>
      </c>
      <c r="AB904">
        <f>IF(AA904=C904,1,0)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$AE$12+D905*$AE$13+E905*$AE$14+F905*$AE$15+G905*$AE$16+H905*$AE$17+I905*$AE$18+J905*$AE$19+K905*$AE$20+L905*$AE$21+M905*$AE$22+N905*$AE$23+O905*$AE$24+P905*$AE$25+Q905*$AE$26+R905*$AE$27+S905*$AE$28+T905*$AE$29+U905*$AE$30</f>
        <v/>
      </c>
      <c r="W905" s="8">
        <f>1/(1+EXP(-V905))</f>
        <v/>
      </c>
      <c r="X905" s="9">
        <f>-IF(C905=1,LN(W905),LN(1-W905))</f>
        <v/>
      </c>
      <c r="Y905" s="8">
        <f>'1 prepared data'!V898</f>
        <v/>
      </c>
      <c r="Z905" s="9">
        <f>Y905*X905</f>
        <v/>
      </c>
      <c r="AA905" s="10">
        <f>IF(W905&gt;$AE$33,1,0)</f>
        <v/>
      </c>
      <c r="AB905">
        <f>IF(AA905=C905,1,0)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$AE$12+D906*$AE$13+E906*$AE$14+F906*$AE$15+G906*$AE$16+H906*$AE$17+I906*$AE$18+J906*$AE$19+K906*$AE$20+L906*$AE$21+M906*$AE$22+N906*$AE$23+O906*$AE$24+P906*$AE$25+Q906*$AE$26+R906*$AE$27+S906*$AE$28+T906*$AE$29+U906*$AE$30</f>
        <v/>
      </c>
      <c r="W906" s="8">
        <f>1/(1+EXP(-V906))</f>
        <v/>
      </c>
      <c r="X906" s="9">
        <f>-IF(C906=1,LN(W906),LN(1-W906))</f>
        <v/>
      </c>
      <c r="Y906" s="8">
        <f>'1 prepared data'!V899</f>
        <v/>
      </c>
      <c r="Z906" s="9">
        <f>Y906*X906</f>
        <v/>
      </c>
      <c r="AA906" s="10">
        <f>IF(W906&gt;$AE$33,1,0)</f>
        <v/>
      </c>
      <c r="AB906">
        <f>IF(AA906=C906,1,0)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$AE$12+D907*$AE$13+E907*$AE$14+F907*$AE$15+G907*$AE$16+H907*$AE$17+I907*$AE$18+J907*$AE$19+K907*$AE$20+L907*$AE$21+M907*$AE$22+N907*$AE$23+O907*$AE$24+P907*$AE$25+Q907*$AE$26+R907*$AE$27+S907*$AE$28+T907*$AE$29+U907*$AE$30</f>
        <v/>
      </c>
      <c r="W907" s="8">
        <f>1/(1+EXP(-V907))</f>
        <v/>
      </c>
      <c r="X907" s="9">
        <f>-IF(C907=1,LN(W907),LN(1-W907))</f>
        <v/>
      </c>
      <c r="Y907" s="8">
        <f>'1 prepared data'!V900</f>
        <v/>
      </c>
      <c r="Z907" s="9">
        <f>Y907*X907</f>
        <v/>
      </c>
      <c r="AA907" s="10">
        <f>IF(W907&gt;$AE$33,1,0)</f>
        <v/>
      </c>
      <c r="AB907">
        <f>IF(AA907=C907,1,0)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$AE$12+D908*$AE$13+E908*$AE$14+F908*$AE$15+G908*$AE$16+H908*$AE$17+I908*$AE$18+J908*$AE$19+K908*$AE$20+L908*$AE$21+M908*$AE$22+N908*$AE$23+O908*$AE$24+P908*$AE$25+Q908*$AE$26+R908*$AE$27+S908*$AE$28+T908*$AE$29+U908*$AE$30</f>
        <v/>
      </c>
      <c r="W908" s="8">
        <f>1/(1+EXP(-V908))</f>
        <v/>
      </c>
      <c r="X908" s="9">
        <f>-IF(C908=1,LN(W908),LN(1-W908))</f>
        <v/>
      </c>
      <c r="Y908" s="8">
        <f>'1 prepared data'!V901</f>
        <v/>
      </c>
      <c r="Z908" s="9">
        <f>Y908*X908</f>
        <v/>
      </c>
      <c r="AA908" s="10">
        <f>IF(W908&gt;$AE$33,1,0)</f>
        <v/>
      </c>
      <c r="AB908">
        <f>IF(AA908=C908,1,0)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$AE$12+D909*$AE$13+E909*$AE$14+F909*$AE$15+G909*$AE$16+H909*$AE$17+I909*$AE$18+J909*$AE$19+K909*$AE$20+L909*$AE$21+M909*$AE$22+N909*$AE$23+O909*$AE$24+P909*$AE$25+Q909*$AE$26+R909*$AE$27+S909*$AE$28+T909*$AE$29+U909*$AE$30</f>
        <v/>
      </c>
      <c r="W909" s="8">
        <f>1/(1+EXP(-V909))</f>
        <v/>
      </c>
      <c r="X909" s="9">
        <f>-IF(C909=1,LN(W909),LN(1-W909))</f>
        <v/>
      </c>
      <c r="Y909" s="8">
        <f>'1 prepared data'!V902</f>
        <v/>
      </c>
      <c r="Z909" s="9">
        <f>Y909*X909</f>
        <v/>
      </c>
      <c r="AA909" s="10">
        <f>IF(W909&gt;$AE$33,1,0)</f>
        <v/>
      </c>
      <c r="AB909">
        <f>IF(AA909=C909,1,0)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$AE$12+D910*$AE$13+E910*$AE$14+F910*$AE$15+G910*$AE$16+H910*$AE$17+I910*$AE$18+J910*$AE$19+K910*$AE$20+L910*$AE$21+M910*$AE$22+N910*$AE$23+O910*$AE$24+P910*$AE$25+Q910*$AE$26+R910*$AE$27+S910*$AE$28+T910*$AE$29+U910*$AE$30</f>
        <v/>
      </c>
      <c r="W910" s="8">
        <f>1/(1+EXP(-V910))</f>
        <v/>
      </c>
      <c r="X910" s="9">
        <f>-IF(C910=1,LN(W910),LN(1-W910))</f>
        <v/>
      </c>
      <c r="Y910" s="8">
        <f>'1 prepared data'!V903</f>
        <v/>
      </c>
      <c r="Z910" s="9">
        <f>Y910*X910</f>
        <v/>
      </c>
      <c r="AA910" s="10">
        <f>IF(W910&gt;$AE$33,1,0)</f>
        <v/>
      </c>
      <c r="AB910">
        <f>IF(AA910=C910,1,0)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$AE$12+D911*$AE$13+E911*$AE$14+F911*$AE$15+G911*$AE$16+H911*$AE$17+I911*$AE$18+J911*$AE$19+K911*$AE$20+L911*$AE$21+M911*$AE$22+N911*$AE$23+O911*$AE$24+P911*$AE$25+Q911*$AE$26+R911*$AE$27+S911*$AE$28+T911*$AE$29+U911*$AE$30</f>
        <v/>
      </c>
      <c r="W911" s="8">
        <f>1/(1+EXP(-V911))</f>
        <v/>
      </c>
      <c r="X911" s="9">
        <f>-IF(C911=1,LN(W911),LN(1-W911))</f>
        <v/>
      </c>
      <c r="Y911" s="8">
        <f>'1 prepared data'!V904</f>
        <v/>
      </c>
      <c r="Z911" s="9">
        <f>Y911*X911</f>
        <v/>
      </c>
      <c r="AA911" s="10">
        <f>IF(W911&gt;$AE$33,1,0)</f>
        <v/>
      </c>
      <c r="AB911">
        <f>IF(AA911=C911,1,0)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$AE$12+D912*$AE$13+E912*$AE$14+F912*$AE$15+G912*$AE$16+H912*$AE$17+I912*$AE$18+J912*$AE$19+K912*$AE$20+L912*$AE$21+M912*$AE$22+N912*$AE$23+O912*$AE$24+P912*$AE$25+Q912*$AE$26+R912*$AE$27+S912*$AE$28+T912*$AE$29+U912*$AE$30</f>
        <v/>
      </c>
      <c r="W912" s="8">
        <f>1/(1+EXP(-V912))</f>
        <v/>
      </c>
      <c r="X912" s="9">
        <f>-IF(C912=1,LN(W912),LN(1-W912))</f>
        <v/>
      </c>
      <c r="Y912" s="8">
        <f>'1 prepared data'!V905</f>
        <v/>
      </c>
      <c r="Z912" s="9">
        <f>Y912*X912</f>
        <v/>
      </c>
      <c r="AA912" s="10">
        <f>IF(W912&gt;$AE$33,1,0)</f>
        <v/>
      </c>
      <c r="AB912">
        <f>IF(AA912=C912,1,0)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$AE$12+D913*$AE$13+E913*$AE$14+F913*$AE$15+G913*$AE$16+H913*$AE$17+I913*$AE$18+J913*$AE$19+K913*$AE$20+L913*$AE$21+M913*$AE$22+N913*$AE$23+O913*$AE$24+P913*$AE$25+Q913*$AE$26+R913*$AE$27+S913*$AE$28+T913*$AE$29+U913*$AE$30</f>
        <v/>
      </c>
      <c r="W913" s="8">
        <f>1/(1+EXP(-V913))</f>
        <v/>
      </c>
      <c r="X913" s="9">
        <f>-IF(C913=1,LN(W913),LN(1-W913))</f>
        <v/>
      </c>
      <c r="Y913" s="8">
        <f>'1 prepared data'!V906</f>
        <v/>
      </c>
      <c r="Z913" s="9">
        <f>Y913*X913</f>
        <v/>
      </c>
      <c r="AA913" s="10">
        <f>IF(W913&gt;$AE$33,1,0)</f>
        <v/>
      </c>
      <c r="AB913">
        <f>IF(AA913=C913,1,0)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$AE$12+D914*$AE$13+E914*$AE$14+F914*$AE$15+G914*$AE$16+H914*$AE$17+I914*$AE$18+J914*$AE$19+K914*$AE$20+L914*$AE$21+M914*$AE$22+N914*$AE$23+O914*$AE$24+P914*$AE$25+Q914*$AE$26+R914*$AE$27+S914*$AE$28+T914*$AE$29+U914*$AE$30</f>
        <v/>
      </c>
      <c r="W914" s="8">
        <f>1/(1+EXP(-V914))</f>
        <v/>
      </c>
      <c r="X914" s="9">
        <f>-IF(C914=1,LN(W914),LN(1-W914))</f>
        <v/>
      </c>
      <c r="Y914" s="8">
        <f>'1 prepared data'!V907</f>
        <v/>
      </c>
      <c r="Z914" s="9">
        <f>Y914*X914</f>
        <v/>
      </c>
      <c r="AA914" s="10">
        <f>IF(W914&gt;$AE$33,1,0)</f>
        <v/>
      </c>
      <c r="AB914">
        <f>IF(AA914=C914,1,0)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$AE$12+D915*$AE$13+E915*$AE$14+F915*$AE$15+G915*$AE$16+H915*$AE$17+I915*$AE$18+J915*$AE$19+K915*$AE$20+L915*$AE$21+M915*$AE$22+N915*$AE$23+O915*$AE$24+P915*$AE$25+Q915*$AE$26+R915*$AE$27+S915*$AE$28+T915*$AE$29+U915*$AE$30</f>
        <v/>
      </c>
      <c r="W915" s="8">
        <f>1/(1+EXP(-V915))</f>
        <v/>
      </c>
      <c r="X915" s="9">
        <f>-IF(C915=1,LN(W915),LN(1-W915))</f>
        <v/>
      </c>
      <c r="Y915" s="8">
        <f>'1 prepared data'!V908</f>
        <v/>
      </c>
      <c r="Z915" s="9">
        <f>Y915*X915</f>
        <v/>
      </c>
      <c r="AA915" s="10">
        <f>IF(W915&gt;$AE$33,1,0)</f>
        <v/>
      </c>
      <c r="AB915">
        <f>IF(AA915=C915,1,0)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$AE$12+D916*$AE$13+E916*$AE$14+F916*$AE$15+G916*$AE$16+H916*$AE$17+I916*$AE$18+J916*$AE$19+K916*$AE$20+L916*$AE$21+M916*$AE$22+N916*$AE$23+O916*$AE$24+P916*$AE$25+Q916*$AE$26+R916*$AE$27+S916*$AE$28+T916*$AE$29+U916*$AE$30</f>
        <v/>
      </c>
      <c r="W916" s="8">
        <f>1/(1+EXP(-V916))</f>
        <v/>
      </c>
      <c r="X916" s="9">
        <f>-IF(C916=1,LN(W916),LN(1-W916))</f>
        <v/>
      </c>
      <c r="Y916" s="8">
        <f>'1 prepared data'!V909</f>
        <v/>
      </c>
      <c r="Z916" s="9">
        <f>Y916*X916</f>
        <v/>
      </c>
      <c r="AA916" s="10">
        <f>IF(W916&gt;$AE$33,1,0)</f>
        <v/>
      </c>
      <c r="AB916">
        <f>IF(AA916=C916,1,0)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$AE$12+D917*$AE$13+E917*$AE$14+F917*$AE$15+G917*$AE$16+H917*$AE$17+I917*$AE$18+J917*$AE$19+K917*$AE$20+L917*$AE$21+M917*$AE$22+N917*$AE$23+O917*$AE$24+P917*$AE$25+Q917*$AE$26+R917*$AE$27+S917*$AE$28+T917*$AE$29+U917*$AE$30</f>
        <v/>
      </c>
      <c r="W917" s="8">
        <f>1/(1+EXP(-V917))</f>
        <v/>
      </c>
      <c r="X917" s="9">
        <f>-IF(C917=1,LN(W917),LN(1-W917))</f>
        <v/>
      </c>
      <c r="Y917" s="8">
        <f>'1 prepared data'!V910</f>
        <v/>
      </c>
      <c r="Z917" s="9">
        <f>Y917*X917</f>
        <v/>
      </c>
      <c r="AA917" s="10">
        <f>IF(W917&gt;$AE$33,1,0)</f>
        <v/>
      </c>
      <c r="AB917">
        <f>IF(AA917=C917,1,0)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$AE$12+D918*$AE$13+E918*$AE$14+F918*$AE$15+G918*$AE$16+H918*$AE$17+I918*$AE$18+J918*$AE$19+K918*$AE$20+L918*$AE$21+M918*$AE$22+N918*$AE$23+O918*$AE$24+P918*$AE$25+Q918*$AE$26+R918*$AE$27+S918*$AE$28+T918*$AE$29+U918*$AE$30</f>
        <v/>
      </c>
      <c r="W918" s="8">
        <f>1/(1+EXP(-V918))</f>
        <v/>
      </c>
      <c r="X918" s="9">
        <f>-IF(C918=1,LN(W918),LN(1-W918))</f>
        <v/>
      </c>
      <c r="Y918" s="8">
        <f>'1 prepared data'!V911</f>
        <v/>
      </c>
      <c r="Z918" s="9">
        <f>Y918*X918</f>
        <v/>
      </c>
      <c r="AA918" s="10">
        <f>IF(W918&gt;$AE$33,1,0)</f>
        <v/>
      </c>
      <c r="AB918">
        <f>IF(AA918=C918,1,0)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$AE$12+D919*$AE$13+E919*$AE$14+F919*$AE$15+G919*$AE$16+H919*$AE$17+I919*$AE$18+J919*$AE$19+K919*$AE$20+L919*$AE$21+M919*$AE$22+N919*$AE$23+O919*$AE$24+P919*$AE$25+Q919*$AE$26+R919*$AE$27+S919*$AE$28+T919*$AE$29+U919*$AE$30</f>
        <v/>
      </c>
      <c r="W919" s="8">
        <f>1/(1+EXP(-V919))</f>
        <v/>
      </c>
      <c r="X919" s="9">
        <f>-IF(C919=1,LN(W919),LN(1-W919))</f>
        <v/>
      </c>
      <c r="Y919" s="8">
        <f>'1 prepared data'!V912</f>
        <v/>
      </c>
      <c r="Z919" s="9">
        <f>Y919*X919</f>
        <v/>
      </c>
      <c r="AA919" s="10">
        <f>IF(W919&gt;$AE$33,1,0)</f>
        <v/>
      </c>
      <c r="AB919">
        <f>IF(AA919=C919,1,0)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$AE$12+D920*$AE$13+E920*$AE$14+F920*$AE$15+G920*$AE$16+H920*$AE$17+I920*$AE$18+J920*$AE$19+K920*$AE$20+L920*$AE$21+M920*$AE$22+N920*$AE$23+O920*$AE$24+P920*$AE$25+Q920*$AE$26+R920*$AE$27+S920*$AE$28+T920*$AE$29+U920*$AE$30</f>
        <v/>
      </c>
      <c r="W920" s="8">
        <f>1/(1+EXP(-V920))</f>
        <v/>
      </c>
      <c r="X920" s="9">
        <f>-IF(C920=1,LN(W920),LN(1-W920))</f>
        <v/>
      </c>
      <c r="Y920" s="8">
        <f>'1 prepared data'!V913</f>
        <v/>
      </c>
      <c r="Z920" s="9">
        <f>Y920*X920</f>
        <v/>
      </c>
      <c r="AA920" s="10">
        <f>IF(W920&gt;$AE$33,1,0)</f>
        <v/>
      </c>
      <c r="AB920">
        <f>IF(AA920=C920,1,0)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$AE$12+D921*$AE$13+E921*$AE$14+F921*$AE$15+G921*$AE$16+H921*$AE$17+I921*$AE$18+J921*$AE$19+K921*$AE$20+L921*$AE$21+M921*$AE$22+N921*$AE$23+O921*$AE$24+P921*$AE$25+Q921*$AE$26+R921*$AE$27+S921*$AE$28+T921*$AE$29+U921*$AE$30</f>
        <v/>
      </c>
      <c r="W921" s="8">
        <f>1/(1+EXP(-V921))</f>
        <v/>
      </c>
      <c r="X921" s="9">
        <f>-IF(C921=1,LN(W921),LN(1-W921))</f>
        <v/>
      </c>
      <c r="Y921" s="8">
        <f>'1 prepared data'!V914</f>
        <v/>
      </c>
      <c r="Z921" s="9">
        <f>Y921*X921</f>
        <v/>
      </c>
      <c r="AA921" s="10">
        <f>IF(W921&gt;$AE$33,1,0)</f>
        <v/>
      </c>
      <c r="AB921">
        <f>IF(AA921=C921,1,0)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$AE$12+D922*$AE$13+E922*$AE$14+F922*$AE$15+G922*$AE$16+H922*$AE$17+I922*$AE$18+J922*$AE$19+K922*$AE$20+L922*$AE$21+M922*$AE$22+N922*$AE$23+O922*$AE$24+P922*$AE$25+Q922*$AE$26+R922*$AE$27+S922*$AE$28+T922*$AE$29+U922*$AE$30</f>
        <v/>
      </c>
      <c r="W922" s="8">
        <f>1/(1+EXP(-V922))</f>
        <v/>
      </c>
      <c r="X922" s="9">
        <f>-IF(C922=1,LN(W922),LN(1-W922))</f>
        <v/>
      </c>
      <c r="Y922" s="8">
        <f>'1 prepared data'!V915</f>
        <v/>
      </c>
      <c r="Z922" s="9">
        <f>Y922*X922</f>
        <v/>
      </c>
      <c r="AA922" s="10">
        <f>IF(W922&gt;$AE$33,1,0)</f>
        <v/>
      </c>
      <c r="AB922">
        <f>IF(AA922=C922,1,0)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$AE$12+D923*$AE$13+E923*$AE$14+F923*$AE$15+G923*$AE$16+H923*$AE$17+I923*$AE$18+J923*$AE$19+K923*$AE$20+L923*$AE$21+M923*$AE$22+N923*$AE$23+O923*$AE$24+P923*$AE$25+Q923*$AE$26+R923*$AE$27+S923*$AE$28+T923*$AE$29+U923*$AE$30</f>
        <v/>
      </c>
      <c r="W923" s="8">
        <f>1/(1+EXP(-V923))</f>
        <v/>
      </c>
      <c r="X923" s="9">
        <f>-IF(C923=1,LN(W923),LN(1-W923))</f>
        <v/>
      </c>
      <c r="Y923" s="8">
        <f>'1 prepared data'!V916</f>
        <v/>
      </c>
      <c r="Z923" s="9">
        <f>Y923*X923</f>
        <v/>
      </c>
      <c r="AA923" s="10">
        <f>IF(W923&gt;$AE$33,1,0)</f>
        <v/>
      </c>
      <c r="AB923">
        <f>IF(AA923=C923,1,0)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$AE$12+D924*$AE$13+E924*$AE$14+F924*$AE$15+G924*$AE$16+H924*$AE$17+I924*$AE$18+J924*$AE$19+K924*$AE$20+L924*$AE$21+M924*$AE$22+N924*$AE$23+O924*$AE$24+P924*$AE$25+Q924*$AE$26+R924*$AE$27+S924*$AE$28+T924*$AE$29+U924*$AE$30</f>
        <v/>
      </c>
      <c r="W924" s="8">
        <f>1/(1+EXP(-V924))</f>
        <v/>
      </c>
      <c r="X924" s="9">
        <f>-IF(C924=1,LN(W924),LN(1-W924))</f>
        <v/>
      </c>
      <c r="Y924" s="8">
        <f>'1 prepared data'!V917</f>
        <v/>
      </c>
      <c r="Z924" s="9">
        <f>Y924*X924</f>
        <v/>
      </c>
      <c r="AA924" s="10">
        <f>IF(W924&gt;$AE$33,1,0)</f>
        <v/>
      </c>
      <c r="AB924">
        <f>IF(AA924=C924,1,0)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$AE$12+D925*$AE$13+E925*$AE$14+F925*$AE$15+G925*$AE$16+H925*$AE$17+I925*$AE$18+J925*$AE$19+K925*$AE$20+L925*$AE$21+M925*$AE$22+N925*$AE$23+O925*$AE$24+P925*$AE$25+Q925*$AE$26+R925*$AE$27+S925*$AE$28+T925*$AE$29+U925*$AE$30</f>
        <v/>
      </c>
      <c r="W925" s="8">
        <f>1/(1+EXP(-V925))</f>
        <v/>
      </c>
      <c r="X925" s="9">
        <f>-IF(C925=1,LN(W925),LN(1-W925))</f>
        <v/>
      </c>
      <c r="Y925" s="8">
        <f>'1 prepared data'!V918</f>
        <v/>
      </c>
      <c r="Z925" s="9">
        <f>Y925*X925</f>
        <v/>
      </c>
      <c r="AA925" s="10">
        <f>IF(W925&gt;$AE$33,1,0)</f>
        <v/>
      </c>
      <c r="AB925">
        <f>IF(AA925=C925,1,0)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$AE$12+D926*$AE$13+E926*$AE$14+F926*$AE$15+G926*$AE$16+H926*$AE$17+I926*$AE$18+J926*$AE$19+K926*$AE$20+L926*$AE$21+M926*$AE$22+N926*$AE$23+O926*$AE$24+P926*$AE$25+Q926*$AE$26+R926*$AE$27+S926*$AE$28+T926*$AE$29+U926*$AE$30</f>
        <v/>
      </c>
      <c r="W926" s="8">
        <f>1/(1+EXP(-V926))</f>
        <v/>
      </c>
      <c r="X926" s="9">
        <f>-IF(C926=1,LN(W926),LN(1-W926))</f>
        <v/>
      </c>
      <c r="Y926" s="8">
        <f>'1 prepared data'!V919</f>
        <v/>
      </c>
      <c r="Z926" s="9">
        <f>Y926*X926</f>
        <v/>
      </c>
      <c r="AA926" s="10">
        <f>IF(W926&gt;$AE$33,1,0)</f>
        <v/>
      </c>
      <c r="AB926">
        <f>IF(AA926=C926,1,0)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$AE$12+D927*$AE$13+E927*$AE$14+F927*$AE$15+G927*$AE$16+H927*$AE$17+I927*$AE$18+J927*$AE$19+K927*$AE$20+L927*$AE$21+M927*$AE$22+N927*$AE$23+O927*$AE$24+P927*$AE$25+Q927*$AE$26+R927*$AE$27+S927*$AE$28+T927*$AE$29+U927*$AE$30</f>
        <v/>
      </c>
      <c r="W927" s="8">
        <f>1/(1+EXP(-V927))</f>
        <v/>
      </c>
      <c r="X927" s="9">
        <f>-IF(C927=1,LN(W927),LN(1-W927))</f>
        <v/>
      </c>
      <c r="Y927" s="8">
        <f>'1 prepared data'!V920</f>
        <v/>
      </c>
      <c r="Z927" s="9">
        <f>Y927*X927</f>
        <v/>
      </c>
      <c r="AA927" s="10">
        <f>IF(W927&gt;$AE$33,1,0)</f>
        <v/>
      </c>
      <c r="AB927">
        <f>IF(AA927=C927,1,0)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$AE$12+D928*$AE$13+E928*$AE$14+F928*$AE$15+G928*$AE$16+H928*$AE$17+I928*$AE$18+J928*$AE$19+K928*$AE$20+L928*$AE$21+M928*$AE$22+N928*$AE$23+O928*$AE$24+P928*$AE$25+Q928*$AE$26+R928*$AE$27+S928*$AE$28+T928*$AE$29+U928*$AE$30</f>
        <v/>
      </c>
      <c r="W928" s="8">
        <f>1/(1+EXP(-V928))</f>
        <v/>
      </c>
      <c r="X928" s="9">
        <f>-IF(C928=1,LN(W928),LN(1-W928))</f>
        <v/>
      </c>
      <c r="Y928" s="8">
        <f>'1 prepared data'!V921</f>
        <v/>
      </c>
      <c r="Z928" s="9">
        <f>Y928*X928</f>
        <v/>
      </c>
      <c r="AA928" s="10">
        <f>IF(W928&gt;$AE$33,1,0)</f>
        <v/>
      </c>
      <c r="AB928">
        <f>IF(AA928=C928,1,0)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$AE$12+D929*$AE$13+E929*$AE$14+F929*$AE$15+G929*$AE$16+H929*$AE$17+I929*$AE$18+J929*$AE$19+K929*$AE$20+L929*$AE$21+M929*$AE$22+N929*$AE$23+O929*$AE$24+P929*$AE$25+Q929*$AE$26+R929*$AE$27+S929*$AE$28+T929*$AE$29+U929*$AE$30</f>
        <v/>
      </c>
      <c r="W929" s="8">
        <f>1/(1+EXP(-V929))</f>
        <v/>
      </c>
      <c r="X929" s="9">
        <f>-IF(C929=1,LN(W929),LN(1-W929))</f>
        <v/>
      </c>
      <c r="Y929" s="8">
        <f>'1 prepared data'!V922</f>
        <v/>
      </c>
      <c r="Z929" s="9">
        <f>Y929*X929</f>
        <v/>
      </c>
      <c r="AA929" s="10">
        <f>IF(W929&gt;$AE$33,1,0)</f>
        <v/>
      </c>
      <c r="AB929">
        <f>IF(AA929=C929,1,0)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$AE$12+D930*$AE$13+E930*$AE$14+F930*$AE$15+G930*$AE$16+H930*$AE$17+I930*$AE$18+J930*$AE$19+K930*$AE$20+L930*$AE$21+M930*$AE$22+N930*$AE$23+O930*$AE$24+P930*$AE$25+Q930*$AE$26+R930*$AE$27+S930*$AE$28+T930*$AE$29+U930*$AE$30</f>
        <v/>
      </c>
      <c r="W930" s="8">
        <f>1/(1+EXP(-V930))</f>
        <v/>
      </c>
      <c r="X930" s="9">
        <f>-IF(C930=1,LN(W930),LN(1-W930))</f>
        <v/>
      </c>
      <c r="Y930" s="8">
        <f>'1 prepared data'!V923</f>
        <v/>
      </c>
      <c r="Z930" s="9">
        <f>Y930*X930</f>
        <v/>
      </c>
      <c r="AA930" s="10">
        <f>IF(W930&gt;$AE$33,1,0)</f>
        <v/>
      </c>
      <c r="AB930">
        <f>IF(AA930=C930,1,0)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$AE$12+D931*$AE$13+E931*$AE$14+F931*$AE$15+G931*$AE$16+H931*$AE$17+I931*$AE$18+J931*$AE$19+K931*$AE$20+L931*$AE$21+M931*$AE$22+N931*$AE$23+O931*$AE$24+P931*$AE$25+Q931*$AE$26+R931*$AE$27+S931*$AE$28+T931*$AE$29+U931*$AE$30</f>
        <v/>
      </c>
      <c r="W931" s="8">
        <f>1/(1+EXP(-V931))</f>
        <v/>
      </c>
      <c r="X931" s="9">
        <f>-IF(C931=1,LN(W931),LN(1-W931))</f>
        <v/>
      </c>
      <c r="Y931" s="8">
        <f>'1 prepared data'!V924</f>
        <v/>
      </c>
      <c r="Z931" s="9">
        <f>Y931*X931</f>
        <v/>
      </c>
      <c r="AA931" s="10">
        <f>IF(W931&gt;$AE$33,1,0)</f>
        <v/>
      </c>
      <c r="AB931">
        <f>IF(AA931=C931,1,0)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$AE$12+D932*$AE$13+E932*$AE$14+F932*$AE$15+G932*$AE$16+H932*$AE$17+I932*$AE$18+J932*$AE$19+K932*$AE$20+L932*$AE$21+M932*$AE$22+N932*$AE$23+O932*$AE$24+P932*$AE$25+Q932*$AE$26+R932*$AE$27+S932*$AE$28+T932*$AE$29+U932*$AE$30</f>
        <v/>
      </c>
      <c r="W932" s="8">
        <f>1/(1+EXP(-V932))</f>
        <v/>
      </c>
      <c r="X932" s="9">
        <f>-IF(C932=1,LN(W932),LN(1-W932))</f>
        <v/>
      </c>
      <c r="Y932" s="8">
        <f>'1 prepared data'!V925</f>
        <v/>
      </c>
      <c r="Z932" s="9">
        <f>Y932*X932</f>
        <v/>
      </c>
      <c r="AA932" s="10">
        <f>IF(W932&gt;$AE$33,1,0)</f>
        <v/>
      </c>
      <c r="AB932">
        <f>IF(AA932=C932,1,0)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$AE$12+D933*$AE$13+E933*$AE$14+F933*$AE$15+G933*$AE$16+H933*$AE$17+I933*$AE$18+J933*$AE$19+K933*$AE$20+L933*$AE$21+M933*$AE$22+N933*$AE$23+O933*$AE$24+P933*$AE$25+Q933*$AE$26+R933*$AE$27+S933*$AE$28+T933*$AE$29+U933*$AE$30</f>
        <v/>
      </c>
      <c r="W933" s="8">
        <f>1/(1+EXP(-V933))</f>
        <v/>
      </c>
      <c r="X933" s="9">
        <f>-IF(C933=1,LN(W933),LN(1-W933))</f>
        <v/>
      </c>
      <c r="Y933" s="8">
        <f>'1 prepared data'!V926</f>
        <v/>
      </c>
      <c r="Z933" s="9">
        <f>Y933*X933</f>
        <v/>
      </c>
      <c r="AA933" s="10">
        <f>IF(W933&gt;$AE$33,1,0)</f>
        <v/>
      </c>
      <c r="AB933">
        <f>IF(AA933=C933,1,0)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$AE$12+D934*$AE$13+E934*$AE$14+F934*$AE$15+G934*$AE$16+H934*$AE$17+I934*$AE$18+J934*$AE$19+K934*$AE$20+L934*$AE$21+M934*$AE$22+N934*$AE$23+O934*$AE$24+P934*$AE$25+Q934*$AE$26+R934*$AE$27+S934*$AE$28+T934*$AE$29+U934*$AE$30</f>
        <v/>
      </c>
      <c r="W934" s="8">
        <f>1/(1+EXP(-V934))</f>
        <v/>
      </c>
      <c r="X934" s="9">
        <f>-IF(C934=1,LN(W934),LN(1-W934))</f>
        <v/>
      </c>
      <c r="Y934" s="8">
        <f>'1 prepared data'!V927</f>
        <v/>
      </c>
      <c r="Z934" s="9">
        <f>Y934*X934</f>
        <v/>
      </c>
      <c r="AA934" s="10">
        <f>IF(W934&gt;$AE$33,1,0)</f>
        <v/>
      </c>
      <c r="AB934">
        <f>IF(AA934=C934,1,0)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$AE$12+D935*$AE$13+E935*$AE$14+F935*$AE$15+G935*$AE$16+H935*$AE$17+I935*$AE$18+J935*$AE$19+K935*$AE$20+L935*$AE$21+M935*$AE$22+N935*$AE$23+O935*$AE$24+P935*$AE$25+Q935*$AE$26+R935*$AE$27+S935*$AE$28+T935*$AE$29+U935*$AE$30</f>
        <v/>
      </c>
      <c r="W935" s="8">
        <f>1/(1+EXP(-V935))</f>
        <v/>
      </c>
      <c r="X935" s="9">
        <f>-IF(C935=1,LN(W935),LN(1-W935))</f>
        <v/>
      </c>
      <c r="Y935" s="8">
        <f>'1 prepared data'!V928</f>
        <v/>
      </c>
      <c r="Z935" s="9">
        <f>Y935*X935</f>
        <v/>
      </c>
      <c r="AA935" s="10">
        <f>IF(W935&gt;$AE$33,1,0)</f>
        <v/>
      </c>
      <c r="AB935">
        <f>IF(AA935=C935,1,0)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$AE$12+D936*$AE$13+E936*$AE$14+F936*$AE$15+G936*$AE$16+H936*$AE$17+I936*$AE$18+J936*$AE$19+K936*$AE$20+L936*$AE$21+M936*$AE$22+N936*$AE$23+O936*$AE$24+P936*$AE$25+Q936*$AE$26+R936*$AE$27+S936*$AE$28+T936*$AE$29+U936*$AE$30</f>
        <v/>
      </c>
      <c r="W936" s="8">
        <f>1/(1+EXP(-V936))</f>
        <v/>
      </c>
      <c r="X936" s="9">
        <f>-IF(C936=1,LN(W936),LN(1-W936))</f>
        <v/>
      </c>
      <c r="Y936" s="8">
        <f>'1 prepared data'!V929</f>
        <v/>
      </c>
      <c r="Z936" s="9">
        <f>Y936*X936</f>
        <v/>
      </c>
      <c r="AA936" s="10">
        <f>IF(W936&gt;$AE$33,1,0)</f>
        <v/>
      </c>
      <c r="AB936">
        <f>IF(AA936=C936,1,0)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$AE$12+D937*$AE$13+E937*$AE$14+F937*$AE$15+G937*$AE$16+H937*$AE$17+I937*$AE$18+J937*$AE$19+K937*$AE$20+L937*$AE$21+M937*$AE$22+N937*$AE$23+O937*$AE$24+P937*$AE$25+Q937*$AE$26+R937*$AE$27+S937*$AE$28+T937*$AE$29+U937*$AE$30</f>
        <v/>
      </c>
      <c r="W937" s="8">
        <f>1/(1+EXP(-V937))</f>
        <v/>
      </c>
      <c r="X937" s="9">
        <f>-IF(C937=1,LN(W937),LN(1-W937))</f>
        <v/>
      </c>
      <c r="Y937" s="8">
        <f>'1 prepared data'!V930</f>
        <v/>
      </c>
      <c r="Z937" s="9">
        <f>Y937*X937</f>
        <v/>
      </c>
      <c r="AA937" s="10">
        <f>IF(W937&gt;$AE$33,1,0)</f>
        <v/>
      </c>
      <c r="AB937">
        <f>IF(AA937=C937,1,0)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$AE$12+D938*$AE$13+E938*$AE$14+F938*$AE$15+G938*$AE$16+H938*$AE$17+I938*$AE$18+J938*$AE$19+K938*$AE$20+L938*$AE$21+M938*$AE$22+N938*$AE$23+O938*$AE$24+P938*$AE$25+Q938*$AE$26+R938*$AE$27+S938*$AE$28+T938*$AE$29+U938*$AE$30</f>
        <v/>
      </c>
      <c r="W938" s="8">
        <f>1/(1+EXP(-V938))</f>
        <v/>
      </c>
      <c r="X938" s="9">
        <f>-IF(C938=1,LN(W938),LN(1-W938))</f>
        <v/>
      </c>
      <c r="Y938" s="8">
        <f>'1 prepared data'!V931</f>
        <v/>
      </c>
      <c r="Z938" s="9">
        <f>Y938*X938</f>
        <v/>
      </c>
      <c r="AA938" s="10">
        <f>IF(W938&gt;$AE$33,1,0)</f>
        <v/>
      </c>
      <c r="AB938">
        <f>IF(AA938=C938,1,0)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$AE$12+D939*$AE$13+E939*$AE$14+F939*$AE$15+G939*$AE$16+H939*$AE$17+I939*$AE$18+J939*$AE$19+K939*$AE$20+L939*$AE$21+M939*$AE$22+N939*$AE$23+O939*$AE$24+P939*$AE$25+Q939*$AE$26+R939*$AE$27+S939*$AE$28+T939*$AE$29+U939*$AE$30</f>
        <v/>
      </c>
      <c r="W939" s="8">
        <f>1/(1+EXP(-V939))</f>
        <v/>
      </c>
      <c r="X939" s="9">
        <f>-IF(C939=1,LN(W939),LN(1-W939))</f>
        <v/>
      </c>
      <c r="Y939" s="8">
        <f>'1 prepared data'!V932</f>
        <v/>
      </c>
      <c r="Z939" s="9">
        <f>Y939*X939</f>
        <v/>
      </c>
      <c r="AA939" s="10">
        <f>IF(W939&gt;$AE$33,1,0)</f>
        <v/>
      </c>
      <c r="AB939">
        <f>IF(AA939=C939,1,0)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$AE$12+D940*$AE$13+E940*$AE$14+F940*$AE$15+G940*$AE$16+H940*$AE$17+I940*$AE$18+J940*$AE$19+K940*$AE$20+L940*$AE$21+M940*$AE$22+N940*$AE$23+O940*$AE$24+P940*$AE$25+Q940*$AE$26+R940*$AE$27+S940*$AE$28+T940*$AE$29+U940*$AE$30</f>
        <v/>
      </c>
      <c r="W940" s="8">
        <f>1/(1+EXP(-V940))</f>
        <v/>
      </c>
      <c r="X940" s="9">
        <f>-IF(C940=1,LN(W940),LN(1-W940))</f>
        <v/>
      </c>
      <c r="Y940" s="8">
        <f>'1 prepared data'!V933</f>
        <v/>
      </c>
      <c r="Z940" s="9">
        <f>Y940*X940</f>
        <v/>
      </c>
      <c r="AA940" s="10">
        <f>IF(W940&gt;$AE$33,1,0)</f>
        <v/>
      </c>
      <c r="AB940">
        <f>IF(AA940=C940,1,0)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$AE$12+D941*$AE$13+E941*$AE$14+F941*$AE$15+G941*$AE$16+H941*$AE$17+I941*$AE$18+J941*$AE$19+K941*$AE$20+L941*$AE$21+M941*$AE$22+N941*$AE$23+O941*$AE$24+P941*$AE$25+Q941*$AE$26+R941*$AE$27+S941*$AE$28+T941*$AE$29+U941*$AE$30</f>
        <v/>
      </c>
      <c r="W941" s="8">
        <f>1/(1+EXP(-V941))</f>
        <v/>
      </c>
      <c r="X941" s="9">
        <f>-IF(C941=1,LN(W941),LN(1-W941))</f>
        <v/>
      </c>
      <c r="Y941" s="8">
        <f>'1 prepared data'!V934</f>
        <v/>
      </c>
      <c r="Z941" s="9">
        <f>Y941*X941</f>
        <v/>
      </c>
      <c r="AA941" s="10">
        <f>IF(W941&gt;$AE$33,1,0)</f>
        <v/>
      </c>
      <c r="AB941">
        <f>IF(AA941=C941,1,0)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$AE$12+D942*$AE$13+E942*$AE$14+F942*$AE$15+G942*$AE$16+H942*$AE$17+I942*$AE$18+J942*$AE$19+K942*$AE$20+L942*$AE$21+M942*$AE$22+N942*$AE$23+O942*$AE$24+P942*$AE$25+Q942*$AE$26+R942*$AE$27+S942*$AE$28+T942*$AE$29+U942*$AE$30</f>
        <v/>
      </c>
      <c r="W942" s="8">
        <f>1/(1+EXP(-V942))</f>
        <v/>
      </c>
      <c r="X942" s="9">
        <f>-IF(C942=1,LN(W942),LN(1-W942))</f>
        <v/>
      </c>
      <c r="Y942" s="8">
        <f>'1 prepared data'!V935</f>
        <v/>
      </c>
      <c r="Z942" s="9">
        <f>Y942*X942</f>
        <v/>
      </c>
      <c r="AA942" s="10">
        <f>IF(W942&gt;$AE$33,1,0)</f>
        <v/>
      </c>
      <c r="AB942">
        <f>IF(AA942=C942,1,0)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$AE$12+D943*$AE$13+E943*$AE$14+F943*$AE$15+G943*$AE$16+H943*$AE$17+I943*$AE$18+J943*$AE$19+K943*$AE$20+L943*$AE$21+M943*$AE$22+N943*$AE$23+O943*$AE$24+P943*$AE$25+Q943*$AE$26+R943*$AE$27+S943*$AE$28+T943*$AE$29+U943*$AE$30</f>
        <v/>
      </c>
      <c r="W943" s="8">
        <f>1/(1+EXP(-V943))</f>
        <v/>
      </c>
      <c r="X943" s="9">
        <f>-IF(C943=1,LN(W943),LN(1-W943))</f>
        <v/>
      </c>
      <c r="Y943" s="8">
        <f>'1 prepared data'!V936</f>
        <v/>
      </c>
      <c r="Z943" s="9">
        <f>Y943*X943</f>
        <v/>
      </c>
      <c r="AA943" s="10">
        <f>IF(W943&gt;$AE$33,1,0)</f>
        <v/>
      </c>
      <c r="AB943">
        <f>IF(AA943=C943,1,0)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$AE$12+D944*$AE$13+E944*$AE$14+F944*$AE$15+G944*$AE$16+H944*$AE$17+I944*$AE$18+J944*$AE$19+K944*$AE$20+L944*$AE$21+M944*$AE$22+N944*$AE$23+O944*$AE$24+P944*$AE$25+Q944*$AE$26+R944*$AE$27+S944*$AE$28+T944*$AE$29+U944*$AE$30</f>
        <v/>
      </c>
      <c r="W944" s="8">
        <f>1/(1+EXP(-V944))</f>
        <v/>
      </c>
      <c r="X944" s="9">
        <f>-IF(C944=1,LN(W944),LN(1-W944))</f>
        <v/>
      </c>
      <c r="Y944" s="8">
        <f>'1 prepared data'!V937</f>
        <v/>
      </c>
      <c r="Z944" s="9">
        <f>Y944*X944</f>
        <v/>
      </c>
      <c r="AA944" s="10">
        <f>IF(W944&gt;$AE$33,1,0)</f>
        <v/>
      </c>
      <c r="AB944">
        <f>IF(AA944=C944,1,0)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$AE$12+D945*$AE$13+E945*$AE$14+F945*$AE$15+G945*$AE$16+H945*$AE$17+I945*$AE$18+J945*$AE$19+K945*$AE$20+L945*$AE$21+M945*$AE$22+N945*$AE$23+O945*$AE$24+P945*$AE$25+Q945*$AE$26+R945*$AE$27+S945*$AE$28+T945*$AE$29+U945*$AE$30</f>
        <v/>
      </c>
      <c r="W945" s="8">
        <f>1/(1+EXP(-V945))</f>
        <v/>
      </c>
      <c r="X945" s="9">
        <f>-IF(C945=1,LN(W945),LN(1-W945))</f>
        <v/>
      </c>
      <c r="Y945" s="8">
        <f>'1 prepared data'!V938</f>
        <v/>
      </c>
      <c r="Z945" s="9">
        <f>Y945*X945</f>
        <v/>
      </c>
      <c r="AA945" s="10">
        <f>IF(W945&gt;$AE$33,1,0)</f>
        <v/>
      </c>
      <c r="AB945">
        <f>IF(AA945=C945,1,0)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$AE$12+D946*$AE$13+E946*$AE$14+F946*$AE$15+G946*$AE$16+H946*$AE$17+I946*$AE$18+J946*$AE$19+K946*$AE$20+L946*$AE$21+M946*$AE$22+N946*$AE$23+O946*$AE$24+P946*$AE$25+Q946*$AE$26+R946*$AE$27+S946*$AE$28+T946*$AE$29+U946*$AE$30</f>
        <v/>
      </c>
      <c r="W946" s="8">
        <f>1/(1+EXP(-V946))</f>
        <v/>
      </c>
      <c r="X946" s="9">
        <f>-IF(C946=1,LN(W946),LN(1-W946))</f>
        <v/>
      </c>
      <c r="Y946" s="8">
        <f>'1 prepared data'!V939</f>
        <v/>
      </c>
      <c r="Z946" s="9">
        <f>Y946*X946</f>
        <v/>
      </c>
      <c r="AA946" s="10">
        <f>IF(W946&gt;$AE$33,1,0)</f>
        <v/>
      </c>
      <c r="AB946">
        <f>IF(AA946=C946,1,0)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$AE$12+D947*$AE$13+E947*$AE$14+F947*$AE$15+G947*$AE$16+H947*$AE$17+I947*$AE$18+J947*$AE$19+K947*$AE$20+L947*$AE$21+M947*$AE$22+N947*$AE$23+O947*$AE$24+P947*$AE$25+Q947*$AE$26+R947*$AE$27+S947*$AE$28+T947*$AE$29+U947*$AE$30</f>
        <v/>
      </c>
      <c r="W947" s="8">
        <f>1/(1+EXP(-V947))</f>
        <v/>
      </c>
      <c r="X947" s="9">
        <f>-IF(C947=1,LN(W947),LN(1-W947))</f>
        <v/>
      </c>
      <c r="Y947" s="8">
        <f>'1 prepared data'!V940</f>
        <v/>
      </c>
      <c r="Z947" s="9">
        <f>Y947*X947</f>
        <v/>
      </c>
      <c r="AA947" s="10">
        <f>IF(W947&gt;$AE$33,1,0)</f>
        <v/>
      </c>
      <c r="AB947">
        <f>IF(AA947=C947,1,0)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$AE$12+D948*$AE$13+E948*$AE$14+F948*$AE$15+G948*$AE$16+H948*$AE$17+I948*$AE$18+J948*$AE$19+K948*$AE$20+L948*$AE$21+M948*$AE$22+N948*$AE$23+O948*$AE$24+P948*$AE$25+Q948*$AE$26+R948*$AE$27+S948*$AE$28+T948*$AE$29+U948*$AE$30</f>
        <v/>
      </c>
      <c r="W948" s="8">
        <f>1/(1+EXP(-V948))</f>
        <v/>
      </c>
      <c r="X948" s="9">
        <f>-IF(C948=1,LN(W948),LN(1-W948))</f>
        <v/>
      </c>
      <c r="Y948" s="8">
        <f>'1 prepared data'!V941</f>
        <v/>
      </c>
      <c r="Z948" s="9">
        <f>Y948*X948</f>
        <v/>
      </c>
      <c r="AA948" s="10">
        <f>IF(W948&gt;$AE$33,1,0)</f>
        <v/>
      </c>
      <c r="AB948">
        <f>IF(AA948=C948,1,0)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$AE$12+D949*$AE$13+E949*$AE$14+F949*$AE$15+G949*$AE$16+H949*$AE$17+I949*$AE$18+J949*$AE$19+K949*$AE$20+L949*$AE$21+M949*$AE$22+N949*$AE$23+O949*$AE$24+P949*$AE$25+Q949*$AE$26+R949*$AE$27+S949*$AE$28+T949*$AE$29+U949*$AE$30</f>
        <v/>
      </c>
      <c r="W949" s="8">
        <f>1/(1+EXP(-V949))</f>
        <v/>
      </c>
      <c r="X949" s="9">
        <f>-IF(C949=1,LN(W949),LN(1-W949))</f>
        <v/>
      </c>
      <c r="Y949" s="8">
        <f>'1 prepared data'!V942</f>
        <v/>
      </c>
      <c r="Z949" s="9">
        <f>Y949*X949</f>
        <v/>
      </c>
      <c r="AA949" s="10">
        <f>IF(W949&gt;$AE$33,1,0)</f>
        <v/>
      </c>
      <c r="AB949">
        <f>IF(AA949=C949,1,0)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$AE$12+D950*$AE$13+E950*$AE$14+F950*$AE$15+G950*$AE$16+H950*$AE$17+I950*$AE$18+J950*$AE$19+K950*$AE$20+L950*$AE$21+M950*$AE$22+N950*$AE$23+O950*$AE$24+P950*$AE$25+Q950*$AE$26+R950*$AE$27+S950*$AE$28+T950*$AE$29+U950*$AE$30</f>
        <v/>
      </c>
      <c r="W950" s="8">
        <f>1/(1+EXP(-V950))</f>
        <v/>
      </c>
      <c r="X950" s="9">
        <f>-IF(C950=1,LN(W950),LN(1-W950))</f>
        <v/>
      </c>
      <c r="Y950" s="8">
        <f>'1 prepared data'!V943</f>
        <v/>
      </c>
      <c r="Z950" s="9">
        <f>Y950*X950</f>
        <v/>
      </c>
      <c r="AA950" s="10">
        <f>IF(W950&gt;$AE$33,1,0)</f>
        <v/>
      </c>
      <c r="AB950">
        <f>IF(AA950=C950,1,0)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$AE$12+D951*$AE$13+E951*$AE$14+F951*$AE$15+G951*$AE$16+H951*$AE$17+I951*$AE$18+J951*$AE$19+K951*$AE$20+L951*$AE$21+M951*$AE$22+N951*$AE$23+O951*$AE$24+P951*$AE$25+Q951*$AE$26+R951*$AE$27+S951*$AE$28+T951*$AE$29+U951*$AE$30</f>
        <v/>
      </c>
      <c r="W951" s="8">
        <f>1/(1+EXP(-V951))</f>
        <v/>
      </c>
      <c r="X951" s="9">
        <f>-IF(C951=1,LN(W951),LN(1-W951))</f>
        <v/>
      </c>
      <c r="Y951" s="8">
        <f>'1 prepared data'!V944</f>
        <v/>
      </c>
      <c r="Z951" s="9">
        <f>Y951*X951</f>
        <v/>
      </c>
      <c r="AA951" s="10">
        <f>IF(W951&gt;$AE$33,1,0)</f>
        <v/>
      </c>
      <c r="AB951">
        <f>IF(AA951=C951,1,0)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$AE$12+D952*$AE$13+E952*$AE$14+F952*$AE$15+G952*$AE$16+H952*$AE$17+I952*$AE$18+J952*$AE$19+K952*$AE$20+L952*$AE$21+M952*$AE$22+N952*$AE$23+O952*$AE$24+P952*$AE$25+Q952*$AE$26+R952*$AE$27+S952*$AE$28+T952*$AE$29+U952*$AE$30</f>
        <v/>
      </c>
      <c r="W952" s="8">
        <f>1/(1+EXP(-V952))</f>
        <v/>
      </c>
      <c r="X952" s="9">
        <f>-IF(C952=1,LN(W952),LN(1-W952))</f>
        <v/>
      </c>
      <c r="Y952" s="8">
        <f>'1 prepared data'!V945</f>
        <v/>
      </c>
      <c r="Z952" s="9">
        <f>Y952*X952</f>
        <v/>
      </c>
      <c r="AA952" s="10">
        <f>IF(W952&gt;$AE$33,1,0)</f>
        <v/>
      </c>
      <c r="AB952">
        <f>IF(AA952=C952,1,0)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$AE$12+D953*$AE$13+E953*$AE$14+F953*$AE$15+G953*$AE$16+H953*$AE$17+I953*$AE$18+J953*$AE$19+K953*$AE$20+L953*$AE$21+M953*$AE$22+N953*$AE$23+O953*$AE$24+P953*$AE$25+Q953*$AE$26+R953*$AE$27+S953*$AE$28+T953*$AE$29+U953*$AE$30</f>
        <v/>
      </c>
      <c r="W953" s="8">
        <f>1/(1+EXP(-V953))</f>
        <v/>
      </c>
      <c r="X953" s="9">
        <f>-IF(C953=1,LN(W953),LN(1-W953))</f>
        <v/>
      </c>
      <c r="Y953" s="8">
        <f>'1 prepared data'!V946</f>
        <v/>
      </c>
      <c r="Z953" s="9">
        <f>Y953*X953</f>
        <v/>
      </c>
      <c r="AA953" s="10">
        <f>IF(W953&gt;$AE$33,1,0)</f>
        <v/>
      </c>
      <c r="AB953">
        <f>IF(AA953=C953,1,0)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$AE$12+D954*$AE$13+E954*$AE$14+F954*$AE$15+G954*$AE$16+H954*$AE$17+I954*$AE$18+J954*$AE$19+K954*$AE$20+L954*$AE$21+M954*$AE$22+N954*$AE$23+O954*$AE$24+P954*$AE$25+Q954*$AE$26+R954*$AE$27+S954*$AE$28+T954*$AE$29+U954*$AE$30</f>
        <v/>
      </c>
      <c r="W954" s="8">
        <f>1/(1+EXP(-V954))</f>
        <v/>
      </c>
      <c r="X954" s="9">
        <f>-IF(C954=1,LN(W954),LN(1-W954))</f>
        <v/>
      </c>
      <c r="Y954" s="8">
        <f>'1 prepared data'!V947</f>
        <v/>
      </c>
      <c r="Z954" s="9">
        <f>Y954*X954</f>
        <v/>
      </c>
      <c r="AA954" s="10">
        <f>IF(W954&gt;$AE$33,1,0)</f>
        <v/>
      </c>
      <c r="AB954">
        <f>IF(AA954=C954,1,0)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$AE$12+D955*$AE$13+E955*$AE$14+F955*$AE$15+G955*$AE$16+H955*$AE$17+I955*$AE$18+J955*$AE$19+K955*$AE$20+L955*$AE$21+M955*$AE$22+N955*$AE$23+O955*$AE$24+P955*$AE$25+Q955*$AE$26+R955*$AE$27+S955*$AE$28+T955*$AE$29+U955*$AE$30</f>
        <v/>
      </c>
      <c r="W955" s="8">
        <f>1/(1+EXP(-V955))</f>
        <v/>
      </c>
      <c r="X955" s="9">
        <f>-IF(C955=1,LN(W955),LN(1-W955))</f>
        <v/>
      </c>
      <c r="Y955" s="8">
        <f>'1 prepared data'!V948</f>
        <v/>
      </c>
      <c r="Z955" s="9">
        <f>Y955*X955</f>
        <v/>
      </c>
      <c r="AA955" s="10">
        <f>IF(W955&gt;$AE$33,1,0)</f>
        <v/>
      </c>
      <c r="AB955">
        <f>IF(AA955=C955,1,0)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$AE$12+D956*$AE$13+E956*$AE$14+F956*$AE$15+G956*$AE$16+H956*$AE$17+I956*$AE$18+J956*$AE$19+K956*$AE$20+L956*$AE$21+M956*$AE$22+N956*$AE$23+O956*$AE$24+P956*$AE$25+Q956*$AE$26+R956*$AE$27+S956*$AE$28+T956*$AE$29+U956*$AE$30</f>
        <v/>
      </c>
      <c r="W956" s="8">
        <f>1/(1+EXP(-V956))</f>
        <v/>
      </c>
      <c r="X956" s="9">
        <f>-IF(C956=1,LN(W956),LN(1-W956))</f>
        <v/>
      </c>
      <c r="Y956" s="8">
        <f>'1 prepared data'!V949</f>
        <v/>
      </c>
      <c r="Z956" s="9">
        <f>Y956*X956</f>
        <v/>
      </c>
      <c r="AA956" s="10">
        <f>IF(W956&gt;$AE$33,1,0)</f>
        <v/>
      </c>
      <c r="AB956">
        <f>IF(AA956=C956,1,0)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$AE$12+D957*$AE$13+E957*$AE$14+F957*$AE$15+G957*$AE$16+H957*$AE$17+I957*$AE$18+J957*$AE$19+K957*$AE$20+L957*$AE$21+M957*$AE$22+N957*$AE$23+O957*$AE$24+P957*$AE$25+Q957*$AE$26+R957*$AE$27+S957*$AE$28+T957*$AE$29+U957*$AE$30</f>
        <v/>
      </c>
      <c r="W957" s="8">
        <f>1/(1+EXP(-V957))</f>
        <v/>
      </c>
      <c r="X957" s="9">
        <f>-IF(C957=1,LN(W957),LN(1-W957))</f>
        <v/>
      </c>
      <c r="Y957" s="8">
        <f>'1 prepared data'!V950</f>
        <v/>
      </c>
      <c r="Z957" s="9">
        <f>Y957*X957</f>
        <v/>
      </c>
      <c r="AA957" s="10">
        <f>IF(W957&gt;$AE$33,1,0)</f>
        <v/>
      </c>
      <c r="AB957">
        <f>IF(AA957=C957,1,0)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$AE$12+D958*$AE$13+E958*$AE$14+F958*$AE$15+G958*$AE$16+H958*$AE$17+I958*$AE$18+J958*$AE$19+K958*$AE$20+L958*$AE$21+M958*$AE$22+N958*$AE$23+O958*$AE$24+P958*$AE$25+Q958*$AE$26+R958*$AE$27+S958*$AE$28+T958*$AE$29+U958*$AE$30</f>
        <v/>
      </c>
      <c r="W958" s="8">
        <f>1/(1+EXP(-V958))</f>
        <v/>
      </c>
      <c r="X958" s="9">
        <f>-IF(C958=1,LN(W958),LN(1-W958))</f>
        <v/>
      </c>
      <c r="Y958" s="8">
        <f>'1 prepared data'!V951</f>
        <v/>
      </c>
      <c r="Z958" s="9">
        <f>Y958*X958</f>
        <v/>
      </c>
      <c r="AA958" s="10">
        <f>IF(W958&gt;$AE$33,1,0)</f>
        <v/>
      </c>
      <c r="AB958">
        <f>IF(AA958=C958,1,0)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$AE$12+D959*$AE$13+E959*$AE$14+F959*$AE$15+G959*$AE$16+H959*$AE$17+I959*$AE$18+J959*$AE$19+K959*$AE$20+L959*$AE$21+M959*$AE$22+N959*$AE$23+O959*$AE$24+P959*$AE$25+Q959*$AE$26+R959*$AE$27+S959*$AE$28+T959*$AE$29+U959*$AE$30</f>
        <v/>
      </c>
      <c r="W959" s="8">
        <f>1/(1+EXP(-V959))</f>
        <v/>
      </c>
      <c r="X959" s="9">
        <f>-IF(C959=1,LN(W959),LN(1-W959))</f>
        <v/>
      </c>
      <c r="Y959" s="8">
        <f>'1 prepared data'!V952</f>
        <v/>
      </c>
      <c r="Z959" s="9">
        <f>Y959*X959</f>
        <v/>
      </c>
      <c r="AA959" s="10">
        <f>IF(W959&gt;$AE$33,1,0)</f>
        <v/>
      </c>
      <c r="AB959">
        <f>IF(AA959=C959,1,0)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$AE$12+D960*$AE$13+E960*$AE$14+F960*$AE$15+G960*$AE$16+H960*$AE$17+I960*$AE$18+J960*$AE$19+K960*$AE$20+L960*$AE$21+M960*$AE$22+N960*$AE$23+O960*$AE$24+P960*$AE$25+Q960*$AE$26+R960*$AE$27+S960*$AE$28+T960*$AE$29+U960*$AE$30</f>
        <v/>
      </c>
      <c r="W960" s="8">
        <f>1/(1+EXP(-V960))</f>
        <v/>
      </c>
      <c r="X960" s="9">
        <f>-IF(C960=1,LN(W960),LN(1-W960))</f>
        <v/>
      </c>
      <c r="Y960" s="8">
        <f>'1 prepared data'!V953</f>
        <v/>
      </c>
      <c r="Z960" s="9">
        <f>Y960*X960</f>
        <v/>
      </c>
      <c r="AA960" s="10">
        <f>IF(W960&gt;$AE$33,1,0)</f>
        <v/>
      </c>
      <c r="AB960">
        <f>IF(AA960=C960,1,0)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$AE$12+D961*$AE$13+E961*$AE$14+F961*$AE$15+G961*$AE$16+H961*$AE$17+I961*$AE$18+J961*$AE$19+K961*$AE$20+L961*$AE$21+M961*$AE$22+N961*$AE$23+O961*$AE$24+P961*$AE$25+Q961*$AE$26+R961*$AE$27+S961*$AE$28+T961*$AE$29+U961*$AE$30</f>
        <v/>
      </c>
      <c r="W961" s="8">
        <f>1/(1+EXP(-V961))</f>
        <v/>
      </c>
      <c r="X961" s="9">
        <f>-IF(C961=1,LN(W961),LN(1-W961))</f>
        <v/>
      </c>
      <c r="Y961" s="8">
        <f>'1 prepared data'!V954</f>
        <v/>
      </c>
      <c r="Z961" s="9">
        <f>Y961*X961</f>
        <v/>
      </c>
      <c r="AA961" s="10">
        <f>IF(W961&gt;$AE$33,1,0)</f>
        <v/>
      </c>
      <c r="AB961">
        <f>IF(AA961=C961,1,0)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$AE$12+D962*$AE$13+E962*$AE$14+F962*$AE$15+G962*$AE$16+H962*$AE$17+I962*$AE$18+J962*$AE$19+K962*$AE$20+L962*$AE$21+M962*$AE$22+N962*$AE$23+O962*$AE$24+P962*$AE$25+Q962*$AE$26+R962*$AE$27+S962*$AE$28+T962*$AE$29+U962*$AE$30</f>
        <v/>
      </c>
      <c r="W962" s="8">
        <f>1/(1+EXP(-V962))</f>
        <v/>
      </c>
      <c r="X962" s="9">
        <f>-IF(C962=1,LN(W962),LN(1-W962))</f>
        <v/>
      </c>
      <c r="Y962" s="8">
        <f>'1 prepared data'!V955</f>
        <v/>
      </c>
      <c r="Z962" s="9">
        <f>Y962*X962</f>
        <v/>
      </c>
      <c r="AA962" s="10">
        <f>IF(W962&gt;$AE$33,1,0)</f>
        <v/>
      </c>
      <c r="AB962">
        <f>IF(AA962=C962,1,0)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$AE$12+D963*$AE$13+E963*$AE$14+F963*$AE$15+G963*$AE$16+H963*$AE$17+I963*$AE$18+J963*$AE$19+K963*$AE$20+L963*$AE$21+M963*$AE$22+N963*$AE$23+O963*$AE$24+P963*$AE$25+Q963*$AE$26+R963*$AE$27+S963*$AE$28+T963*$AE$29+U963*$AE$30</f>
        <v/>
      </c>
      <c r="W963" s="8">
        <f>1/(1+EXP(-V963))</f>
        <v/>
      </c>
      <c r="X963" s="9">
        <f>-IF(C963=1,LN(W963),LN(1-W963))</f>
        <v/>
      </c>
      <c r="Y963" s="8">
        <f>'1 prepared data'!V956</f>
        <v/>
      </c>
      <c r="Z963" s="9">
        <f>Y963*X963</f>
        <v/>
      </c>
      <c r="AA963" s="10">
        <f>IF(W963&gt;$AE$33,1,0)</f>
        <v/>
      </c>
      <c r="AB963">
        <f>IF(AA963=C963,1,0)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$AE$12+D964*$AE$13+E964*$AE$14+F964*$AE$15+G964*$AE$16+H964*$AE$17+I964*$AE$18+J964*$AE$19+K964*$AE$20+L964*$AE$21+M964*$AE$22+N964*$AE$23+O964*$AE$24+P964*$AE$25+Q964*$AE$26+R964*$AE$27+S964*$AE$28+T964*$AE$29+U964*$AE$30</f>
        <v/>
      </c>
      <c r="W964" s="8">
        <f>1/(1+EXP(-V964))</f>
        <v/>
      </c>
      <c r="X964" s="9">
        <f>-IF(C964=1,LN(W964),LN(1-W964))</f>
        <v/>
      </c>
      <c r="Y964" s="8">
        <f>'1 prepared data'!V957</f>
        <v/>
      </c>
      <c r="Z964" s="9">
        <f>Y964*X964</f>
        <v/>
      </c>
      <c r="AA964" s="10">
        <f>IF(W964&gt;$AE$33,1,0)</f>
        <v/>
      </c>
      <c r="AB964">
        <f>IF(AA964=C964,1,0)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$AE$12+D965*$AE$13+E965*$AE$14+F965*$AE$15+G965*$AE$16+H965*$AE$17+I965*$AE$18+J965*$AE$19+K965*$AE$20+L965*$AE$21+M965*$AE$22+N965*$AE$23+O965*$AE$24+P965*$AE$25+Q965*$AE$26+R965*$AE$27+S965*$AE$28+T965*$AE$29+U965*$AE$30</f>
        <v/>
      </c>
      <c r="W965" s="8">
        <f>1/(1+EXP(-V965))</f>
        <v/>
      </c>
      <c r="X965" s="9">
        <f>-IF(C965=1,LN(W965),LN(1-W965))</f>
        <v/>
      </c>
      <c r="Y965" s="8">
        <f>'1 prepared data'!V958</f>
        <v/>
      </c>
      <c r="Z965" s="9">
        <f>Y965*X965</f>
        <v/>
      </c>
      <c r="AA965" s="10">
        <f>IF(W965&gt;$AE$33,1,0)</f>
        <v/>
      </c>
      <c r="AB965">
        <f>IF(AA965=C965,1,0)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$AE$12+D966*$AE$13+E966*$AE$14+F966*$AE$15+G966*$AE$16+H966*$AE$17+I966*$AE$18+J966*$AE$19+K966*$AE$20+L966*$AE$21+M966*$AE$22+N966*$AE$23+O966*$AE$24+P966*$AE$25+Q966*$AE$26+R966*$AE$27+S966*$AE$28+T966*$AE$29+U966*$AE$30</f>
        <v/>
      </c>
      <c r="W966" s="8">
        <f>1/(1+EXP(-V966))</f>
        <v/>
      </c>
      <c r="X966" s="9">
        <f>-IF(C966=1,LN(W966),LN(1-W966))</f>
        <v/>
      </c>
      <c r="Y966" s="8">
        <f>'1 prepared data'!V959</f>
        <v/>
      </c>
      <c r="Z966" s="9">
        <f>Y966*X966</f>
        <v/>
      </c>
      <c r="AA966" s="10">
        <f>IF(W966&gt;$AE$33,1,0)</f>
        <v/>
      </c>
      <c r="AB966">
        <f>IF(AA966=C966,1,0)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$AE$12+D967*$AE$13+E967*$AE$14+F967*$AE$15+G967*$AE$16+H967*$AE$17+I967*$AE$18+J967*$AE$19+K967*$AE$20+L967*$AE$21+M967*$AE$22+N967*$AE$23+O967*$AE$24+P967*$AE$25+Q967*$AE$26+R967*$AE$27+S967*$AE$28+T967*$AE$29+U967*$AE$30</f>
        <v/>
      </c>
      <c r="W967" s="8">
        <f>1/(1+EXP(-V967))</f>
        <v/>
      </c>
      <c r="X967" s="9">
        <f>-IF(C967=1,LN(W967),LN(1-W967))</f>
        <v/>
      </c>
      <c r="Y967" s="8">
        <f>'1 prepared data'!V960</f>
        <v/>
      </c>
      <c r="Z967" s="9">
        <f>Y967*X967</f>
        <v/>
      </c>
      <c r="AA967" s="10">
        <f>IF(W967&gt;$AE$33,1,0)</f>
        <v/>
      </c>
      <c r="AB967">
        <f>IF(AA967=C967,1,0)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$AE$12+D968*$AE$13+E968*$AE$14+F968*$AE$15+G968*$AE$16+H968*$AE$17+I968*$AE$18+J968*$AE$19+K968*$AE$20+L968*$AE$21+M968*$AE$22+N968*$AE$23+O968*$AE$24+P968*$AE$25+Q968*$AE$26+R968*$AE$27+S968*$AE$28+T968*$AE$29+U968*$AE$30</f>
        <v/>
      </c>
      <c r="W968" s="8">
        <f>1/(1+EXP(-V968))</f>
        <v/>
      </c>
      <c r="X968" s="9">
        <f>-IF(C968=1,LN(W968),LN(1-W968))</f>
        <v/>
      </c>
      <c r="Y968" s="8">
        <f>'1 prepared data'!V961</f>
        <v/>
      </c>
      <c r="Z968" s="9">
        <f>Y968*X968</f>
        <v/>
      </c>
      <c r="AA968" s="10">
        <f>IF(W968&gt;$AE$33,1,0)</f>
        <v/>
      </c>
      <c r="AB968">
        <f>IF(AA968=C968,1,0)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$AE$12+D969*$AE$13+E969*$AE$14+F969*$AE$15+G969*$AE$16+H969*$AE$17+I969*$AE$18+J969*$AE$19+K969*$AE$20+L969*$AE$21+M969*$AE$22+N969*$AE$23+O969*$AE$24+P969*$AE$25+Q969*$AE$26+R969*$AE$27+S969*$AE$28+T969*$AE$29+U969*$AE$30</f>
        <v/>
      </c>
      <c r="W969" s="8">
        <f>1/(1+EXP(-V969))</f>
        <v/>
      </c>
      <c r="X969" s="9">
        <f>-IF(C969=1,LN(W969),LN(1-W969))</f>
        <v/>
      </c>
      <c r="Y969" s="8">
        <f>'1 prepared data'!V962</f>
        <v/>
      </c>
      <c r="Z969" s="9">
        <f>Y969*X969</f>
        <v/>
      </c>
      <c r="AA969" s="10">
        <f>IF(W969&gt;$AE$33,1,0)</f>
        <v/>
      </c>
      <c r="AB969">
        <f>IF(AA969=C969,1,0)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$AE$12+D970*$AE$13+E970*$AE$14+F970*$AE$15+G970*$AE$16+H970*$AE$17+I970*$AE$18+J970*$AE$19+K970*$AE$20+L970*$AE$21+M970*$AE$22+N970*$AE$23+O970*$AE$24+P970*$AE$25+Q970*$AE$26+R970*$AE$27+S970*$AE$28+T970*$AE$29+U970*$AE$30</f>
        <v/>
      </c>
      <c r="W970" s="8">
        <f>1/(1+EXP(-V970))</f>
        <v/>
      </c>
      <c r="X970" s="9">
        <f>-IF(C970=1,LN(W970),LN(1-W970))</f>
        <v/>
      </c>
      <c r="Y970" s="8">
        <f>'1 prepared data'!V963</f>
        <v/>
      </c>
      <c r="Z970" s="9">
        <f>Y970*X970</f>
        <v/>
      </c>
      <c r="AA970" s="10">
        <f>IF(W970&gt;$AE$33,1,0)</f>
        <v/>
      </c>
      <c r="AB970">
        <f>IF(AA970=C970,1,0)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$AE$12+D971*$AE$13+E971*$AE$14+F971*$AE$15+G971*$AE$16+H971*$AE$17+I971*$AE$18+J971*$AE$19+K971*$AE$20+L971*$AE$21+M971*$AE$22+N971*$AE$23+O971*$AE$24+P971*$AE$25+Q971*$AE$26+R971*$AE$27+S971*$AE$28+T971*$AE$29+U971*$AE$30</f>
        <v/>
      </c>
      <c r="W971" s="8">
        <f>1/(1+EXP(-V971))</f>
        <v/>
      </c>
      <c r="X971" s="9">
        <f>-IF(C971=1,LN(W971),LN(1-W971))</f>
        <v/>
      </c>
      <c r="Y971" s="8">
        <f>'1 prepared data'!V964</f>
        <v/>
      </c>
      <c r="Z971" s="9">
        <f>Y971*X971</f>
        <v/>
      </c>
      <c r="AA971" s="10">
        <f>IF(W971&gt;$AE$33,1,0)</f>
        <v/>
      </c>
      <c r="AB971">
        <f>IF(AA971=C971,1,0)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$AE$12+D972*$AE$13+E972*$AE$14+F972*$AE$15+G972*$AE$16+H972*$AE$17+I972*$AE$18+J972*$AE$19+K972*$AE$20+L972*$AE$21+M972*$AE$22+N972*$AE$23+O972*$AE$24+P972*$AE$25+Q972*$AE$26+R972*$AE$27+S972*$AE$28+T972*$AE$29+U972*$AE$30</f>
        <v/>
      </c>
      <c r="W972" s="8">
        <f>1/(1+EXP(-V972))</f>
        <v/>
      </c>
      <c r="X972" s="9">
        <f>-IF(C972=1,LN(W972),LN(1-W972))</f>
        <v/>
      </c>
      <c r="Y972" s="8">
        <f>'1 prepared data'!V965</f>
        <v/>
      </c>
      <c r="Z972" s="9">
        <f>Y972*X972</f>
        <v/>
      </c>
      <c r="AA972" s="10">
        <f>IF(W972&gt;$AE$33,1,0)</f>
        <v/>
      </c>
      <c r="AB972">
        <f>IF(AA972=C972,1,0)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$AE$12+D973*$AE$13+E973*$AE$14+F973*$AE$15+G973*$AE$16+H973*$AE$17+I973*$AE$18+J973*$AE$19+K973*$AE$20+L973*$AE$21+M973*$AE$22+N973*$AE$23+O973*$AE$24+P973*$AE$25+Q973*$AE$26+R973*$AE$27+S973*$AE$28+T973*$AE$29+U973*$AE$30</f>
        <v/>
      </c>
      <c r="W973" s="8">
        <f>1/(1+EXP(-V973))</f>
        <v/>
      </c>
      <c r="X973" s="9">
        <f>-IF(C973=1,LN(W973),LN(1-W973))</f>
        <v/>
      </c>
      <c r="Y973" s="8">
        <f>'1 prepared data'!V966</f>
        <v/>
      </c>
      <c r="Z973" s="9">
        <f>Y973*X973</f>
        <v/>
      </c>
      <c r="AA973" s="10">
        <f>IF(W973&gt;$AE$33,1,0)</f>
        <v/>
      </c>
      <c r="AB973">
        <f>IF(AA973=C973,1,0)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$AE$12+D974*$AE$13+E974*$AE$14+F974*$AE$15+G974*$AE$16+H974*$AE$17+I974*$AE$18+J974*$AE$19+K974*$AE$20+L974*$AE$21+M974*$AE$22+N974*$AE$23+O974*$AE$24+P974*$AE$25+Q974*$AE$26+R974*$AE$27+S974*$AE$28+T974*$AE$29+U974*$AE$30</f>
        <v/>
      </c>
      <c r="W974" s="8">
        <f>1/(1+EXP(-V974))</f>
        <v/>
      </c>
      <c r="X974" s="9">
        <f>-IF(C974=1,LN(W974),LN(1-W974))</f>
        <v/>
      </c>
      <c r="Y974" s="8">
        <f>'1 prepared data'!V967</f>
        <v/>
      </c>
      <c r="Z974" s="9">
        <f>Y974*X974</f>
        <v/>
      </c>
      <c r="AA974" s="10">
        <f>IF(W974&gt;$AE$33,1,0)</f>
        <v/>
      </c>
      <c r="AB974">
        <f>IF(AA974=C974,1,0)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$AE$12+D975*$AE$13+E975*$AE$14+F975*$AE$15+G975*$AE$16+H975*$AE$17+I975*$AE$18+J975*$AE$19+K975*$AE$20+L975*$AE$21+M975*$AE$22+N975*$AE$23+O975*$AE$24+P975*$AE$25+Q975*$AE$26+R975*$AE$27+S975*$AE$28+T975*$AE$29+U975*$AE$30</f>
        <v/>
      </c>
      <c r="W975" s="8">
        <f>1/(1+EXP(-V975))</f>
        <v/>
      </c>
      <c r="X975" s="9">
        <f>-IF(C975=1,LN(W975),LN(1-W975))</f>
        <v/>
      </c>
      <c r="Y975" s="8">
        <f>'1 prepared data'!V968</f>
        <v/>
      </c>
      <c r="Z975" s="9">
        <f>Y975*X975</f>
        <v/>
      </c>
      <c r="AA975" s="10">
        <f>IF(W975&gt;$AE$33,1,0)</f>
        <v/>
      </c>
      <c r="AB975">
        <f>IF(AA975=C975,1,0)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$AE$12+D976*$AE$13+E976*$AE$14+F976*$AE$15+G976*$AE$16+H976*$AE$17+I976*$AE$18+J976*$AE$19+K976*$AE$20+L976*$AE$21+M976*$AE$22+N976*$AE$23+O976*$AE$24+P976*$AE$25+Q976*$AE$26+R976*$AE$27+S976*$AE$28+T976*$AE$29+U976*$AE$30</f>
        <v/>
      </c>
      <c r="W976" s="8">
        <f>1/(1+EXP(-V976))</f>
        <v/>
      </c>
      <c r="X976" s="9">
        <f>-IF(C976=1,LN(W976),LN(1-W976))</f>
        <v/>
      </c>
      <c r="Y976" s="8">
        <f>'1 prepared data'!V969</f>
        <v/>
      </c>
      <c r="Z976" s="9">
        <f>Y976*X976</f>
        <v/>
      </c>
      <c r="AA976" s="10">
        <f>IF(W976&gt;$AE$33,1,0)</f>
        <v/>
      </c>
      <c r="AB976">
        <f>IF(AA976=C976,1,0)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$AE$12+D977*$AE$13+E977*$AE$14+F977*$AE$15+G977*$AE$16+H977*$AE$17+I977*$AE$18+J977*$AE$19+K977*$AE$20+L977*$AE$21+M977*$AE$22+N977*$AE$23+O977*$AE$24+P977*$AE$25+Q977*$AE$26+R977*$AE$27+S977*$AE$28+T977*$AE$29+U977*$AE$30</f>
        <v/>
      </c>
      <c r="W977" s="8">
        <f>1/(1+EXP(-V977))</f>
        <v/>
      </c>
      <c r="X977" s="9">
        <f>-IF(C977=1,LN(W977),LN(1-W977))</f>
        <v/>
      </c>
      <c r="Y977" s="8">
        <f>'1 prepared data'!V970</f>
        <v/>
      </c>
      <c r="Z977" s="9">
        <f>Y977*X977</f>
        <v/>
      </c>
      <c r="AA977" s="10">
        <f>IF(W977&gt;$AE$33,1,0)</f>
        <v/>
      </c>
      <c r="AB977">
        <f>IF(AA977=C977,1,0)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$AE$12+D978*$AE$13+E978*$AE$14+F978*$AE$15+G978*$AE$16+H978*$AE$17+I978*$AE$18+J978*$AE$19+K978*$AE$20+L978*$AE$21+M978*$AE$22+N978*$AE$23+O978*$AE$24+P978*$AE$25+Q978*$AE$26+R978*$AE$27+S978*$AE$28+T978*$AE$29+U978*$AE$30</f>
        <v/>
      </c>
      <c r="W978" s="8">
        <f>1/(1+EXP(-V978))</f>
        <v/>
      </c>
      <c r="X978" s="9">
        <f>-IF(C978=1,LN(W978),LN(1-W978))</f>
        <v/>
      </c>
      <c r="Y978" s="8">
        <f>'1 prepared data'!V971</f>
        <v/>
      </c>
      <c r="Z978" s="9">
        <f>Y978*X978</f>
        <v/>
      </c>
      <c r="AA978" s="10">
        <f>IF(W978&gt;$AE$33,1,0)</f>
        <v/>
      </c>
      <c r="AB978">
        <f>IF(AA978=C978,1,0)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$AE$12+D979*$AE$13+E979*$AE$14+F979*$AE$15+G979*$AE$16+H979*$AE$17+I979*$AE$18+J979*$AE$19+K979*$AE$20+L979*$AE$21+M979*$AE$22+N979*$AE$23+O979*$AE$24+P979*$AE$25+Q979*$AE$26+R979*$AE$27+S979*$AE$28+T979*$AE$29+U979*$AE$30</f>
        <v/>
      </c>
      <c r="W979" s="8">
        <f>1/(1+EXP(-V979))</f>
        <v/>
      </c>
      <c r="X979" s="9">
        <f>-IF(C979=1,LN(W979),LN(1-W979))</f>
        <v/>
      </c>
      <c r="Y979" s="8">
        <f>'1 prepared data'!V972</f>
        <v/>
      </c>
      <c r="Z979" s="9">
        <f>Y979*X979</f>
        <v/>
      </c>
      <c r="AA979" s="10">
        <f>IF(W979&gt;$AE$33,1,0)</f>
        <v/>
      </c>
      <c r="AB979">
        <f>IF(AA979=C979,1,0)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$AE$12+D980*$AE$13+E980*$AE$14+F980*$AE$15+G980*$AE$16+H980*$AE$17+I980*$AE$18+J980*$AE$19+K980*$AE$20+L980*$AE$21+M980*$AE$22+N980*$AE$23+O980*$AE$24+P980*$AE$25+Q980*$AE$26+R980*$AE$27+S980*$AE$28+T980*$AE$29+U980*$AE$30</f>
        <v/>
      </c>
      <c r="W980" s="8">
        <f>1/(1+EXP(-V980))</f>
        <v/>
      </c>
      <c r="X980" s="9">
        <f>-IF(C980=1,LN(W980),LN(1-W980))</f>
        <v/>
      </c>
      <c r="Y980" s="8">
        <f>'1 prepared data'!V973</f>
        <v/>
      </c>
      <c r="Z980" s="9">
        <f>Y980*X980</f>
        <v/>
      </c>
      <c r="AA980" s="10">
        <f>IF(W980&gt;$AE$33,1,0)</f>
        <v/>
      </c>
      <c r="AB980">
        <f>IF(AA980=C980,1,0)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$AE$12+D981*$AE$13+E981*$AE$14+F981*$AE$15+G981*$AE$16+H981*$AE$17+I981*$AE$18+J981*$AE$19+K981*$AE$20+L981*$AE$21+M981*$AE$22+N981*$AE$23+O981*$AE$24+P981*$AE$25+Q981*$AE$26+R981*$AE$27+S981*$AE$28+T981*$AE$29+U981*$AE$30</f>
        <v/>
      </c>
      <c r="W981" s="8">
        <f>1/(1+EXP(-V981))</f>
        <v/>
      </c>
      <c r="X981" s="9">
        <f>-IF(C981=1,LN(W981),LN(1-W981))</f>
        <v/>
      </c>
      <c r="Y981" s="8">
        <f>'1 prepared data'!V974</f>
        <v/>
      </c>
      <c r="Z981" s="9">
        <f>Y981*X981</f>
        <v/>
      </c>
      <c r="AA981" s="10">
        <f>IF(W981&gt;$AE$33,1,0)</f>
        <v/>
      </c>
      <c r="AB981">
        <f>IF(AA981=C981,1,0)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$AE$12+D982*$AE$13+E982*$AE$14+F982*$AE$15+G982*$AE$16+H982*$AE$17+I982*$AE$18+J982*$AE$19+K982*$AE$20+L982*$AE$21+M982*$AE$22+N982*$AE$23+O982*$AE$24+P982*$AE$25+Q982*$AE$26+R982*$AE$27+S982*$AE$28+T982*$AE$29+U982*$AE$30</f>
        <v/>
      </c>
      <c r="W982" s="8">
        <f>1/(1+EXP(-V982))</f>
        <v/>
      </c>
      <c r="X982" s="9">
        <f>-IF(C982=1,LN(W982),LN(1-W982))</f>
        <v/>
      </c>
      <c r="Y982" s="8">
        <f>'1 prepared data'!V975</f>
        <v/>
      </c>
      <c r="Z982" s="9">
        <f>Y982*X982</f>
        <v/>
      </c>
      <c r="AA982" s="10">
        <f>IF(W982&gt;$AE$33,1,0)</f>
        <v/>
      </c>
      <c r="AB982">
        <f>IF(AA982=C982,1,0)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$AE$12+D983*$AE$13+E983*$AE$14+F983*$AE$15+G983*$AE$16+H983*$AE$17+I983*$AE$18+J983*$AE$19+K983*$AE$20+L983*$AE$21+M983*$AE$22+N983*$AE$23+O983*$AE$24+P983*$AE$25+Q983*$AE$26+R983*$AE$27+S983*$AE$28+T983*$AE$29+U983*$AE$30</f>
        <v/>
      </c>
      <c r="W983" s="8">
        <f>1/(1+EXP(-V983))</f>
        <v/>
      </c>
      <c r="X983" s="9">
        <f>-IF(C983=1,LN(W983),LN(1-W983))</f>
        <v/>
      </c>
      <c r="Y983" s="8">
        <f>'1 prepared data'!V976</f>
        <v/>
      </c>
      <c r="Z983" s="9">
        <f>Y983*X983</f>
        <v/>
      </c>
      <c r="AA983" s="10">
        <f>IF(W983&gt;$AE$33,1,0)</f>
        <v/>
      </c>
      <c r="AB983">
        <f>IF(AA983=C983,1,0)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$AE$12+D984*$AE$13+E984*$AE$14+F984*$AE$15+G984*$AE$16+H984*$AE$17+I984*$AE$18+J984*$AE$19+K984*$AE$20+L984*$AE$21+M984*$AE$22+N984*$AE$23+O984*$AE$24+P984*$AE$25+Q984*$AE$26+R984*$AE$27+S984*$AE$28+T984*$AE$29+U984*$AE$30</f>
        <v/>
      </c>
      <c r="W984" s="8">
        <f>1/(1+EXP(-V984))</f>
        <v/>
      </c>
      <c r="X984" s="9">
        <f>-IF(C984=1,LN(W984),LN(1-W984))</f>
        <v/>
      </c>
      <c r="Y984" s="8">
        <f>'1 prepared data'!V977</f>
        <v/>
      </c>
      <c r="Z984" s="9">
        <f>Y984*X984</f>
        <v/>
      </c>
      <c r="AA984" s="10">
        <f>IF(W984&gt;$AE$33,1,0)</f>
        <v/>
      </c>
      <c r="AB984">
        <f>IF(AA984=C984,1,0)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$AE$12+D985*$AE$13+E985*$AE$14+F985*$AE$15+G985*$AE$16+H985*$AE$17+I985*$AE$18+J985*$AE$19+K985*$AE$20+L985*$AE$21+M985*$AE$22+N985*$AE$23+O985*$AE$24+P985*$AE$25+Q985*$AE$26+R985*$AE$27+S985*$AE$28+T985*$AE$29+U985*$AE$30</f>
        <v/>
      </c>
      <c r="W985" s="8">
        <f>1/(1+EXP(-V985))</f>
        <v/>
      </c>
      <c r="X985" s="9">
        <f>-IF(C985=1,LN(W985),LN(1-W985))</f>
        <v/>
      </c>
      <c r="Y985" s="8">
        <f>'1 prepared data'!V978</f>
        <v/>
      </c>
      <c r="Z985" s="9">
        <f>Y985*X985</f>
        <v/>
      </c>
      <c r="AA985" s="10">
        <f>IF(W985&gt;$AE$33,1,0)</f>
        <v/>
      </c>
      <c r="AB985">
        <f>IF(AA985=C985,1,0)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$AE$12+D986*$AE$13+E986*$AE$14+F986*$AE$15+G986*$AE$16+H986*$AE$17+I986*$AE$18+J986*$AE$19+K986*$AE$20+L986*$AE$21+M986*$AE$22+N986*$AE$23+O986*$AE$24+P986*$AE$25+Q986*$AE$26+R986*$AE$27+S986*$AE$28+T986*$AE$29+U986*$AE$30</f>
        <v/>
      </c>
      <c r="W986" s="8">
        <f>1/(1+EXP(-V986))</f>
        <v/>
      </c>
      <c r="X986" s="9">
        <f>-IF(C986=1,LN(W986),LN(1-W986))</f>
        <v/>
      </c>
      <c r="Y986" s="8">
        <f>'1 prepared data'!V979</f>
        <v/>
      </c>
      <c r="Z986" s="9">
        <f>Y986*X986</f>
        <v/>
      </c>
      <c r="AA986" s="10">
        <f>IF(W986&gt;$AE$33,1,0)</f>
        <v/>
      </c>
      <c r="AB986">
        <f>IF(AA986=C986,1,0)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$AE$12+D987*$AE$13+E987*$AE$14+F987*$AE$15+G987*$AE$16+H987*$AE$17+I987*$AE$18+J987*$AE$19+K987*$AE$20+L987*$AE$21+M987*$AE$22+N987*$AE$23+O987*$AE$24+P987*$AE$25+Q987*$AE$26+R987*$AE$27+S987*$AE$28+T987*$AE$29+U987*$AE$30</f>
        <v/>
      </c>
      <c r="W987" s="8">
        <f>1/(1+EXP(-V987))</f>
        <v/>
      </c>
      <c r="X987" s="9">
        <f>-IF(C987=1,LN(W987),LN(1-W987))</f>
        <v/>
      </c>
      <c r="Y987" s="8">
        <f>'1 prepared data'!V980</f>
        <v/>
      </c>
      <c r="Z987" s="9">
        <f>Y987*X987</f>
        <v/>
      </c>
      <c r="AA987" s="10">
        <f>IF(W987&gt;$AE$33,1,0)</f>
        <v/>
      </c>
      <c r="AB987">
        <f>IF(AA987=C987,1,0)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$AE$12+D988*$AE$13+E988*$AE$14+F988*$AE$15+G988*$AE$16+H988*$AE$17+I988*$AE$18+J988*$AE$19+K988*$AE$20+L988*$AE$21+M988*$AE$22+N988*$AE$23+O988*$AE$24+P988*$AE$25+Q988*$AE$26+R988*$AE$27+S988*$AE$28+T988*$AE$29+U988*$AE$30</f>
        <v/>
      </c>
      <c r="W988" s="8">
        <f>1/(1+EXP(-V988))</f>
        <v/>
      </c>
      <c r="X988" s="9">
        <f>-IF(C988=1,LN(W988),LN(1-W988))</f>
        <v/>
      </c>
      <c r="Y988" s="8">
        <f>'1 prepared data'!V981</f>
        <v/>
      </c>
      <c r="Z988" s="9">
        <f>Y988*X988</f>
        <v/>
      </c>
      <c r="AA988" s="10">
        <f>IF(W988&gt;$AE$33,1,0)</f>
        <v/>
      </c>
      <c r="AB988">
        <f>IF(AA988=C988,1,0)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$AE$12+D989*$AE$13+E989*$AE$14+F989*$AE$15+G989*$AE$16+H989*$AE$17+I989*$AE$18+J989*$AE$19+K989*$AE$20+L989*$AE$21+M989*$AE$22+N989*$AE$23+O989*$AE$24+P989*$AE$25+Q989*$AE$26+R989*$AE$27+S989*$AE$28+T989*$AE$29+U989*$AE$30</f>
        <v/>
      </c>
      <c r="W989" s="8">
        <f>1/(1+EXP(-V989))</f>
        <v/>
      </c>
      <c r="X989" s="9">
        <f>-IF(C989=1,LN(W989),LN(1-W989))</f>
        <v/>
      </c>
      <c r="Y989" s="8">
        <f>'1 prepared data'!V982</f>
        <v/>
      </c>
      <c r="Z989" s="9">
        <f>Y989*X989</f>
        <v/>
      </c>
      <c r="AA989" s="10">
        <f>IF(W989&gt;$AE$33,1,0)</f>
        <v/>
      </c>
      <c r="AB989">
        <f>IF(AA989=C989,1,0)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$AE$12+D990*$AE$13+E990*$AE$14+F990*$AE$15+G990*$AE$16+H990*$AE$17+I990*$AE$18+J990*$AE$19+K990*$AE$20+L990*$AE$21+M990*$AE$22+N990*$AE$23+O990*$AE$24+P990*$AE$25+Q990*$AE$26+R990*$AE$27+S990*$AE$28+T990*$AE$29+U990*$AE$30</f>
        <v/>
      </c>
      <c r="W990" s="8">
        <f>1/(1+EXP(-V990))</f>
        <v/>
      </c>
      <c r="X990" s="9">
        <f>-IF(C990=1,LN(W990),LN(1-W990))</f>
        <v/>
      </c>
      <c r="Y990" s="8">
        <f>'1 prepared data'!V983</f>
        <v/>
      </c>
      <c r="Z990" s="9">
        <f>Y990*X990</f>
        <v/>
      </c>
      <c r="AA990" s="10">
        <f>IF(W990&gt;$AE$33,1,0)</f>
        <v/>
      </c>
      <c r="AB990">
        <f>IF(AA990=C990,1,0)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$AE$12+D991*$AE$13+E991*$AE$14+F991*$AE$15+G991*$AE$16+H991*$AE$17+I991*$AE$18+J991*$AE$19+K991*$AE$20+L991*$AE$21+M991*$AE$22+N991*$AE$23+O991*$AE$24+P991*$AE$25+Q991*$AE$26+R991*$AE$27+S991*$AE$28+T991*$AE$29+U991*$AE$30</f>
        <v/>
      </c>
      <c r="W991" s="8">
        <f>1/(1+EXP(-V991))</f>
        <v/>
      </c>
      <c r="X991" s="9">
        <f>-IF(C991=1,LN(W991),LN(1-W991))</f>
        <v/>
      </c>
      <c r="Y991" s="8">
        <f>'1 prepared data'!V984</f>
        <v/>
      </c>
      <c r="Z991" s="9">
        <f>Y991*X991</f>
        <v/>
      </c>
      <c r="AA991" s="10">
        <f>IF(W991&gt;$AE$33,1,0)</f>
        <v/>
      </c>
      <c r="AB991">
        <f>IF(AA991=C991,1,0)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$AE$12+D992*$AE$13+E992*$AE$14+F992*$AE$15+G992*$AE$16+H992*$AE$17+I992*$AE$18+J992*$AE$19+K992*$AE$20+L992*$AE$21+M992*$AE$22+N992*$AE$23+O992*$AE$24+P992*$AE$25+Q992*$AE$26+R992*$AE$27+S992*$AE$28+T992*$AE$29+U992*$AE$30</f>
        <v/>
      </c>
      <c r="W992" s="8">
        <f>1/(1+EXP(-V992))</f>
        <v/>
      </c>
      <c r="X992" s="9">
        <f>-IF(C992=1,LN(W992),LN(1-W992))</f>
        <v/>
      </c>
      <c r="Y992" s="8">
        <f>'1 prepared data'!V985</f>
        <v/>
      </c>
      <c r="Z992" s="9">
        <f>Y992*X992</f>
        <v/>
      </c>
      <c r="AA992" s="10">
        <f>IF(W992&gt;$AE$33,1,0)</f>
        <v/>
      </c>
      <c r="AB992">
        <f>IF(AA992=C992,1,0)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$AE$12+D993*$AE$13+E993*$AE$14+F993*$AE$15+G993*$AE$16+H993*$AE$17+I993*$AE$18+J993*$AE$19+K993*$AE$20+L993*$AE$21+M993*$AE$22+N993*$AE$23+O993*$AE$24+P993*$AE$25+Q993*$AE$26+R993*$AE$27+S993*$AE$28+T993*$AE$29+U993*$AE$30</f>
        <v/>
      </c>
      <c r="W993" s="8">
        <f>1/(1+EXP(-V993))</f>
        <v/>
      </c>
      <c r="X993" s="9">
        <f>-IF(C993=1,LN(W993),LN(1-W993))</f>
        <v/>
      </c>
      <c r="Y993" s="8">
        <f>'1 prepared data'!V986</f>
        <v/>
      </c>
      <c r="Z993" s="9">
        <f>Y993*X993</f>
        <v/>
      </c>
      <c r="AA993" s="10">
        <f>IF(W993&gt;$AE$33,1,0)</f>
        <v/>
      </c>
      <c r="AB993">
        <f>IF(AA993=C993,1,0)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$AE$12+D994*$AE$13+E994*$AE$14+F994*$AE$15+G994*$AE$16+H994*$AE$17+I994*$AE$18+J994*$AE$19+K994*$AE$20+L994*$AE$21+M994*$AE$22+N994*$AE$23+O994*$AE$24+P994*$AE$25+Q994*$AE$26+R994*$AE$27+S994*$AE$28+T994*$AE$29+U994*$AE$30</f>
        <v/>
      </c>
      <c r="W994" s="8">
        <f>1/(1+EXP(-V994))</f>
        <v/>
      </c>
      <c r="X994" s="9">
        <f>-IF(C994=1,LN(W994),LN(1-W994))</f>
        <v/>
      </c>
      <c r="Y994" s="8">
        <f>'1 prepared data'!V987</f>
        <v/>
      </c>
      <c r="Z994" s="9">
        <f>Y994*X994</f>
        <v/>
      </c>
      <c r="AA994" s="10">
        <f>IF(W994&gt;$AE$33,1,0)</f>
        <v/>
      </c>
      <c r="AB994">
        <f>IF(AA994=C994,1,0)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$AE$12+D995*$AE$13+E995*$AE$14+F995*$AE$15+G995*$AE$16+H995*$AE$17+I995*$AE$18+J995*$AE$19+K995*$AE$20+L995*$AE$21+M995*$AE$22+N995*$AE$23+O995*$AE$24+P995*$AE$25+Q995*$AE$26+R995*$AE$27+S995*$AE$28+T995*$AE$29+U995*$AE$30</f>
        <v/>
      </c>
      <c r="W995" s="8">
        <f>1/(1+EXP(-V995))</f>
        <v/>
      </c>
      <c r="X995" s="9">
        <f>-IF(C995=1,LN(W995),LN(1-W995))</f>
        <v/>
      </c>
      <c r="Y995" s="8">
        <f>'1 prepared data'!V988</f>
        <v/>
      </c>
      <c r="Z995" s="9">
        <f>Y995*X995</f>
        <v/>
      </c>
      <c r="AA995" s="10">
        <f>IF(W995&gt;$AE$33,1,0)</f>
        <v/>
      </c>
      <c r="AB995">
        <f>IF(AA995=C995,1,0)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$AE$12+D996*$AE$13+E996*$AE$14+F996*$AE$15+G996*$AE$16+H996*$AE$17+I996*$AE$18+J996*$AE$19+K996*$AE$20+L996*$AE$21+M996*$AE$22+N996*$AE$23+O996*$AE$24+P996*$AE$25+Q996*$AE$26+R996*$AE$27+S996*$AE$28+T996*$AE$29+U996*$AE$30</f>
        <v/>
      </c>
      <c r="W996" s="8">
        <f>1/(1+EXP(-V996))</f>
        <v/>
      </c>
      <c r="X996" s="9">
        <f>-IF(C996=1,LN(W996),LN(1-W996))</f>
        <v/>
      </c>
      <c r="Y996" s="8">
        <f>'1 prepared data'!V989</f>
        <v/>
      </c>
      <c r="Z996" s="9">
        <f>Y996*X996</f>
        <v/>
      </c>
      <c r="AA996" s="10">
        <f>IF(W996&gt;$AE$33,1,0)</f>
        <v/>
      </c>
      <c r="AB996">
        <f>IF(AA996=C996,1,0)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$AE$12+D997*$AE$13+E997*$AE$14+F997*$AE$15+G997*$AE$16+H997*$AE$17+I997*$AE$18+J997*$AE$19+K997*$AE$20+L997*$AE$21+M997*$AE$22+N997*$AE$23+O997*$AE$24+P997*$AE$25+Q997*$AE$26+R997*$AE$27+S997*$AE$28+T997*$AE$29+U997*$AE$30</f>
        <v/>
      </c>
      <c r="W997" s="8">
        <f>1/(1+EXP(-V997))</f>
        <v/>
      </c>
      <c r="X997" s="9">
        <f>-IF(C997=1,LN(W997),LN(1-W997))</f>
        <v/>
      </c>
      <c r="Y997" s="8">
        <f>'1 prepared data'!V990</f>
        <v/>
      </c>
      <c r="Z997" s="9">
        <f>Y997*X997</f>
        <v/>
      </c>
      <c r="AA997" s="10">
        <f>IF(W997&gt;$AE$33,1,0)</f>
        <v/>
      </c>
      <c r="AB997">
        <f>IF(AA997=C997,1,0)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$AE$12+D998*$AE$13+E998*$AE$14+F998*$AE$15+G998*$AE$16+H998*$AE$17+I998*$AE$18+J998*$AE$19+K998*$AE$20+L998*$AE$21+M998*$AE$22+N998*$AE$23+O998*$AE$24+P998*$AE$25+Q998*$AE$26+R998*$AE$27+S998*$AE$28+T998*$AE$29+U998*$AE$30</f>
        <v/>
      </c>
      <c r="W998" s="8">
        <f>1/(1+EXP(-V998))</f>
        <v/>
      </c>
      <c r="X998" s="9">
        <f>-IF(C998=1,LN(W998),LN(1-W998))</f>
        <v/>
      </c>
      <c r="Y998" s="8">
        <f>'1 prepared data'!V991</f>
        <v/>
      </c>
      <c r="Z998" s="9">
        <f>Y998*X998</f>
        <v/>
      </c>
      <c r="AA998" s="10">
        <f>IF(W998&gt;$AE$33,1,0)</f>
        <v/>
      </c>
      <c r="AB998">
        <f>IF(AA998=C998,1,0)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$AE$12+D999*$AE$13+E999*$AE$14+F999*$AE$15+G999*$AE$16+H999*$AE$17+I999*$AE$18+J999*$AE$19+K999*$AE$20+L999*$AE$21+M999*$AE$22+N999*$AE$23+O999*$AE$24+P999*$AE$25+Q999*$AE$26+R999*$AE$27+S999*$AE$28+T999*$AE$29+U999*$AE$30</f>
        <v/>
      </c>
      <c r="W999" s="8">
        <f>1/(1+EXP(-V999))</f>
        <v/>
      </c>
      <c r="X999" s="9">
        <f>-IF(C999=1,LN(W999),LN(1-W999))</f>
        <v/>
      </c>
      <c r="Y999" s="8">
        <f>'1 prepared data'!V992</f>
        <v/>
      </c>
      <c r="Z999" s="9">
        <f>Y999*X999</f>
        <v/>
      </c>
      <c r="AA999" s="10">
        <f>IF(W999&gt;$AE$33,1,0)</f>
        <v/>
      </c>
      <c r="AB999">
        <f>IF(AA999=C999,1,0)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$AE$12+D1000*$AE$13+E1000*$AE$14+F1000*$AE$15+G1000*$AE$16+H1000*$AE$17+I1000*$AE$18+J1000*$AE$19+K1000*$AE$20+L1000*$AE$21+M1000*$AE$22+N1000*$AE$23+O1000*$AE$24+P1000*$AE$25+Q1000*$AE$26+R1000*$AE$27+S1000*$AE$28+T1000*$AE$29+U1000*$AE$30</f>
        <v/>
      </c>
      <c r="W1000" s="8">
        <f>1/(1+EXP(-V1000))</f>
        <v/>
      </c>
      <c r="X1000" s="9">
        <f>-IF(C1000=1,LN(W1000),LN(1-W1000))</f>
        <v/>
      </c>
      <c r="Y1000" s="8">
        <f>'1 prepared data'!V993</f>
        <v/>
      </c>
      <c r="Z1000" s="9">
        <f>Y1000*X1000</f>
        <v/>
      </c>
      <c r="AA1000" s="10">
        <f>IF(W1000&gt;$AE$33,1,0)</f>
        <v/>
      </c>
      <c r="AB1000">
        <f>IF(AA1000=C1000,1,0)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$AE$12+D1001*$AE$13+E1001*$AE$14+F1001*$AE$15+G1001*$AE$16+H1001*$AE$17+I1001*$AE$18+J1001*$AE$19+K1001*$AE$20+L1001*$AE$21+M1001*$AE$22+N1001*$AE$23+O1001*$AE$24+P1001*$AE$25+Q1001*$AE$26+R1001*$AE$27+S1001*$AE$28+T1001*$AE$29+U1001*$AE$30</f>
        <v/>
      </c>
      <c r="W1001" s="8">
        <f>1/(1+EXP(-V1001))</f>
        <v/>
      </c>
      <c r="X1001" s="9">
        <f>-IF(C1001=1,LN(W1001),LN(1-W1001))</f>
        <v/>
      </c>
      <c r="Y1001" s="8">
        <f>'1 prepared data'!V994</f>
        <v/>
      </c>
      <c r="Z1001" s="9">
        <f>Y1001*X1001</f>
        <v/>
      </c>
      <c r="AA1001" s="10">
        <f>IF(W1001&gt;$AE$33,1,0)</f>
        <v/>
      </c>
      <c r="AB1001">
        <f>IF(AA1001=C1001,1,0)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$AE$12+D1002*$AE$13+E1002*$AE$14+F1002*$AE$15+G1002*$AE$16+H1002*$AE$17+I1002*$AE$18+J1002*$AE$19+K1002*$AE$20+L1002*$AE$21+M1002*$AE$22+N1002*$AE$23+O1002*$AE$24+P1002*$AE$25+Q1002*$AE$26+R1002*$AE$27+S1002*$AE$28+T1002*$AE$29+U1002*$AE$30</f>
        <v/>
      </c>
      <c r="W1002" s="8">
        <f>1/(1+EXP(-V1002))</f>
        <v/>
      </c>
      <c r="X1002" s="9">
        <f>-IF(C1002=1,LN(W1002),LN(1-W1002))</f>
        <v/>
      </c>
      <c r="Y1002" s="8">
        <f>'1 prepared data'!V995</f>
        <v/>
      </c>
      <c r="Z1002" s="9">
        <f>Y1002*X1002</f>
        <v/>
      </c>
      <c r="AA1002" s="10">
        <f>IF(W1002&gt;$AE$33,1,0)</f>
        <v/>
      </c>
      <c r="AB1002">
        <f>IF(AA1002=C1002,1,0)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$AE$12+D1003*$AE$13+E1003*$AE$14+F1003*$AE$15+G1003*$AE$16+H1003*$AE$17+I1003*$AE$18+J1003*$AE$19+K1003*$AE$20+L1003*$AE$21+M1003*$AE$22+N1003*$AE$23+O1003*$AE$24+P1003*$AE$25+Q1003*$AE$26+R1003*$AE$27+S1003*$AE$28+T1003*$AE$29+U1003*$AE$30</f>
        <v/>
      </c>
      <c r="W1003" s="8">
        <f>1/(1+EXP(-V1003))</f>
        <v/>
      </c>
      <c r="X1003" s="9">
        <f>-IF(C1003=1,LN(W1003),LN(1-W1003))</f>
        <v/>
      </c>
      <c r="Y1003" s="8">
        <f>'1 prepared data'!V996</f>
        <v/>
      </c>
      <c r="Z1003" s="9">
        <f>Y1003*X1003</f>
        <v/>
      </c>
      <c r="AA1003" s="10">
        <f>IF(W1003&gt;$AE$33,1,0)</f>
        <v/>
      </c>
      <c r="AB1003">
        <f>IF(AA1003=C1003,1,0)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$AE$12+D1004*$AE$13+E1004*$AE$14+F1004*$AE$15+G1004*$AE$16+H1004*$AE$17+I1004*$AE$18+J1004*$AE$19+K1004*$AE$20+L1004*$AE$21+M1004*$AE$22+N1004*$AE$23+O1004*$AE$24+P1004*$AE$25+Q1004*$AE$26+R1004*$AE$27+S1004*$AE$28+T1004*$AE$29+U1004*$AE$30</f>
        <v/>
      </c>
      <c r="W1004" s="8">
        <f>1/(1+EXP(-V1004))</f>
        <v/>
      </c>
      <c r="X1004" s="9">
        <f>-IF(C1004=1,LN(W1004),LN(1-W1004))</f>
        <v/>
      </c>
      <c r="Y1004" s="8">
        <f>'1 prepared data'!V997</f>
        <v/>
      </c>
      <c r="Z1004" s="9">
        <f>Y1004*X1004</f>
        <v/>
      </c>
      <c r="AA1004" s="10">
        <f>IF(W1004&gt;$AE$33,1,0)</f>
        <v/>
      </c>
      <c r="AB1004">
        <f>IF(AA1004=C1004,1,0)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$AE$12+D1005*$AE$13+E1005*$AE$14+F1005*$AE$15+G1005*$AE$16+H1005*$AE$17+I1005*$AE$18+J1005*$AE$19+K1005*$AE$20+L1005*$AE$21+M1005*$AE$22+N1005*$AE$23+O1005*$AE$24+P1005*$AE$25+Q1005*$AE$26+R1005*$AE$27+S1005*$AE$28+T1005*$AE$29+U1005*$AE$30</f>
        <v/>
      </c>
      <c r="W1005" s="8">
        <f>1/(1+EXP(-V1005))</f>
        <v/>
      </c>
      <c r="X1005" s="9">
        <f>-IF(C1005=1,LN(W1005),LN(1-W1005))</f>
        <v/>
      </c>
      <c r="Y1005" s="8">
        <f>'1 prepared data'!V998</f>
        <v/>
      </c>
      <c r="Z1005" s="9">
        <f>Y1005*X1005</f>
        <v/>
      </c>
      <c r="AA1005" s="10">
        <f>IF(W1005&gt;$AE$33,1,0)</f>
        <v/>
      </c>
      <c r="AB1005">
        <f>IF(AA1005=C1005,1,0)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$AE$12+D1006*$AE$13+E1006*$AE$14+F1006*$AE$15+G1006*$AE$16+H1006*$AE$17+I1006*$AE$18+J1006*$AE$19+K1006*$AE$20+L1006*$AE$21+M1006*$AE$22+N1006*$AE$23+O1006*$AE$24+P1006*$AE$25+Q1006*$AE$26+R1006*$AE$27+S1006*$AE$28+T1006*$AE$29+U1006*$AE$30</f>
        <v/>
      </c>
      <c r="W1006" s="8">
        <f>1/(1+EXP(-V1006))</f>
        <v/>
      </c>
      <c r="X1006" s="9">
        <f>-IF(C1006=1,LN(W1006),LN(1-W1006))</f>
        <v/>
      </c>
      <c r="Y1006" s="8">
        <f>'1 prepared data'!V999</f>
        <v/>
      </c>
      <c r="Z1006" s="9">
        <f>Y1006*X1006</f>
        <v/>
      </c>
      <c r="AA1006" s="10">
        <f>IF(W1006&gt;$AE$33,1,0)</f>
        <v/>
      </c>
      <c r="AB1006">
        <f>IF(AA1006=C1006,1,0)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'1 prepared data'!V1000</f>
        <v/>
      </c>
      <c r="Z1007" s="9">
        <f>Y1007*X1007</f>
        <v/>
      </c>
      <c r="AA1007" s="10">
        <f>IF(W1007&gt;$AE$33,1,0)</f>
        <v/>
      </c>
      <c r="AB1007">
        <f>IF(AA1007=C1007,1,0)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'1 prepared data'!V1001</f>
        <v/>
      </c>
      <c r="Z1008" s="9">
        <f>Y1008*X1008</f>
        <v/>
      </c>
      <c r="AA1008" s="10">
        <f>IF(W1008&gt;$AE$33,1,0)</f>
        <v/>
      </c>
      <c r="AB1008">
        <f>IF(AA1008=C1008,1,0)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'1 prepared data'!V1002</f>
        <v/>
      </c>
      <c r="Z1009" s="9">
        <f>Y1009*X1009</f>
        <v/>
      </c>
      <c r="AA1009" s="10">
        <f>IF(W1009&gt;$AE$33,1,0)</f>
        <v/>
      </c>
      <c r="AB1009">
        <f>IF(AA1009=C1009,1,0)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'1 prepared data'!V1003</f>
        <v/>
      </c>
      <c r="Z1010" s="9">
        <f>Y1010*X1010</f>
        <v/>
      </c>
      <c r="AA1010" s="10">
        <f>IF(W1010&gt;$AE$33,1,0)</f>
        <v/>
      </c>
      <c r="AB1010">
        <f>IF(AA1010=C1010,1,0)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'1 prepared data'!V1004</f>
        <v/>
      </c>
      <c r="Z1011" s="9">
        <f>Y1011*X1011</f>
        <v/>
      </c>
      <c r="AA1011" s="10">
        <f>IF(W1011&gt;$AE$33,1,0)</f>
        <v/>
      </c>
      <c r="AB1011">
        <f>IF(AA1011=C1011,1,0)</f>
        <v/>
      </c>
    </row>
  </sheetData>
  <mergeCells count="3">
    <mergeCell ref="A3:R3"/>
    <mergeCell ref="A2:R2"/>
    <mergeCell ref="AD47:AF47"/>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4"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2" customWidth="1" min="37" max="37"/>
    <col width="12" customWidth="1" min="38" max="38"/>
    <col width="10" customWidth="1" min="39" max="39"/>
  </cols>
  <sheetData>
    <row r="1">
      <c r="A1" s="3" t="inlineStr">
        <is>
          <t>Oversampling: repeating the defaulters</t>
        </is>
      </c>
    </row>
    <row r="2" ht="111.5" customHeight="1">
      <c r="A2" s="2" t="inlineStr">
        <is>
          <t>The mirror-image fix: instead of removing good payers, the defaulters are repeated until the two classes weigh the same. In the general case the count is not an integer: with 490 good and 210 bad payers each defaulter would have to be repeated 490/210 = 2.33 times, and that is handled either by sampling 490 rows with replacement from the 210 defaulters (some come out twice, others three times; that is what RandomOverSampler in imbalanced-learn does) or by giving each defaulter weight 2.33 in the cost function. This sheet uses the second route and starts with a simple number: each defaulter appears twice (420 versus 490). There is no need to paste rows: repeating a row k times is exactly the same as multiplying its loss by k, which is what the column 'row weight' does, and k does not have to be an integer. That also shows that oversampling and class weights are the same idea in different clothes: with repetitions 2.333 and 1 (or 1.667 and 0.714) this sheet is identical to sheet 3.</t>
        </is>
      </c>
    </row>
    <row r="3" ht="49.5" customHeight="1">
      <c r="A3" s="2" t="inlineStr">
        <is>
          <t>Oversampling by repetition carries a risk with flexible models (trees, neural networks): the same repeated row gets memorized. With a logistic nothing serious happens, because the line cannot memorize rows. That is why, for the logistic, the recommendation is class weights, which does the same thing without duplicating data.</t>
        </is>
      </c>
    </row>
    <row r="4"/>
    <row r="5"/>
    <row r="6"/>
    <row r="7"/>
    <row r="8"/>
    <row r="9"/>
    <row r="10">
      <c r="AD10" s="3" t="inlineStr">
        <is>
          <t>Model weights (theta): start from the unbalanced solution</t>
        </is>
      </c>
      <c r="AI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row weight</t>
        </is>
      </c>
      <c r="Z11" s="4" t="inlineStr">
        <is>
          <t>weighted loss</t>
        </is>
      </c>
      <c r="AA11" s="4" t="inlineStr">
        <is>
          <t>prediction</t>
        </is>
      </c>
      <c r="AB11" s="4" t="inlineStr">
        <is>
          <t>correct</t>
        </is>
      </c>
      <c r="AD11" s="4" t="inlineStr">
        <is>
          <t>variable</t>
        </is>
      </c>
      <c r="AE11" s="4" t="inlineStr">
        <is>
          <t>theta (light blue)</t>
        </is>
      </c>
      <c r="AF11" s="4" t="inlineStr">
        <is>
          <t>scikit-learn reference for this variant</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$AE$12+D12*$AE$13+E12*$AE$14+F12*$AE$15+G12*$AE$16+H12*$AE$17+I12*$AE$18+J12*$AE$19+K12*$AE$20+L12*$AE$21+M12*$AE$22+N12*$AE$23+O12*$AE$24+P12*$AE$25+Q12*$AE$26+R12*$AE$27+S12*$AE$28+T12*$AE$29+U12*$AE$30</f>
        <v/>
      </c>
      <c r="W12" s="8">
        <f>1/(1+EXP(-V12))</f>
        <v/>
      </c>
      <c r="X12" s="9">
        <f>-IF(C12=1,LN(W12),LN(1-W12))</f>
        <v/>
      </c>
      <c r="Y12" s="8">
        <f>IF(C12=1,$AE$32,$AE$33)</f>
        <v/>
      </c>
      <c r="Z12" s="9">
        <f>Y12*X12</f>
        <v/>
      </c>
      <c r="AA12" s="10">
        <f>IF(W12&gt;$AE$34,1,0)</f>
        <v/>
      </c>
      <c r="AB12">
        <f>IF(AA12=C12,1,0)</f>
        <v/>
      </c>
      <c r="AD12" t="inlineStr">
        <is>
          <t>intercept</t>
        </is>
      </c>
      <c r="AE12" s="11" t="n">
        <v>-1.341270962110326</v>
      </c>
      <c r="AF12" s="12" t="n">
        <v>-0.6414173122027131</v>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$AE$12+D13*$AE$13+E13*$AE$14+F13*$AE$15+G13*$AE$16+H13*$AE$17+I13*$AE$18+J13*$AE$19+K13*$AE$20+L13*$AE$21+M13*$AE$22+N13*$AE$23+O13*$AE$24+P13*$AE$25+Q13*$AE$26+R13*$AE$27+S13*$AE$28+T13*$AE$29+U13*$AE$30</f>
        <v/>
      </c>
      <c r="W13" s="8">
        <f>1/(1+EXP(-V13))</f>
        <v/>
      </c>
      <c r="X13" s="9">
        <f>-IF(C13=1,LN(W13),LN(1-W13))</f>
        <v/>
      </c>
      <c r="Y13" s="8">
        <f>IF(C13=1,$AE$32,$AE$33)</f>
        <v/>
      </c>
      <c r="Z13" s="9">
        <f>Y13*X13</f>
        <v/>
      </c>
      <c r="AA13" s="10">
        <f>IF(W13&gt;$AE$34,1,0)</f>
        <v/>
      </c>
      <c r="AB13">
        <f>IF(AA13=C13,1,0)</f>
        <v/>
      </c>
      <c r="AD13" t="inlineStr">
        <is>
          <t>duration</t>
        </is>
      </c>
      <c r="AE13" s="11" t="n">
        <v>0.3247012549391071</v>
      </c>
      <c r="AF13" s="12" t="n">
        <v>0.2972255055849982</v>
      </c>
      <c r="AK13" s="3" t="inlineStr">
        <is>
          <t>predicted 0</t>
        </is>
      </c>
      <c r="AL13" s="3" t="inlineStr">
        <is>
          <t>predicted 1</t>
        </is>
      </c>
      <c r="AM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$AE$12+D14*$AE$13+E14*$AE$14+F14*$AE$15+G14*$AE$16+H14*$AE$17+I14*$AE$18+J14*$AE$19+K14*$AE$20+L14*$AE$21+M14*$AE$22+N14*$AE$23+O14*$AE$24+P14*$AE$25+Q14*$AE$26+R14*$AE$27+S14*$AE$28+T14*$AE$29+U14*$AE$30</f>
        <v/>
      </c>
      <c r="W14" s="8">
        <f>1/(1+EXP(-V14))</f>
        <v/>
      </c>
      <c r="X14" s="9">
        <f>-IF(C14=1,LN(W14),LN(1-W14))</f>
        <v/>
      </c>
      <c r="Y14" s="8">
        <f>IF(C14=1,$AE$32,$AE$33)</f>
        <v/>
      </c>
      <c r="Z14" s="9">
        <f>Y14*X14</f>
        <v/>
      </c>
      <c r="AA14" s="10">
        <f>IF(W14&gt;$AE$34,1,0)</f>
        <v/>
      </c>
      <c r="AB14">
        <f>IF(AA14=C14,1,0)</f>
        <v/>
      </c>
      <c r="AD14" t="inlineStr">
        <is>
          <t>amount</t>
        </is>
      </c>
      <c r="AE14" s="11" t="n">
        <v>0.1163535941884676</v>
      </c>
      <c r="AF14" s="12" t="n">
        <v>0.1525946765631302</v>
      </c>
      <c r="AI14" s="3" t="inlineStr">
        <is>
          <t>actual 0 (good payer)</t>
        </is>
      </c>
      <c r="AJ14" t="inlineStr">
        <is>
          <t>TN | FP</t>
        </is>
      </c>
      <c r="AK14" s="13">
        <f>COUNTIFS($B$12:$B$1011,"testing",$C$12:$C$1011,0,$AA$12:$AA$1011,0)</f>
        <v/>
      </c>
      <c r="AL14" s="13">
        <f>COUNTIFS($B$12:$B$1011,"testing",$C$12:$C$1011,0,$AA$12:$AA$1011,1)</f>
        <v/>
      </c>
      <c r="AM14">
        <f>AK14+AL14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$AE$12+D15*$AE$13+E15*$AE$14+F15*$AE$15+G15*$AE$16+H15*$AE$17+I15*$AE$18+J15*$AE$19+K15*$AE$20+L15*$AE$21+M15*$AE$22+N15*$AE$23+O15*$AE$24+P15*$AE$25+Q15*$AE$26+R15*$AE$27+S15*$AE$28+T15*$AE$29+U15*$AE$30</f>
        <v/>
      </c>
      <c r="W15" s="8">
        <f>1/(1+EXP(-V15))</f>
        <v/>
      </c>
      <c r="X15" s="9">
        <f>-IF(C15=1,LN(W15),LN(1-W15))</f>
        <v/>
      </c>
      <c r="Y15" s="8">
        <f>IF(C15=1,$AE$32,$AE$33)</f>
        <v/>
      </c>
      <c r="Z15" s="9">
        <f>Y15*X15</f>
        <v/>
      </c>
      <c r="AA15" s="10">
        <f>IF(W15&gt;$AE$34,1,0)</f>
        <v/>
      </c>
      <c r="AB15">
        <f>IF(AA15=C15,1,0)</f>
        <v/>
      </c>
      <c r="AD15" t="inlineStr">
        <is>
          <t>age</t>
        </is>
      </c>
      <c r="AE15" s="11" t="n">
        <v>-0.09914522482627074</v>
      </c>
      <c r="AF15" s="12" t="n">
        <v>-0.1219667838490076</v>
      </c>
      <c r="AI15" s="3" t="inlineStr">
        <is>
          <t>actual 1 (defaulter)</t>
        </is>
      </c>
      <c r="AJ15" t="inlineStr">
        <is>
          <t>FN | TP</t>
        </is>
      </c>
      <c r="AK15" s="13">
        <f>COUNTIFS($B$12:$B$1011,"testing",$C$12:$C$1011,1,$AA$12:$AA$1011,0)</f>
        <v/>
      </c>
      <c r="AL15" s="13">
        <f>COUNTIFS($B$12:$B$1011,"testing",$C$12:$C$1011,1,$AA$12:$AA$1011,1)</f>
        <v/>
      </c>
      <c r="AM15">
        <f>AK15+AL15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$AE$12+D16*$AE$13+E16*$AE$14+F16*$AE$15+G16*$AE$16+H16*$AE$17+I16*$AE$18+J16*$AE$19+K16*$AE$20+L16*$AE$21+M16*$AE$22+N16*$AE$23+O16*$AE$24+P16*$AE$25+Q16*$AE$26+R16*$AE$27+S16*$AE$28+T16*$AE$29+U16*$AE$30</f>
        <v/>
      </c>
      <c r="W16" s="8">
        <f>1/(1+EXP(-V16))</f>
        <v/>
      </c>
      <c r="X16" s="9">
        <f>-IF(C16=1,LN(W16),LN(1-W16))</f>
        <v/>
      </c>
      <c r="Y16" s="8">
        <f>IF(C16=1,$AE$32,$AE$33)</f>
        <v/>
      </c>
      <c r="Z16" s="9">
        <f>Y16*X16</f>
        <v/>
      </c>
      <c r="AA16" s="10">
        <f>IF(W16&gt;$AE$34,1,0)</f>
        <v/>
      </c>
      <c r="AB16">
        <f>IF(AA16=C16,1,0)</f>
        <v/>
      </c>
      <c r="AD16" t="inlineStr">
        <is>
          <t>installment_pct_income</t>
        </is>
      </c>
      <c r="AE16" s="11" t="n">
        <v>0.2872157655933926</v>
      </c>
      <c r="AF16" s="12" t="n">
        <v>0.2862819507122343</v>
      </c>
      <c r="AI16" s="3" t="inlineStr">
        <is>
          <t>total</t>
        </is>
      </c>
      <c r="AK16">
        <f>AK14+AK15</f>
        <v/>
      </c>
      <c r="AL16">
        <f>AL14+AL15</f>
        <v/>
      </c>
      <c r="AM16">
        <f>AM14+AM15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$AE$12+D17*$AE$13+E17*$AE$14+F17*$AE$15+G17*$AE$16+H17*$AE$17+I17*$AE$18+J17*$AE$19+K17*$AE$20+L17*$AE$21+M17*$AE$22+N17*$AE$23+O17*$AE$24+P17*$AE$25+Q17*$AE$26+R17*$AE$27+S17*$AE$28+T17*$AE$29+U17*$AE$30</f>
        <v/>
      </c>
      <c r="W17" s="8">
        <f>1/(1+EXP(-V17))</f>
        <v/>
      </c>
      <c r="X17" s="9">
        <f>-IF(C17=1,LN(W17),LN(1-W17))</f>
        <v/>
      </c>
      <c r="Y17" s="8">
        <f>IF(C17=1,$AE$32,$AE$33)</f>
        <v/>
      </c>
      <c r="Z17" s="9">
        <f>Y17*X17</f>
        <v/>
      </c>
      <c r="AA17" s="10">
        <f>IF(W17&gt;$AE$34,1,0)</f>
        <v/>
      </c>
      <c r="AB17">
        <f>IF(AA17=C17,1,0)</f>
        <v/>
      </c>
      <c r="AD17" t="inlineStr">
        <is>
          <t>chk_negative</t>
        </is>
      </c>
      <c r="AE17" s="11" t="n">
        <v>1.546402670396991</v>
      </c>
      <c r="AF17" s="12" t="n">
        <v>1.567057482146466</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$AE$12+D18*$AE$13+E18*$AE$14+F18*$AE$15+G18*$AE$16+H18*$AE$17+I18*$AE$18+J18*$AE$19+K18*$AE$20+L18*$AE$21+M18*$AE$22+N18*$AE$23+O18*$AE$24+P18*$AE$25+Q18*$AE$26+R18*$AE$27+S18*$AE$28+T18*$AE$29+U18*$AE$30</f>
        <v/>
      </c>
      <c r="W18" s="8">
        <f>1/(1+EXP(-V18))</f>
        <v/>
      </c>
      <c r="X18" s="9">
        <f>-IF(C18=1,LN(W18),LN(1-W18))</f>
        <v/>
      </c>
      <c r="Y18" s="8">
        <f>IF(C18=1,$AE$32,$AE$33)</f>
        <v/>
      </c>
      <c r="Z18" s="9">
        <f>Y18*X18</f>
        <v/>
      </c>
      <c r="AA18" s="10">
        <f>IF(W18&gt;$AE$34,1,0)</f>
        <v/>
      </c>
      <c r="AB18">
        <f>IF(AA18=C18,1,0)</f>
        <v/>
      </c>
      <c r="AD18" t="inlineStr">
        <is>
          <t>chk_0_200</t>
        </is>
      </c>
      <c r="AE18" s="11" t="n">
        <v>1.294997779791349</v>
      </c>
      <c r="AF18" s="12" t="n">
        <v>1.328643318250187</v>
      </c>
      <c r="AI18" s="4" t="inlineStr"/>
      <c r="AJ18" s="4" t="inlineStr">
        <is>
          <t>precision</t>
        </is>
      </c>
      <c r="AK18" s="4" t="inlineStr">
        <is>
          <t>recall</t>
        </is>
      </c>
      <c r="AL18" s="4" t="inlineStr">
        <is>
          <t>f1-score</t>
        </is>
      </c>
      <c r="AM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$AE$12+D19*$AE$13+E19*$AE$14+F19*$AE$15+G19*$AE$16+H19*$AE$17+I19*$AE$18+J19*$AE$19+K19*$AE$20+L19*$AE$21+M19*$AE$22+N19*$AE$23+O19*$AE$24+P19*$AE$25+Q19*$AE$26+R19*$AE$27+S19*$AE$28+T19*$AE$29+U19*$AE$30</f>
        <v/>
      </c>
      <c r="W19" s="8">
        <f>1/(1+EXP(-V19))</f>
        <v/>
      </c>
      <c r="X19" s="9">
        <f>-IF(C19=1,LN(W19),LN(1-W19))</f>
        <v/>
      </c>
      <c r="Y19" s="8">
        <f>IF(C19=1,$AE$32,$AE$33)</f>
        <v/>
      </c>
      <c r="Z19" s="9">
        <f>Y19*X19</f>
        <v/>
      </c>
      <c r="AA19" s="10">
        <f>IF(W19&gt;$AE$34,1,0)</f>
        <v/>
      </c>
      <c r="AB19">
        <f>IF(AA19=C19,1,0)</f>
        <v/>
      </c>
      <c r="AD19" t="inlineStr">
        <is>
          <t>chk_over_200</t>
        </is>
      </c>
      <c r="AE19" s="11" t="n">
        <v>0.6683615861023957</v>
      </c>
      <c r="AF19" s="12" t="n">
        <v>0.728389050598395</v>
      </c>
      <c r="AI19" s="3" t="inlineStr">
        <is>
          <t>class 0 (pays)</t>
        </is>
      </c>
      <c r="AJ19" s="14">
        <f>IF(AK14+AK15=0,0,AK14/(AK14+AK15))</f>
        <v/>
      </c>
      <c r="AK19" s="14">
        <f>IF(AK14+AL14=0,0,AK14/(AK14+AL14))</f>
        <v/>
      </c>
      <c r="AL19" s="14">
        <f>IF(AJ19+AK19=0,0,2*AJ19*AK19/(AJ19+AK19))</f>
        <v/>
      </c>
      <c r="AM19">
        <f>AM14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$AE$12+D20*$AE$13+E20*$AE$14+F20*$AE$15+G20*$AE$16+H20*$AE$17+I20*$AE$18+J20*$AE$19+K20*$AE$20+L20*$AE$21+M20*$AE$22+N20*$AE$23+O20*$AE$24+P20*$AE$25+Q20*$AE$26+R20*$AE$27+S20*$AE$28+T20*$AE$29+U20*$AE$30</f>
        <v/>
      </c>
      <c r="W20" s="8">
        <f>1/(1+EXP(-V20))</f>
        <v/>
      </c>
      <c r="X20" s="9">
        <f>-IF(C20=1,LN(W20),LN(1-W20))</f>
        <v/>
      </c>
      <c r="Y20" s="8">
        <f>IF(C20=1,$AE$32,$AE$33)</f>
        <v/>
      </c>
      <c r="Z20" s="9">
        <f>Y20*X20</f>
        <v/>
      </c>
      <c r="AA20" s="10">
        <f>IF(W20&gt;$AE$34,1,0)</f>
        <v/>
      </c>
      <c r="AB20">
        <f>IF(AA20=C20,1,0)</f>
        <v/>
      </c>
      <c r="AD20" t="inlineStr">
        <is>
          <t>hist_critical</t>
        </is>
      </c>
      <c r="AE20" s="11" t="n">
        <v>-0.6573449373610837</v>
      </c>
      <c r="AF20" s="12" t="n">
        <v>-0.6573934435017298</v>
      </c>
      <c r="AI20" s="3" t="inlineStr">
        <is>
          <t>class 1 (defaults)</t>
        </is>
      </c>
      <c r="AJ20" s="14">
        <f>IF(AL15+AL14=0,0,AL15/(AL15+AL14))</f>
        <v/>
      </c>
      <c r="AK20" s="14">
        <f>IF(AL15+AK15=0,0,AL15/(AL15+AK15))</f>
        <v/>
      </c>
      <c r="AL20" s="14">
        <f>IF(AJ20+AK20=0,0,2*AJ20*AK20/(AJ20+AK20))</f>
        <v/>
      </c>
      <c r="AM20">
        <f>AM15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$AE$12+D21*$AE$13+E21*$AE$14+F21*$AE$15+G21*$AE$16+H21*$AE$17+I21*$AE$18+J21*$AE$19+K21*$AE$20+L21*$AE$21+M21*$AE$22+N21*$AE$23+O21*$AE$24+P21*$AE$25+Q21*$AE$26+R21*$AE$27+S21*$AE$28+T21*$AE$29+U21*$AE$30</f>
        <v/>
      </c>
      <c r="W21" s="8">
        <f>1/(1+EXP(-V21))</f>
        <v/>
      </c>
      <c r="X21" s="9">
        <f>-IF(C21=1,LN(W21),LN(1-W21))</f>
        <v/>
      </c>
      <c r="Y21" s="8">
        <f>IF(C21=1,$AE$32,$AE$33)</f>
        <v/>
      </c>
      <c r="Z21" s="9">
        <f>Y21*X21</f>
        <v/>
      </c>
      <c r="AA21" s="10">
        <f>IF(W21&gt;$AE$34,1,0)</f>
        <v/>
      </c>
      <c r="AB21">
        <f>IF(AA21=C21,1,0)</f>
        <v/>
      </c>
      <c r="AD21" t="inlineStr">
        <is>
          <t>hist_delays</t>
        </is>
      </c>
      <c r="AE21" s="11" t="n">
        <v>-0.04019551911120235</v>
      </c>
      <c r="AF21" s="12" t="n">
        <v>-0.02118260773371437</v>
      </c>
      <c r="AI21" s="3" t="inlineStr">
        <is>
          <t>accuracy</t>
        </is>
      </c>
      <c r="AL21" s="14">
        <f>(AL15+AK14)/AM16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$AE$12+D22*$AE$13+E22*$AE$14+F22*$AE$15+G22*$AE$16+H22*$AE$17+I22*$AE$18+J22*$AE$19+K22*$AE$20+L22*$AE$21+M22*$AE$22+N22*$AE$23+O22*$AE$24+P22*$AE$25+Q22*$AE$26+R22*$AE$27+S22*$AE$28+T22*$AE$29+U22*$AE$30</f>
        <v/>
      </c>
      <c r="W22" s="8">
        <f>1/(1+EXP(-V22))</f>
        <v/>
      </c>
      <c r="X22" s="9">
        <f>-IF(C22=1,LN(W22),LN(1-W22))</f>
        <v/>
      </c>
      <c r="Y22" s="8">
        <f>IF(C22=1,$AE$32,$AE$33)</f>
        <v/>
      </c>
      <c r="Z22" s="9">
        <f>Y22*X22</f>
        <v/>
      </c>
      <c r="AA22" s="10">
        <f>IF(W22&gt;$AE$34,1,0)</f>
        <v/>
      </c>
      <c r="AB22">
        <f>IF(AA22=C22,1,0)</f>
        <v/>
      </c>
      <c r="AD22" t="inlineStr">
        <is>
          <t>hist_no_credits</t>
        </is>
      </c>
      <c r="AE22" s="11" t="n">
        <v>0.6690656278784681</v>
      </c>
      <c r="AF22" s="12" t="n">
        <v>0.6246750547943719</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$AE$12+D23*$AE$13+E23*$AE$14+F23*$AE$15+G23*$AE$16+H23*$AE$17+I23*$AE$18+J23*$AE$19+K23*$AE$20+L23*$AE$21+M23*$AE$22+N23*$AE$23+O23*$AE$24+P23*$AE$25+Q23*$AE$26+R23*$AE$27+S23*$AE$28+T23*$AE$29+U23*$AE$30</f>
        <v/>
      </c>
      <c r="W23" s="8">
        <f>1/(1+EXP(-V23))</f>
        <v/>
      </c>
      <c r="X23" s="9">
        <f>-IF(C23=1,LN(W23),LN(1-W23))</f>
        <v/>
      </c>
      <c r="Y23" s="8">
        <f>IF(C23=1,$AE$32,$AE$33)</f>
        <v/>
      </c>
      <c r="Z23" s="9">
        <f>Y23*X23</f>
        <v/>
      </c>
      <c r="AA23" s="10">
        <f>IF(W23&gt;$AE$34,1,0)</f>
        <v/>
      </c>
      <c r="AB23">
        <f>IF(AA23=C23,1,0)</f>
        <v/>
      </c>
      <c r="AD23" t="inlineStr">
        <is>
          <t>sav_100_1000</t>
        </is>
      </c>
      <c r="AE23" s="11" t="n">
        <v>-0.3895834298458181</v>
      </c>
      <c r="AF23" s="12" t="n">
        <v>-0.344166196457791</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$AE$12+D24*$AE$13+E24*$AE$14+F24*$AE$15+G24*$AE$16+H24*$AE$17+I24*$AE$18+J24*$AE$19+K24*$AE$20+L24*$AE$21+M24*$AE$22+N24*$AE$23+O24*$AE$24+P24*$AE$25+Q24*$AE$26+R24*$AE$27+S24*$AE$28+T24*$AE$29+U24*$AE$30</f>
        <v/>
      </c>
      <c r="W24" s="8">
        <f>1/(1+EXP(-V24))</f>
        <v/>
      </c>
      <c r="X24" s="9">
        <f>-IF(C24=1,LN(W24),LN(1-W24))</f>
        <v/>
      </c>
      <c r="Y24" s="8">
        <f>IF(C24=1,$AE$32,$AE$33)</f>
        <v/>
      </c>
      <c r="Z24" s="9">
        <f>Y24*X24</f>
        <v/>
      </c>
      <c r="AA24" s="10">
        <f>IF(W24&gt;$AE$34,1,0)</f>
        <v/>
      </c>
      <c r="AB24">
        <f>IF(AA24=C24,1,0)</f>
        <v/>
      </c>
      <c r="AD24" t="inlineStr">
        <is>
          <t>sav_over_1000</t>
        </is>
      </c>
      <c r="AE24" s="11" t="n">
        <v>-0.8892238593761824</v>
      </c>
      <c r="AF24" s="12" t="n">
        <v>-0.7978380503563232</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$AE$12+D25*$AE$13+E25*$AE$14+F25*$AE$15+G25*$AE$16+H25*$AE$17+I25*$AE$18+J25*$AE$19+K25*$AE$20+L25*$AE$21+M25*$AE$22+N25*$AE$23+O25*$AE$24+P25*$AE$25+Q25*$AE$26+R25*$AE$27+S25*$AE$28+T25*$AE$29+U25*$AE$30</f>
        <v/>
      </c>
      <c r="W25" s="8">
        <f>1/(1+EXP(-V25))</f>
        <v/>
      </c>
      <c r="X25" s="9">
        <f>-IF(C25=1,LN(W25),LN(1-W25))</f>
        <v/>
      </c>
      <c r="Y25" s="8">
        <f>IF(C25=1,$AE$32,$AE$33)</f>
        <v/>
      </c>
      <c r="Z25" s="9">
        <f>Y25*X25</f>
        <v/>
      </c>
      <c r="AA25" s="10">
        <f>IF(W25&gt;$AE$34,1,0)</f>
        <v/>
      </c>
      <c r="AB25">
        <f>IF(AA25=C25,1,0)</f>
        <v/>
      </c>
      <c r="AD25" t="inlineStr">
        <is>
          <t>sav_unknown</t>
        </is>
      </c>
      <c r="AE25" s="11" t="n">
        <v>-1.076092926242446</v>
      </c>
      <c r="AF25" s="12" t="n">
        <v>-0.9941460709185315</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$AE$12+D26*$AE$13+E26*$AE$14+F26*$AE$15+G26*$AE$16+H26*$AE$17+I26*$AE$18+J26*$AE$19+K26*$AE$20+L26*$AE$21+M26*$AE$22+N26*$AE$23+O26*$AE$24+P26*$AE$25+Q26*$AE$26+R26*$AE$27+S26*$AE$28+T26*$AE$29+U26*$AE$30</f>
        <v/>
      </c>
      <c r="W26" s="8">
        <f>1/(1+EXP(-V26))</f>
        <v/>
      </c>
      <c r="X26" s="9">
        <f>-IF(C26=1,LN(W26),LN(1-W26))</f>
        <v/>
      </c>
      <c r="Y26" s="8">
        <f>IF(C26=1,$AE$32,$AE$33)</f>
        <v/>
      </c>
      <c r="Z26" s="9">
        <f>Y26*X26</f>
        <v/>
      </c>
      <c r="AA26" s="10">
        <f>IF(W26&gt;$AE$34,1,0)</f>
        <v/>
      </c>
      <c r="AB26">
        <f>IF(AA26=C26,1,0)</f>
        <v/>
      </c>
      <c r="AD26" t="inlineStr">
        <is>
          <t>housing_rent</t>
        </is>
      </c>
      <c r="AE26" s="11" t="n">
        <v>0.6538371780658356</v>
      </c>
      <c r="AF26" s="12" t="n">
        <v>0.623039891647007</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$AE$12+D27*$AE$13+E27*$AE$14+F27*$AE$15+G27*$AE$16+H27*$AE$17+I27*$AE$18+J27*$AE$19+K27*$AE$20+L27*$AE$21+M27*$AE$22+N27*$AE$23+O27*$AE$24+P27*$AE$25+Q27*$AE$26+R27*$AE$27+S27*$AE$28+T27*$AE$29+U27*$AE$30</f>
        <v/>
      </c>
      <c r="W27" s="8">
        <f>1/(1+EXP(-V27))</f>
        <v/>
      </c>
      <c r="X27" s="9">
        <f>-IF(C27=1,LN(W27),LN(1-W27))</f>
        <v/>
      </c>
      <c r="Y27" s="8">
        <f>IF(C27=1,$AE$32,$AE$33)</f>
        <v/>
      </c>
      <c r="Z27" s="9">
        <f>Y27*X27</f>
        <v/>
      </c>
      <c r="AA27" s="10">
        <f>IF(W27&gt;$AE$34,1,0)</f>
        <v/>
      </c>
      <c r="AB27">
        <f>IF(AA27=C27,1,0)</f>
        <v/>
      </c>
      <c r="AD27" t="inlineStr">
        <is>
          <t>housing_free</t>
        </is>
      </c>
      <c r="AE27" s="11" t="n">
        <v>0.1953653579159878</v>
      </c>
      <c r="AF27" s="12" t="n">
        <v>0.2218712446814394</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$AE$12+D28*$AE$13+E28*$AE$14+F28*$AE$15+G28*$AE$16+H28*$AE$17+I28*$AE$18+J28*$AE$19+K28*$AE$20+L28*$AE$21+M28*$AE$22+N28*$AE$23+O28*$AE$24+P28*$AE$25+Q28*$AE$26+R28*$AE$27+S28*$AE$28+T28*$AE$29+U28*$AE$30</f>
        <v/>
      </c>
      <c r="W28" s="8">
        <f>1/(1+EXP(-V28))</f>
        <v/>
      </c>
      <c r="X28" s="9">
        <f>-IF(C28=1,LN(W28),LN(1-W28))</f>
        <v/>
      </c>
      <c r="Y28" s="8">
        <f>IF(C28=1,$AE$32,$AE$33)</f>
        <v/>
      </c>
      <c r="Z28" s="9">
        <f>Y28*X28</f>
        <v/>
      </c>
      <c r="AA28" s="10">
        <f>IF(W28&gt;$AE$34,1,0)</f>
        <v/>
      </c>
      <c r="AB28">
        <f>IF(AA28=C28,1,0)</f>
        <v/>
      </c>
      <c r="AD28" t="inlineStr">
        <is>
          <t>purpose_car</t>
        </is>
      </c>
      <c r="AE28" s="11" t="n">
        <v>-0.08016547581790479</v>
      </c>
      <c r="AF28" s="12" t="n">
        <v>-0.1491804764296379</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$AE$12+D29*$AE$13+E29*$AE$14+F29*$AE$15+G29*$AE$16+H29*$AE$17+I29*$AE$18+J29*$AE$19+K29*$AE$20+L29*$AE$21+M29*$AE$22+N29*$AE$23+O29*$AE$24+P29*$AE$25+Q29*$AE$26+R29*$AE$27+S29*$AE$28+T29*$AE$29+U29*$AE$30</f>
        <v/>
      </c>
      <c r="W29" s="8">
        <f>1/(1+EXP(-V29))</f>
        <v/>
      </c>
      <c r="X29" s="9">
        <f>-IF(C29=1,LN(W29),LN(1-W29))</f>
        <v/>
      </c>
      <c r="Y29" s="8">
        <f>IF(C29=1,$AE$32,$AE$33)</f>
        <v/>
      </c>
      <c r="Z29" s="9">
        <f>Y29*X29</f>
        <v/>
      </c>
      <c r="AA29" s="10">
        <f>IF(W29&gt;$AE$34,1,0)</f>
        <v/>
      </c>
      <c r="AB29">
        <f>IF(AA29=C29,1,0)</f>
        <v/>
      </c>
      <c r="AD29" t="inlineStr">
        <is>
          <t>purpose_radio_tv</t>
        </is>
      </c>
      <c r="AE29" s="11" t="n">
        <v>-0.5202106472417524</v>
      </c>
      <c r="AF29" s="12" t="n">
        <v>-0.5838407234643852</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$AE$12+D30*$AE$13+E30*$AE$14+F30*$AE$15+G30*$AE$16+H30*$AE$17+I30*$AE$18+J30*$AE$19+K30*$AE$20+L30*$AE$21+M30*$AE$22+N30*$AE$23+O30*$AE$24+P30*$AE$25+Q30*$AE$26+R30*$AE$27+S30*$AE$28+T30*$AE$29+U30*$AE$30</f>
        <v/>
      </c>
      <c r="W30" s="8">
        <f>1/(1+EXP(-V30))</f>
        <v/>
      </c>
      <c r="X30" s="9">
        <f>-IF(C30=1,LN(W30),LN(1-W30))</f>
        <v/>
      </c>
      <c r="Y30" s="8">
        <f>IF(C30=1,$AE$32,$AE$33)</f>
        <v/>
      </c>
      <c r="Z30" s="9">
        <f>Y30*X30</f>
        <v/>
      </c>
      <c r="AA30" s="10">
        <f>IF(W30&gt;$AE$34,1,0)</f>
        <v/>
      </c>
      <c r="AB30">
        <f>IF(AA30=C30,1,0)</f>
        <v/>
      </c>
      <c r="AD30" t="inlineStr">
        <is>
          <t>purpose_furniture</t>
        </is>
      </c>
      <c r="AE30" s="11" t="n">
        <v>-0.2818027438096851</v>
      </c>
      <c r="AF30" s="12" t="n">
        <v>-0.3042255001022922</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$AE$12+D31*$AE$13+E31*$AE$14+F31*$AE$15+G31*$AE$16+H31*$AE$17+I31*$AE$18+J31*$AE$19+K31*$AE$20+L31*$AE$21+M31*$AE$22+N31*$AE$23+O31*$AE$24+P31*$AE$25+Q31*$AE$26+R31*$AE$27+S31*$AE$28+T31*$AE$29+U31*$AE$30</f>
        <v/>
      </c>
      <c r="W31" s="8">
        <f>1/(1+EXP(-V31))</f>
        <v/>
      </c>
      <c r="X31" s="9">
        <f>-IF(C31=1,LN(W31),LN(1-W31))</f>
        <v/>
      </c>
      <c r="Y31" s="8">
        <f>IF(C31=1,$AE$32,$AE$33)</f>
        <v/>
      </c>
      <c r="Z31" s="9">
        <f>Y31*X31</f>
        <v/>
      </c>
      <c r="AA31" s="10">
        <f>IF(W31&gt;$AE$34,1,0)</f>
        <v/>
      </c>
      <c r="AB31">
        <f>IF(AA31=C31,1,0)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$AE$12+D32*$AE$13+E32*$AE$14+F32*$AE$15+G32*$AE$16+H32*$AE$17+I32*$AE$18+J32*$AE$19+K32*$AE$20+L32*$AE$21+M32*$AE$22+N32*$AE$23+O32*$AE$24+P32*$AE$25+Q32*$AE$26+R32*$AE$27+S32*$AE$28+T32*$AE$29+U32*$AE$30</f>
        <v/>
      </c>
      <c r="W32" s="8">
        <f>1/(1+EXP(-V32))</f>
        <v/>
      </c>
      <c r="X32" s="9">
        <f>-IF(C32=1,LN(W32),LN(1-W32))</f>
        <v/>
      </c>
      <c r="Y32" s="8">
        <f>IF(C32=1,$AE$32,$AE$33)</f>
        <v/>
      </c>
      <c r="Z32" s="9">
        <f>Y32*X32</f>
        <v/>
      </c>
      <c r="AA32" s="10">
        <f>IF(W32&gt;$AE$34,1,0)</f>
        <v/>
      </c>
      <c r="AB32">
        <f>IF(AA32=C32,1,0)</f>
        <v/>
      </c>
      <c r="AD32" s="3" t="inlineStr">
        <is>
          <t>repetitions of each defaulter</t>
        </is>
      </c>
      <c r="AE32" s="20" t="n">
        <v>2</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$AE$12+D33*$AE$13+E33*$AE$14+F33*$AE$15+G33*$AE$16+H33*$AE$17+I33*$AE$18+J33*$AE$19+K33*$AE$20+L33*$AE$21+M33*$AE$22+N33*$AE$23+O33*$AE$24+P33*$AE$25+Q33*$AE$26+R33*$AE$27+S33*$AE$28+T33*$AE$29+U33*$AE$30</f>
        <v/>
      </c>
      <c r="W33" s="8">
        <f>1/(1+EXP(-V33))</f>
        <v/>
      </c>
      <c r="X33" s="9">
        <f>-IF(C33=1,LN(W33),LN(1-W33))</f>
        <v/>
      </c>
      <c r="Y33" s="8">
        <f>IF(C33=1,$AE$32,$AE$33)</f>
        <v/>
      </c>
      <c r="Z33" s="9">
        <f>Y33*X33</f>
        <v/>
      </c>
      <c r="AA33" s="10">
        <f>IF(W33&gt;$AE$34,1,0)</f>
        <v/>
      </c>
      <c r="AB33">
        <f>IF(AA33=C33,1,0)</f>
        <v/>
      </c>
      <c r="AD33" s="3" t="inlineStr">
        <is>
          <t>repetitions of each good payer</t>
        </is>
      </c>
      <c r="AE33" s="20" t="n">
        <v>1</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$AE$12+D34*$AE$13+E34*$AE$14+F34*$AE$15+G34*$AE$16+H34*$AE$17+I34*$AE$18+J34*$AE$19+K34*$AE$20+L34*$AE$21+M34*$AE$22+N34*$AE$23+O34*$AE$24+P34*$AE$25+Q34*$AE$26+R34*$AE$27+S34*$AE$28+T34*$AE$29+U34*$AE$30</f>
        <v/>
      </c>
      <c r="W34" s="8">
        <f>1/(1+EXP(-V34))</f>
        <v/>
      </c>
      <c r="X34" s="9">
        <f>-IF(C34=1,LN(W34),LN(1-W34))</f>
        <v/>
      </c>
      <c r="Y34" s="8">
        <f>IF(C34=1,$AE$32,$AE$33)</f>
        <v/>
      </c>
      <c r="Z34" s="9">
        <f>Y34*X34</f>
        <v/>
      </c>
      <c r="AA34" s="10">
        <f>IF(W34&gt;$AE$34,1,0)</f>
        <v/>
      </c>
      <c r="AB34">
        <f>IF(AA34=C34,1,0)</f>
        <v/>
      </c>
      <c r="AD34" s="3" t="inlineStr">
        <is>
          <t>threshold</t>
        </is>
      </c>
      <c r="AE34" s="15" t="n">
        <v>0.5</v>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$AE$12+D35*$AE$13+E35*$AE$14+F35*$AE$15+G35*$AE$16+H35*$AE$17+I35*$AE$18+J35*$AE$19+K35*$AE$20+L35*$AE$21+M35*$AE$22+N35*$AE$23+O35*$AE$24+P35*$AE$25+Q35*$AE$26+R35*$AE$27+S35*$AE$28+T35*$AE$29+U35*$AE$30</f>
        <v/>
      </c>
      <c r="W35" s="8">
        <f>1/(1+EXP(-V35))</f>
        <v/>
      </c>
      <c r="X35" s="9">
        <f>-IF(C35=1,LN(W35),LN(1-W35))</f>
        <v/>
      </c>
      <c r="Y35" s="8">
        <f>IF(C35=1,$AE$32,$AE$33)</f>
        <v/>
      </c>
      <c r="Z35" s="9">
        <f>Y35*X35</f>
        <v/>
      </c>
      <c r="AA35" s="10">
        <f>IF(W35&gt;$AE$34,1,0)</f>
        <v/>
      </c>
      <c r="AB35">
        <f>IF(AA35=C35,1,0)</f>
        <v/>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$AE$12+D36*$AE$13+E36*$AE$14+F36*$AE$15+G36*$AE$16+H36*$AE$17+I36*$AE$18+J36*$AE$19+K36*$AE$20+L36*$AE$21+M36*$AE$22+N36*$AE$23+O36*$AE$24+P36*$AE$25+Q36*$AE$26+R36*$AE$27+S36*$AE$28+T36*$AE$29+U36*$AE$30</f>
        <v/>
      </c>
      <c r="W36" s="8">
        <f>1/(1+EXP(-V36))</f>
        <v/>
      </c>
      <c r="X36" s="9">
        <f>-IF(C36=1,LN(W36),LN(1-W36))</f>
        <v/>
      </c>
      <c r="Y36" s="8">
        <f>IF(C36=1,$AE$32,$AE$33)</f>
        <v/>
      </c>
      <c r="Z36" s="9">
        <f>Y36*X36</f>
        <v/>
      </c>
      <c r="AA36" s="10">
        <f>IF(W36&gt;$AE$34,1,0)</f>
        <v/>
      </c>
      <c r="AB36">
        <f>IF(AA36=C36,1,0)</f>
        <v/>
      </c>
      <c r="AD36" s="3" t="inlineStr">
        <is>
          <t>RESULTS</t>
        </is>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$AE$12+D37*$AE$13+E37*$AE$14+F37*$AE$15+G37*$AE$16+H37*$AE$17+I37*$AE$18+J37*$AE$19+K37*$AE$20+L37*$AE$21+M37*$AE$22+N37*$AE$23+O37*$AE$24+P37*$AE$25+Q37*$AE$26+R37*$AE$27+S37*$AE$28+T37*$AE$29+U37*$AE$30</f>
        <v/>
      </c>
      <c r="W37" s="8">
        <f>1/(1+EXP(-V37))</f>
        <v/>
      </c>
      <c r="X37" s="9">
        <f>-IF(C37=1,LN(W37),LN(1-W37))</f>
        <v/>
      </c>
      <c r="Y37" s="8">
        <f>IF(C37=1,$AE$32,$AE$33)</f>
        <v/>
      </c>
      <c r="Z37" s="9">
        <f>Y37*X37</f>
        <v/>
      </c>
      <c r="AA37" s="10">
        <f>IF(W37&gt;$AE$34,1,0)</f>
        <v/>
      </c>
      <c r="AB37">
        <f>IF(AA37=C37,1,0)</f>
        <v/>
      </c>
      <c r="AD37" t="inlineStr">
        <is>
          <t>J = sum of weighted training losses (SOLVER OBJECTIVE)</t>
        </is>
      </c>
      <c r="AE37" s="16">
        <f>SUMPRODUCT(($B$12:$B$1011="training")*$Z$12:$Z$1011)</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$AE$12+D38*$AE$13+E38*$AE$14+F38*$AE$15+G38*$AE$16+H38*$AE$17+I38*$AE$18+J38*$AE$19+K38*$AE$20+L38*$AE$21+M38*$AE$22+N38*$AE$23+O38*$AE$24+P38*$AE$25+Q38*$AE$26+R38*$AE$27+S38*$AE$28+T38*$AE$29+U38*$AE$30</f>
        <v/>
      </c>
      <c r="W38" s="8">
        <f>1/(1+EXP(-V38))</f>
        <v/>
      </c>
      <c r="X38" s="9">
        <f>-IF(C38=1,LN(W38),LN(1-W38))</f>
        <v/>
      </c>
      <c r="Y38" s="8">
        <f>IF(C38=1,$AE$32,$AE$33)</f>
        <v/>
      </c>
      <c r="Z38" s="9">
        <f>Y38*X38</f>
        <v/>
      </c>
      <c r="AA38" s="10">
        <f>IF(W38&gt;$AE$34,1,0)</f>
        <v/>
      </c>
      <c r="AB38">
        <f>IF(AA38=C38,1,0)</f>
        <v/>
      </c>
      <c r="AD38" t="inlineStr">
        <is>
          <t>sum of row weights in training</t>
        </is>
      </c>
      <c r="AE38" s="17">
        <f>SUMPRODUCT(($B$12:$B$1011="training")*$Y$12:$Y$1011)</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$AE$12+D39*$AE$13+E39*$AE$14+F39*$AE$15+G39*$AE$16+H39*$AE$17+I39*$AE$18+J39*$AE$19+K39*$AE$20+L39*$AE$21+M39*$AE$22+N39*$AE$23+O39*$AE$24+P39*$AE$25+Q39*$AE$26+R39*$AE$27+S39*$AE$28+T39*$AE$29+U39*$AE$30</f>
        <v/>
      </c>
      <c r="W39" s="8">
        <f>1/(1+EXP(-V39))</f>
        <v/>
      </c>
      <c r="X39" s="9">
        <f>-IF(C39=1,LN(W39),LN(1-W39))</f>
        <v/>
      </c>
      <c r="Y39" s="8">
        <f>IF(C39=1,$AE$32,$AE$33)</f>
        <v/>
      </c>
      <c r="Z39" s="9">
        <f>Y39*X39</f>
        <v/>
      </c>
      <c r="AA39" s="10">
        <f>IF(W39&gt;$AE$34,1,0)</f>
        <v/>
      </c>
      <c r="AB39">
        <f>IF(AA39=C39,1,0)</f>
        <v/>
      </c>
      <c r="AD39" t="inlineStr">
        <is>
          <t>of which, class 1</t>
        </is>
      </c>
      <c r="AE39" s="17">
        <f>SUMPRODUCT(($B$12:$B$1011="training")*($C$12:$C$1011=1)*$Y$12:$Y$1011)</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$AE$12+D40*$AE$13+E40*$AE$14+F40*$AE$15+G40*$AE$16+H40*$AE$17+I40*$AE$18+J40*$AE$19+K40*$AE$20+L40*$AE$21+M40*$AE$22+N40*$AE$23+O40*$AE$24+P40*$AE$25+Q40*$AE$26+R40*$AE$27+S40*$AE$28+T40*$AE$29+U40*$AE$30</f>
        <v/>
      </c>
      <c r="W40" s="8">
        <f>1/(1+EXP(-V40))</f>
        <v/>
      </c>
      <c r="X40" s="9">
        <f>-IF(C40=1,LN(W40),LN(1-W40))</f>
        <v/>
      </c>
      <c r="Y40" s="8">
        <f>IF(C40=1,$AE$32,$AE$33)</f>
        <v/>
      </c>
      <c r="Z40" s="9">
        <f>Y40*X40</f>
        <v/>
      </c>
      <c r="AA40" s="10">
        <f>IF(W40&gt;$AE$34,1,0)</f>
        <v/>
      </c>
      <c r="AB40">
        <f>IF(AA40=C40,1,0)</f>
        <v/>
      </c>
      <c r="AD40" t="inlineStr">
        <is>
          <t>of which, class 0</t>
        </is>
      </c>
      <c r="AE40" s="17">
        <f>SUMPRODUCT(($B$12:$B$1011="training")*($C$12:$C$1011=0)*$Y$12:$Y$1011)</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$AE$12+D41*$AE$13+E41*$AE$14+F41*$AE$15+G41*$AE$16+H41*$AE$17+I41*$AE$18+J41*$AE$19+K41*$AE$20+L41*$AE$21+M41*$AE$22+N41*$AE$23+O41*$AE$24+P41*$AE$25+Q41*$AE$26+R41*$AE$27+S41*$AE$28+T41*$AE$29+U41*$AE$30</f>
        <v/>
      </c>
      <c r="W41" s="8">
        <f>1/(1+EXP(-V41))</f>
        <v/>
      </c>
      <c r="X41" s="9">
        <f>-IF(C41=1,LN(W41),LN(1-W41))</f>
        <v/>
      </c>
      <c r="Y41" s="8">
        <f>IF(C41=1,$AE$32,$AE$33)</f>
        <v/>
      </c>
      <c r="Z41" s="9">
        <f>Y41*X41</f>
        <v/>
      </c>
      <c r="AA41" s="10">
        <f>IF(W41&gt;$AE$34,1,0)</f>
        <v/>
      </c>
      <c r="AB41">
        <f>IF(AA41=C41,1,0)</f>
        <v/>
      </c>
      <c r="AD41" t="inlineStr">
        <is>
          <t>average testing loss (unweighted)</t>
        </is>
      </c>
      <c r="AE41" s="18">
        <f>SUMPRODUCT(($B$12:$B$1011="testing")*$X$12:$X$1011)/COUNTIF($B$12:$B$1011,"testing")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$AE$12+D42*$AE$13+E42*$AE$14+F42*$AE$15+G42*$AE$16+H42*$AE$17+I42*$AE$18+J42*$AE$19+K42*$AE$20+L42*$AE$21+M42*$AE$22+N42*$AE$23+O42*$AE$24+P42*$AE$25+Q42*$AE$26+R42*$AE$27+S42*$AE$28+T42*$AE$29+U42*$AE$30</f>
        <v/>
      </c>
      <c r="W42" s="8">
        <f>1/(1+EXP(-V42))</f>
        <v/>
      </c>
      <c r="X42" s="9">
        <f>-IF(C42=1,LN(W42),LN(1-W42))</f>
        <v/>
      </c>
      <c r="Y42" s="8">
        <f>IF(C42=1,$AE$32,$AE$33)</f>
        <v/>
      </c>
      <c r="Z42" s="9">
        <f>Y42*X42</f>
        <v/>
      </c>
      <c r="AA42" s="10">
        <f>IF(W42&gt;$AE$34,1,0)</f>
        <v/>
      </c>
      <c r="AB42">
        <f>IF(AA42=C42,1,0)</f>
        <v/>
      </c>
      <c r="AD42" t="inlineStr">
        <is>
          <t>average p on testing (the actual rate is 0.300)</t>
        </is>
      </c>
      <c r="AE42" s="14">
        <f>SUMPRODUCT(($B$12:$B$1011="testing")*$W$12:$W$1011)/COUNTIF($B$12:$B$1011,"testing")</f>
        <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$AE$12+D43*$AE$13+E43*$AE$14+F43*$AE$15+G43*$AE$16+H43*$AE$17+I43*$AE$18+J43*$AE$19+K43*$AE$20+L43*$AE$21+M43*$AE$22+N43*$AE$23+O43*$AE$24+P43*$AE$25+Q43*$AE$26+R43*$AE$27+S43*$AE$28+T43*$AE$29+U43*$AE$30</f>
        <v/>
      </c>
      <c r="W43" s="8">
        <f>1/(1+EXP(-V43))</f>
        <v/>
      </c>
      <c r="X43" s="9">
        <f>-IF(C43=1,LN(W43),LN(1-W43))</f>
        <v/>
      </c>
      <c r="Y43" s="8">
        <f>IF(C43=1,$AE$32,$AE$33)</f>
        <v/>
      </c>
      <c r="Z43" s="9">
        <f>Y43*X43</f>
        <v/>
      </c>
      <c r="AA43" s="10">
        <f>IF(W43&gt;$AE$34,1,0)</f>
        <v/>
      </c>
      <c r="AB43">
        <f>IF(AA43=C43,1,0)</f>
        <v/>
      </c>
      <c r="AD43" t="inlineStr">
        <is>
          <t>testing accuracy</t>
        </is>
      </c>
      <c r="AE43" s="19">
        <f>SUMPRODUCT(($B$12:$B$1011="testing")*$AB$12:$AB$1011)/COUNTIF($B$12:$B$1011,"testing")</f>
        <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$AE$12+D44*$AE$13+E44*$AE$14+F44*$AE$15+G44*$AE$16+H44*$AE$17+I44*$AE$18+J44*$AE$19+K44*$AE$20+L44*$AE$21+M44*$AE$22+N44*$AE$23+O44*$AE$24+P44*$AE$25+Q44*$AE$26+R44*$AE$27+S44*$AE$28+T44*$AE$29+U44*$AE$30</f>
        <v/>
      </c>
      <c r="W44" s="8">
        <f>1/(1+EXP(-V44))</f>
        <v/>
      </c>
      <c r="X44" s="9">
        <f>-IF(C44=1,LN(W44),LN(1-W44))</f>
        <v/>
      </c>
      <c r="Y44" s="8">
        <f>IF(C44=1,$AE$32,$AE$33)</f>
        <v/>
      </c>
      <c r="Z44" s="9">
        <f>Y44*X44</f>
        <v/>
      </c>
      <c r="AA44" s="10">
        <f>IF(W44&gt;$AE$34,1,0)</f>
        <v/>
      </c>
      <c r="AB44">
        <f>IF(AA44=C44,1,0)</f>
        <v/>
      </c>
      <c r="AD44" t="inlineStr">
        <is>
          <t>scikit-learn reference: class 1 recall on testing (threshold 0.5)</t>
        </is>
      </c>
      <c r="AE44" s="6" t="n">
        <v>0.8333333333333334</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$AE$12+D45*$AE$13+E45*$AE$14+F45*$AE$15+G45*$AE$16+H45*$AE$17+I45*$AE$18+J45*$AE$19+K45*$AE$20+L45*$AE$21+M45*$AE$22+N45*$AE$23+O45*$AE$24+P45*$AE$25+Q45*$AE$26+R45*$AE$27+S45*$AE$28+T45*$AE$29+U45*$AE$30</f>
        <v/>
      </c>
      <c r="W45" s="8">
        <f>1/(1+EXP(-V45))</f>
        <v/>
      </c>
      <c r="X45" s="9">
        <f>-IF(C45=1,LN(W45),LN(1-W45))</f>
        <v/>
      </c>
      <c r="Y45" s="8">
        <f>IF(C45=1,$AE$32,$AE$33)</f>
        <v/>
      </c>
      <c r="Z45" s="9">
        <f>Y45*X45</f>
        <v/>
      </c>
      <c r="AA45" s="10">
        <f>IF(W45&gt;$AE$34,1,0)</f>
        <v/>
      </c>
      <c r="AB45">
        <f>IF(AA45=C45,1,0)</f>
        <v/>
      </c>
      <c r="AD45" t="inlineStr">
        <is>
          <t>scikit-learn reference: class 1 precision on testing</t>
        </is>
      </c>
      <c r="AE45" s="6" t="n">
        <v>0.5597014925373134</v>
      </c>
    </row>
    <row r="46">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$AE$12+D46*$AE$13+E46*$AE$14+F46*$AE$15+G46*$AE$16+H46*$AE$17+I46*$AE$18+J46*$AE$19+K46*$AE$20+L46*$AE$21+M46*$AE$22+N46*$AE$23+O46*$AE$24+P46*$AE$25+Q46*$AE$26+R46*$AE$27+S46*$AE$28+T46*$AE$29+U46*$AE$30</f>
        <v/>
      </c>
      <c r="W46" s="8">
        <f>1/(1+EXP(-V46))</f>
        <v/>
      </c>
      <c r="X46" s="9">
        <f>-IF(C46=1,LN(W46),LN(1-W46))</f>
        <v/>
      </c>
      <c r="Y46" s="8">
        <f>IF(C46=1,$AE$32,$AE$33)</f>
        <v/>
      </c>
      <c r="Z46" s="9">
        <f>Y46*X46</f>
        <v/>
      </c>
      <c r="AA46" s="10">
        <f>IF(W46&gt;$AE$34,1,0)</f>
        <v/>
      </c>
      <c r="AB46">
        <f>IF(AA46=C46,1,0)</f>
        <v/>
      </c>
      <c r="AD46" t="inlineStr">
        <is>
          <t>scikit-learn reference: testing AUC</t>
        </is>
      </c>
      <c r="AE46" s="6" t="n">
        <v>0.8234920634920635</v>
      </c>
    </row>
    <row r="47">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$AE$12+D47*$AE$13+E47*$AE$14+F47*$AE$15+G47*$AE$16+H47*$AE$17+I47*$AE$18+J47*$AE$19+K47*$AE$20+L47*$AE$21+M47*$AE$22+N47*$AE$23+O47*$AE$24+P47*$AE$25+Q47*$AE$26+R47*$AE$27+S47*$AE$28+T47*$AE$29+U47*$AE$30</f>
        <v/>
      </c>
      <c r="W47" s="8">
        <f>1/(1+EXP(-V47))</f>
        <v/>
      </c>
      <c r="X47" s="9">
        <f>-IF(C47=1,LN(W47),LN(1-W47))</f>
        <v/>
      </c>
      <c r="Y47" s="8">
        <f>IF(C47=1,$AE$32,$AE$33)</f>
        <v/>
      </c>
      <c r="Z47" s="9">
        <f>Y47*X47</f>
        <v/>
      </c>
      <c r="AA47" s="10">
        <f>IF(W47&gt;$AE$34,1,0)</f>
        <v/>
      </c>
      <c r="AB47">
        <f>IF(AA47=C47,1,0)</f>
        <v/>
      </c>
    </row>
    <row r="48" ht="62" customHeight="1">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$AE$12+D48*$AE$13+E48*$AE$14+F48*$AE$15+G48*$AE$16+H48*$AE$17+I48*$AE$18+J48*$AE$19+K48*$AE$20+L48*$AE$21+M48*$AE$22+N48*$AE$23+O48*$AE$24+P48*$AE$25+Q48*$AE$26+R48*$AE$27+S48*$AE$28+T48*$AE$29+U48*$AE$30</f>
        <v/>
      </c>
      <c r="W48" s="8">
        <f>1/(1+EXP(-V48))</f>
        <v/>
      </c>
      <c r="X48" s="9">
        <f>-IF(C48=1,LN(W48),LN(1-W48))</f>
        <v/>
      </c>
      <c r="Y48" s="8">
        <f>IF(C48=1,$AE$32,$AE$33)</f>
        <v/>
      </c>
      <c r="Z48" s="9">
        <f>Y48*X48</f>
        <v/>
      </c>
      <c r="AA48" s="10">
        <f>IF(W48&gt;$AE$34,1,0)</f>
        <v/>
      </c>
      <c r="AB48">
        <f>IF(AA48=C48,1,0)</f>
        <v/>
      </c>
      <c r="AD48" s="2" t="inlineStr">
        <is>
          <t>Solver: minimize J by changing the light blue model weight cells (not the class weight cells), GRG Nonlinear, central derivatives, convergence 0.000001, no constraints and with 'Make Unconstrained Variables Non-Negative' UNTICKED. Run twice if it stops early.</t>
        </is>
      </c>
    </row>
    <row r="49">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$AE$12+D49*$AE$13+E49*$AE$14+F49*$AE$15+G49*$AE$16+H49*$AE$17+I49*$AE$18+J49*$AE$19+K49*$AE$20+L49*$AE$21+M49*$AE$22+N49*$AE$23+O49*$AE$24+P49*$AE$25+Q49*$AE$26+R49*$AE$27+S49*$AE$28+T49*$AE$29+U49*$AE$30</f>
        <v/>
      </c>
      <c r="W49" s="8">
        <f>1/(1+EXP(-V49))</f>
        <v/>
      </c>
      <c r="X49" s="9">
        <f>-IF(C49=1,LN(W49),LN(1-W49))</f>
        <v/>
      </c>
      <c r="Y49" s="8">
        <f>IF(C49=1,$AE$32,$AE$33)</f>
        <v/>
      </c>
      <c r="Z49" s="9">
        <f>Y49*X49</f>
        <v/>
      </c>
      <c r="AA49" s="10">
        <f>IF(W49&gt;$AE$34,1,0)</f>
        <v/>
      </c>
      <c r="AB49">
        <f>IF(AA49=C49,1,0)</f>
        <v/>
      </c>
    </row>
    <row r="50">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$AE$12+D50*$AE$13+E50*$AE$14+F50*$AE$15+G50*$AE$16+H50*$AE$17+I50*$AE$18+J50*$AE$19+K50*$AE$20+L50*$AE$21+M50*$AE$22+N50*$AE$23+O50*$AE$24+P50*$AE$25+Q50*$AE$26+R50*$AE$27+S50*$AE$28+T50*$AE$29+U50*$AE$30</f>
        <v/>
      </c>
      <c r="W50" s="8">
        <f>1/(1+EXP(-V50))</f>
        <v/>
      </c>
      <c r="X50" s="9">
        <f>-IF(C50=1,LN(W50),LN(1-W50))</f>
        <v/>
      </c>
      <c r="Y50" s="8">
        <f>IF(C50=1,$AE$32,$AE$33)</f>
        <v/>
      </c>
      <c r="Z50" s="9">
        <f>Y50*X50</f>
        <v/>
      </c>
      <c r="AA50" s="10">
        <f>IF(W50&gt;$AE$34,1,0)</f>
        <v/>
      </c>
      <c r="AB50">
        <f>IF(AA50=C50,1,0)</f>
        <v/>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$AE$12+D51*$AE$13+E51*$AE$14+F51*$AE$15+G51*$AE$16+H51*$AE$17+I51*$AE$18+J51*$AE$19+K51*$AE$20+L51*$AE$21+M51*$AE$22+N51*$AE$23+O51*$AE$24+P51*$AE$25+Q51*$AE$26+R51*$AE$27+S51*$AE$28+T51*$AE$29+U51*$AE$30</f>
        <v/>
      </c>
      <c r="W51" s="8">
        <f>1/(1+EXP(-V51))</f>
        <v/>
      </c>
      <c r="X51" s="9">
        <f>-IF(C51=1,LN(W51),LN(1-W51))</f>
        <v/>
      </c>
      <c r="Y51" s="8">
        <f>IF(C51=1,$AE$32,$AE$33)</f>
        <v/>
      </c>
      <c r="Z51" s="9">
        <f>Y51*X51</f>
        <v/>
      </c>
      <c r="AA51" s="10">
        <f>IF(W51&gt;$AE$34,1,0)</f>
        <v/>
      </c>
      <c r="AB51">
        <f>IF(AA51=C51,1,0)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$AE$12+D52*$AE$13+E52*$AE$14+F52*$AE$15+G52*$AE$16+H52*$AE$17+I52*$AE$18+J52*$AE$19+K52*$AE$20+L52*$AE$21+M52*$AE$22+N52*$AE$23+O52*$AE$24+P52*$AE$25+Q52*$AE$26+R52*$AE$27+S52*$AE$28+T52*$AE$29+U52*$AE$30</f>
        <v/>
      </c>
      <c r="W52" s="8">
        <f>1/(1+EXP(-V52))</f>
        <v/>
      </c>
      <c r="X52" s="9">
        <f>-IF(C52=1,LN(W52),LN(1-W52))</f>
        <v/>
      </c>
      <c r="Y52" s="8">
        <f>IF(C52=1,$AE$32,$AE$33)</f>
        <v/>
      </c>
      <c r="Z52" s="9">
        <f>Y52*X52</f>
        <v/>
      </c>
      <c r="AA52" s="10">
        <f>IF(W52&gt;$AE$34,1,0)</f>
        <v/>
      </c>
      <c r="AB52">
        <f>IF(AA52=C52,1,0)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$AE$12+D53*$AE$13+E53*$AE$14+F53*$AE$15+G53*$AE$16+H53*$AE$17+I53*$AE$18+J53*$AE$19+K53*$AE$20+L53*$AE$21+M53*$AE$22+N53*$AE$23+O53*$AE$24+P53*$AE$25+Q53*$AE$26+R53*$AE$27+S53*$AE$28+T53*$AE$29+U53*$AE$30</f>
        <v/>
      </c>
      <c r="W53" s="8">
        <f>1/(1+EXP(-V53))</f>
        <v/>
      </c>
      <c r="X53" s="9">
        <f>-IF(C53=1,LN(W53),LN(1-W53))</f>
        <v/>
      </c>
      <c r="Y53" s="8">
        <f>IF(C53=1,$AE$32,$AE$33)</f>
        <v/>
      </c>
      <c r="Z53" s="9">
        <f>Y53*X53</f>
        <v/>
      </c>
      <c r="AA53" s="10">
        <f>IF(W53&gt;$AE$34,1,0)</f>
        <v/>
      </c>
      <c r="AB53">
        <f>IF(AA53=C53,1,0)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$AE$12+D54*$AE$13+E54*$AE$14+F54*$AE$15+G54*$AE$16+H54*$AE$17+I54*$AE$18+J54*$AE$19+K54*$AE$20+L54*$AE$21+M54*$AE$22+N54*$AE$23+O54*$AE$24+P54*$AE$25+Q54*$AE$26+R54*$AE$27+S54*$AE$28+T54*$AE$29+U54*$AE$30</f>
        <v/>
      </c>
      <c r="W54" s="8">
        <f>1/(1+EXP(-V54))</f>
        <v/>
      </c>
      <c r="X54" s="9">
        <f>-IF(C54=1,LN(W54),LN(1-W54))</f>
        <v/>
      </c>
      <c r="Y54" s="8">
        <f>IF(C54=1,$AE$32,$AE$33)</f>
        <v/>
      </c>
      <c r="Z54" s="9">
        <f>Y54*X54</f>
        <v/>
      </c>
      <c r="AA54" s="10">
        <f>IF(W54&gt;$AE$34,1,0)</f>
        <v/>
      </c>
      <c r="AB54">
        <f>IF(AA54=C54,1,0)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$AE$12+D55*$AE$13+E55*$AE$14+F55*$AE$15+G55*$AE$16+H55*$AE$17+I55*$AE$18+J55*$AE$19+K55*$AE$20+L55*$AE$21+M55*$AE$22+N55*$AE$23+O55*$AE$24+P55*$AE$25+Q55*$AE$26+R55*$AE$27+S55*$AE$28+T55*$AE$29+U55*$AE$30</f>
        <v/>
      </c>
      <c r="W55" s="8">
        <f>1/(1+EXP(-V55))</f>
        <v/>
      </c>
      <c r="X55" s="9">
        <f>-IF(C55=1,LN(W55),LN(1-W55))</f>
        <v/>
      </c>
      <c r="Y55" s="8">
        <f>IF(C55=1,$AE$32,$AE$33)</f>
        <v/>
      </c>
      <c r="Z55" s="9">
        <f>Y55*X55</f>
        <v/>
      </c>
      <c r="AA55" s="10">
        <f>IF(W55&gt;$AE$34,1,0)</f>
        <v/>
      </c>
      <c r="AB55">
        <f>IF(AA55=C55,1,0)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$AE$12+D56*$AE$13+E56*$AE$14+F56*$AE$15+G56*$AE$16+H56*$AE$17+I56*$AE$18+J56*$AE$19+K56*$AE$20+L56*$AE$21+M56*$AE$22+N56*$AE$23+O56*$AE$24+P56*$AE$25+Q56*$AE$26+R56*$AE$27+S56*$AE$28+T56*$AE$29+U56*$AE$30</f>
        <v/>
      </c>
      <c r="W56" s="8">
        <f>1/(1+EXP(-V56))</f>
        <v/>
      </c>
      <c r="X56" s="9">
        <f>-IF(C56=1,LN(W56),LN(1-W56))</f>
        <v/>
      </c>
      <c r="Y56" s="8">
        <f>IF(C56=1,$AE$32,$AE$33)</f>
        <v/>
      </c>
      <c r="Z56" s="9">
        <f>Y56*X56</f>
        <v/>
      </c>
      <c r="AA56" s="10">
        <f>IF(W56&gt;$AE$34,1,0)</f>
        <v/>
      </c>
      <c r="AB56">
        <f>IF(AA56=C56,1,0)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$AE$12+D57*$AE$13+E57*$AE$14+F57*$AE$15+G57*$AE$16+H57*$AE$17+I57*$AE$18+J57*$AE$19+K57*$AE$20+L57*$AE$21+M57*$AE$22+N57*$AE$23+O57*$AE$24+P57*$AE$25+Q57*$AE$26+R57*$AE$27+S57*$AE$28+T57*$AE$29+U57*$AE$30</f>
        <v/>
      </c>
      <c r="W57" s="8">
        <f>1/(1+EXP(-V57))</f>
        <v/>
      </c>
      <c r="X57" s="9">
        <f>-IF(C57=1,LN(W57),LN(1-W57))</f>
        <v/>
      </c>
      <c r="Y57" s="8">
        <f>IF(C57=1,$AE$32,$AE$33)</f>
        <v/>
      </c>
      <c r="Z57" s="9">
        <f>Y57*X57</f>
        <v/>
      </c>
      <c r="AA57" s="10">
        <f>IF(W57&gt;$AE$34,1,0)</f>
        <v/>
      </c>
      <c r="AB57">
        <f>IF(AA57=C57,1,0)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$AE$12+D58*$AE$13+E58*$AE$14+F58*$AE$15+G58*$AE$16+H58*$AE$17+I58*$AE$18+J58*$AE$19+K58*$AE$20+L58*$AE$21+M58*$AE$22+N58*$AE$23+O58*$AE$24+P58*$AE$25+Q58*$AE$26+R58*$AE$27+S58*$AE$28+T58*$AE$29+U58*$AE$30</f>
        <v/>
      </c>
      <c r="W58" s="8">
        <f>1/(1+EXP(-V58))</f>
        <v/>
      </c>
      <c r="X58" s="9">
        <f>-IF(C58=1,LN(W58),LN(1-W58))</f>
        <v/>
      </c>
      <c r="Y58" s="8">
        <f>IF(C58=1,$AE$32,$AE$33)</f>
        <v/>
      </c>
      <c r="Z58" s="9">
        <f>Y58*X58</f>
        <v/>
      </c>
      <c r="AA58" s="10">
        <f>IF(W58&gt;$AE$34,1,0)</f>
        <v/>
      </c>
      <c r="AB58">
        <f>IF(AA58=C58,1,0)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$AE$12+D59*$AE$13+E59*$AE$14+F59*$AE$15+G59*$AE$16+H59*$AE$17+I59*$AE$18+J59*$AE$19+K59*$AE$20+L59*$AE$21+M59*$AE$22+N59*$AE$23+O59*$AE$24+P59*$AE$25+Q59*$AE$26+R59*$AE$27+S59*$AE$28+T59*$AE$29+U59*$AE$30</f>
        <v/>
      </c>
      <c r="W59" s="8">
        <f>1/(1+EXP(-V59))</f>
        <v/>
      </c>
      <c r="X59" s="9">
        <f>-IF(C59=1,LN(W59),LN(1-W59))</f>
        <v/>
      </c>
      <c r="Y59" s="8">
        <f>IF(C59=1,$AE$32,$AE$33)</f>
        <v/>
      </c>
      <c r="Z59" s="9">
        <f>Y59*X59</f>
        <v/>
      </c>
      <c r="AA59" s="10">
        <f>IF(W59&gt;$AE$34,1,0)</f>
        <v/>
      </c>
      <c r="AB59">
        <f>IF(AA59=C59,1,0)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$AE$12+D60*$AE$13+E60*$AE$14+F60*$AE$15+G60*$AE$16+H60*$AE$17+I60*$AE$18+J60*$AE$19+K60*$AE$20+L60*$AE$21+M60*$AE$22+N60*$AE$23+O60*$AE$24+P60*$AE$25+Q60*$AE$26+R60*$AE$27+S60*$AE$28+T60*$AE$29+U60*$AE$30</f>
        <v/>
      </c>
      <c r="W60" s="8">
        <f>1/(1+EXP(-V60))</f>
        <v/>
      </c>
      <c r="X60" s="9">
        <f>-IF(C60=1,LN(W60),LN(1-W60))</f>
        <v/>
      </c>
      <c r="Y60" s="8">
        <f>IF(C60=1,$AE$32,$AE$33)</f>
        <v/>
      </c>
      <c r="Z60" s="9">
        <f>Y60*X60</f>
        <v/>
      </c>
      <c r="AA60" s="10">
        <f>IF(W60&gt;$AE$34,1,0)</f>
        <v/>
      </c>
      <c r="AB60">
        <f>IF(AA60=C60,1,0)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$AE$12+D61*$AE$13+E61*$AE$14+F61*$AE$15+G61*$AE$16+H61*$AE$17+I61*$AE$18+J61*$AE$19+K61*$AE$20+L61*$AE$21+M61*$AE$22+N61*$AE$23+O61*$AE$24+P61*$AE$25+Q61*$AE$26+R61*$AE$27+S61*$AE$28+T61*$AE$29+U61*$AE$30</f>
        <v/>
      </c>
      <c r="W61" s="8">
        <f>1/(1+EXP(-V61))</f>
        <v/>
      </c>
      <c r="X61" s="9">
        <f>-IF(C61=1,LN(W61),LN(1-W61))</f>
        <v/>
      </c>
      <c r="Y61" s="8">
        <f>IF(C61=1,$AE$32,$AE$33)</f>
        <v/>
      </c>
      <c r="Z61" s="9">
        <f>Y61*X61</f>
        <v/>
      </c>
      <c r="AA61" s="10">
        <f>IF(W61&gt;$AE$34,1,0)</f>
        <v/>
      </c>
      <c r="AB61">
        <f>IF(AA61=C61,1,0)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$AE$12+D62*$AE$13+E62*$AE$14+F62*$AE$15+G62*$AE$16+H62*$AE$17+I62*$AE$18+J62*$AE$19+K62*$AE$20+L62*$AE$21+M62*$AE$22+N62*$AE$23+O62*$AE$24+P62*$AE$25+Q62*$AE$26+R62*$AE$27+S62*$AE$28+T62*$AE$29+U62*$AE$30</f>
        <v/>
      </c>
      <c r="W62" s="8">
        <f>1/(1+EXP(-V62))</f>
        <v/>
      </c>
      <c r="X62" s="9">
        <f>-IF(C62=1,LN(W62),LN(1-W62))</f>
        <v/>
      </c>
      <c r="Y62" s="8">
        <f>IF(C62=1,$AE$32,$AE$33)</f>
        <v/>
      </c>
      <c r="Z62" s="9">
        <f>Y62*X62</f>
        <v/>
      </c>
      <c r="AA62" s="10">
        <f>IF(W62&gt;$AE$34,1,0)</f>
        <v/>
      </c>
      <c r="AB62">
        <f>IF(AA62=C62,1,0)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$AE$12+D63*$AE$13+E63*$AE$14+F63*$AE$15+G63*$AE$16+H63*$AE$17+I63*$AE$18+J63*$AE$19+K63*$AE$20+L63*$AE$21+M63*$AE$22+N63*$AE$23+O63*$AE$24+P63*$AE$25+Q63*$AE$26+R63*$AE$27+S63*$AE$28+T63*$AE$29+U63*$AE$30</f>
        <v/>
      </c>
      <c r="W63" s="8">
        <f>1/(1+EXP(-V63))</f>
        <v/>
      </c>
      <c r="X63" s="9">
        <f>-IF(C63=1,LN(W63),LN(1-W63))</f>
        <v/>
      </c>
      <c r="Y63" s="8">
        <f>IF(C63=1,$AE$32,$AE$33)</f>
        <v/>
      </c>
      <c r="Z63" s="9">
        <f>Y63*X63</f>
        <v/>
      </c>
      <c r="AA63" s="10">
        <f>IF(W63&gt;$AE$34,1,0)</f>
        <v/>
      </c>
      <c r="AB63">
        <f>IF(AA63=C63,1,0)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$AE$12+D64*$AE$13+E64*$AE$14+F64*$AE$15+G64*$AE$16+H64*$AE$17+I64*$AE$18+J64*$AE$19+K64*$AE$20+L64*$AE$21+M64*$AE$22+N64*$AE$23+O64*$AE$24+P64*$AE$25+Q64*$AE$26+R64*$AE$27+S64*$AE$28+T64*$AE$29+U64*$AE$30</f>
        <v/>
      </c>
      <c r="W64" s="8">
        <f>1/(1+EXP(-V64))</f>
        <v/>
      </c>
      <c r="X64" s="9">
        <f>-IF(C64=1,LN(W64),LN(1-W64))</f>
        <v/>
      </c>
      <c r="Y64" s="8">
        <f>IF(C64=1,$AE$32,$AE$33)</f>
        <v/>
      </c>
      <c r="Z64" s="9">
        <f>Y64*X64</f>
        <v/>
      </c>
      <c r="AA64" s="10">
        <f>IF(W64&gt;$AE$34,1,0)</f>
        <v/>
      </c>
      <c r="AB64">
        <f>IF(AA64=C64,1,0)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$AE$12+D65*$AE$13+E65*$AE$14+F65*$AE$15+G65*$AE$16+H65*$AE$17+I65*$AE$18+J65*$AE$19+K65*$AE$20+L65*$AE$21+M65*$AE$22+N65*$AE$23+O65*$AE$24+P65*$AE$25+Q65*$AE$26+R65*$AE$27+S65*$AE$28+T65*$AE$29+U65*$AE$30</f>
        <v/>
      </c>
      <c r="W65" s="8">
        <f>1/(1+EXP(-V65))</f>
        <v/>
      </c>
      <c r="X65" s="9">
        <f>-IF(C65=1,LN(W65),LN(1-W65))</f>
        <v/>
      </c>
      <c r="Y65" s="8">
        <f>IF(C65=1,$AE$32,$AE$33)</f>
        <v/>
      </c>
      <c r="Z65" s="9">
        <f>Y65*X65</f>
        <v/>
      </c>
      <c r="AA65" s="10">
        <f>IF(W65&gt;$AE$34,1,0)</f>
        <v/>
      </c>
      <c r="AB65">
        <f>IF(AA65=C65,1,0)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$AE$12+D66*$AE$13+E66*$AE$14+F66*$AE$15+G66*$AE$16+H66*$AE$17+I66*$AE$18+J66*$AE$19+K66*$AE$20+L66*$AE$21+M66*$AE$22+N66*$AE$23+O66*$AE$24+P66*$AE$25+Q66*$AE$26+R66*$AE$27+S66*$AE$28+T66*$AE$29+U66*$AE$30</f>
        <v/>
      </c>
      <c r="W66" s="8">
        <f>1/(1+EXP(-V66))</f>
        <v/>
      </c>
      <c r="X66" s="9">
        <f>-IF(C66=1,LN(W66),LN(1-W66))</f>
        <v/>
      </c>
      <c r="Y66" s="8">
        <f>IF(C66=1,$AE$32,$AE$33)</f>
        <v/>
      </c>
      <c r="Z66" s="9">
        <f>Y66*X66</f>
        <v/>
      </c>
      <c r="AA66" s="10">
        <f>IF(W66&gt;$AE$34,1,0)</f>
        <v/>
      </c>
      <c r="AB66">
        <f>IF(AA66=C66,1,0)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$AE$12+D67*$AE$13+E67*$AE$14+F67*$AE$15+G67*$AE$16+H67*$AE$17+I67*$AE$18+J67*$AE$19+K67*$AE$20+L67*$AE$21+M67*$AE$22+N67*$AE$23+O67*$AE$24+P67*$AE$25+Q67*$AE$26+R67*$AE$27+S67*$AE$28+T67*$AE$29+U67*$AE$30</f>
        <v/>
      </c>
      <c r="W67" s="8">
        <f>1/(1+EXP(-V67))</f>
        <v/>
      </c>
      <c r="X67" s="9">
        <f>-IF(C67=1,LN(W67),LN(1-W67))</f>
        <v/>
      </c>
      <c r="Y67" s="8">
        <f>IF(C67=1,$AE$32,$AE$33)</f>
        <v/>
      </c>
      <c r="Z67" s="9">
        <f>Y67*X67</f>
        <v/>
      </c>
      <c r="AA67" s="10">
        <f>IF(W67&gt;$AE$34,1,0)</f>
        <v/>
      </c>
      <c r="AB67">
        <f>IF(AA67=C67,1,0)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$AE$12+D68*$AE$13+E68*$AE$14+F68*$AE$15+G68*$AE$16+H68*$AE$17+I68*$AE$18+J68*$AE$19+K68*$AE$20+L68*$AE$21+M68*$AE$22+N68*$AE$23+O68*$AE$24+P68*$AE$25+Q68*$AE$26+R68*$AE$27+S68*$AE$28+T68*$AE$29+U68*$AE$30</f>
        <v/>
      </c>
      <c r="W68" s="8">
        <f>1/(1+EXP(-V68))</f>
        <v/>
      </c>
      <c r="X68" s="9">
        <f>-IF(C68=1,LN(W68),LN(1-W68))</f>
        <v/>
      </c>
      <c r="Y68" s="8">
        <f>IF(C68=1,$AE$32,$AE$33)</f>
        <v/>
      </c>
      <c r="Z68" s="9">
        <f>Y68*X68</f>
        <v/>
      </c>
      <c r="AA68" s="10">
        <f>IF(W68&gt;$AE$34,1,0)</f>
        <v/>
      </c>
      <c r="AB68">
        <f>IF(AA68=C68,1,0)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$AE$12+D69*$AE$13+E69*$AE$14+F69*$AE$15+G69*$AE$16+H69*$AE$17+I69*$AE$18+J69*$AE$19+K69*$AE$20+L69*$AE$21+M69*$AE$22+N69*$AE$23+O69*$AE$24+P69*$AE$25+Q69*$AE$26+R69*$AE$27+S69*$AE$28+T69*$AE$29+U69*$AE$30</f>
        <v/>
      </c>
      <c r="W69" s="8">
        <f>1/(1+EXP(-V69))</f>
        <v/>
      </c>
      <c r="X69" s="9">
        <f>-IF(C69=1,LN(W69),LN(1-W69))</f>
        <v/>
      </c>
      <c r="Y69" s="8">
        <f>IF(C69=1,$AE$32,$AE$33)</f>
        <v/>
      </c>
      <c r="Z69" s="9">
        <f>Y69*X69</f>
        <v/>
      </c>
      <c r="AA69" s="10">
        <f>IF(W69&gt;$AE$34,1,0)</f>
        <v/>
      </c>
      <c r="AB69">
        <f>IF(AA69=C69,1,0)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$AE$12+D70*$AE$13+E70*$AE$14+F70*$AE$15+G70*$AE$16+H70*$AE$17+I70*$AE$18+J70*$AE$19+K70*$AE$20+L70*$AE$21+M70*$AE$22+N70*$AE$23+O70*$AE$24+P70*$AE$25+Q70*$AE$26+R70*$AE$27+S70*$AE$28+T70*$AE$29+U70*$AE$30</f>
        <v/>
      </c>
      <c r="W70" s="8">
        <f>1/(1+EXP(-V70))</f>
        <v/>
      </c>
      <c r="X70" s="9">
        <f>-IF(C70=1,LN(W70),LN(1-W70))</f>
        <v/>
      </c>
      <c r="Y70" s="8">
        <f>IF(C70=1,$AE$32,$AE$33)</f>
        <v/>
      </c>
      <c r="Z70" s="9">
        <f>Y70*X70</f>
        <v/>
      </c>
      <c r="AA70" s="10">
        <f>IF(W70&gt;$AE$34,1,0)</f>
        <v/>
      </c>
      <c r="AB70">
        <f>IF(AA70=C70,1,0)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$AE$12+D71*$AE$13+E71*$AE$14+F71*$AE$15+G71*$AE$16+H71*$AE$17+I71*$AE$18+J71*$AE$19+K71*$AE$20+L71*$AE$21+M71*$AE$22+N71*$AE$23+O71*$AE$24+P71*$AE$25+Q71*$AE$26+R71*$AE$27+S71*$AE$28+T71*$AE$29+U71*$AE$30</f>
        <v/>
      </c>
      <c r="W71" s="8">
        <f>1/(1+EXP(-V71))</f>
        <v/>
      </c>
      <c r="X71" s="9">
        <f>-IF(C71=1,LN(W71),LN(1-W71))</f>
        <v/>
      </c>
      <c r="Y71" s="8">
        <f>IF(C71=1,$AE$32,$AE$33)</f>
        <v/>
      </c>
      <c r="Z71" s="9">
        <f>Y71*X71</f>
        <v/>
      </c>
      <c r="AA71" s="10">
        <f>IF(W71&gt;$AE$34,1,0)</f>
        <v/>
      </c>
      <c r="AB71">
        <f>IF(AA71=C71,1,0)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$AE$12+D72*$AE$13+E72*$AE$14+F72*$AE$15+G72*$AE$16+H72*$AE$17+I72*$AE$18+J72*$AE$19+K72*$AE$20+L72*$AE$21+M72*$AE$22+N72*$AE$23+O72*$AE$24+P72*$AE$25+Q72*$AE$26+R72*$AE$27+S72*$AE$28+T72*$AE$29+U72*$AE$30</f>
        <v/>
      </c>
      <c r="W72" s="8">
        <f>1/(1+EXP(-V72))</f>
        <v/>
      </c>
      <c r="X72" s="9">
        <f>-IF(C72=1,LN(W72),LN(1-W72))</f>
        <v/>
      </c>
      <c r="Y72" s="8">
        <f>IF(C72=1,$AE$32,$AE$33)</f>
        <v/>
      </c>
      <c r="Z72" s="9">
        <f>Y72*X72</f>
        <v/>
      </c>
      <c r="AA72" s="10">
        <f>IF(W72&gt;$AE$34,1,0)</f>
        <v/>
      </c>
      <c r="AB72">
        <f>IF(AA72=C72,1,0)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$AE$12+D73*$AE$13+E73*$AE$14+F73*$AE$15+G73*$AE$16+H73*$AE$17+I73*$AE$18+J73*$AE$19+K73*$AE$20+L73*$AE$21+M73*$AE$22+N73*$AE$23+O73*$AE$24+P73*$AE$25+Q73*$AE$26+R73*$AE$27+S73*$AE$28+T73*$AE$29+U73*$AE$30</f>
        <v/>
      </c>
      <c r="W73" s="8">
        <f>1/(1+EXP(-V73))</f>
        <v/>
      </c>
      <c r="X73" s="9">
        <f>-IF(C73=1,LN(W73),LN(1-W73))</f>
        <v/>
      </c>
      <c r="Y73" s="8">
        <f>IF(C73=1,$AE$32,$AE$33)</f>
        <v/>
      </c>
      <c r="Z73" s="9">
        <f>Y73*X73</f>
        <v/>
      </c>
      <c r="AA73" s="10">
        <f>IF(W73&gt;$AE$34,1,0)</f>
        <v/>
      </c>
      <c r="AB73">
        <f>IF(AA73=C73,1,0)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$AE$12+D74*$AE$13+E74*$AE$14+F74*$AE$15+G74*$AE$16+H74*$AE$17+I74*$AE$18+J74*$AE$19+K74*$AE$20+L74*$AE$21+M74*$AE$22+N74*$AE$23+O74*$AE$24+P74*$AE$25+Q74*$AE$26+R74*$AE$27+S74*$AE$28+T74*$AE$29+U74*$AE$30</f>
        <v/>
      </c>
      <c r="W74" s="8">
        <f>1/(1+EXP(-V74))</f>
        <v/>
      </c>
      <c r="X74" s="9">
        <f>-IF(C74=1,LN(W74),LN(1-W74))</f>
        <v/>
      </c>
      <c r="Y74" s="8">
        <f>IF(C74=1,$AE$32,$AE$33)</f>
        <v/>
      </c>
      <c r="Z74" s="9">
        <f>Y74*X74</f>
        <v/>
      </c>
      <c r="AA74" s="10">
        <f>IF(W74&gt;$AE$34,1,0)</f>
        <v/>
      </c>
      <c r="AB74">
        <f>IF(AA74=C74,1,0)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$AE$12+D75*$AE$13+E75*$AE$14+F75*$AE$15+G75*$AE$16+H75*$AE$17+I75*$AE$18+J75*$AE$19+K75*$AE$20+L75*$AE$21+M75*$AE$22+N75*$AE$23+O75*$AE$24+P75*$AE$25+Q75*$AE$26+R75*$AE$27+S75*$AE$28+T75*$AE$29+U75*$AE$30</f>
        <v/>
      </c>
      <c r="W75" s="8">
        <f>1/(1+EXP(-V75))</f>
        <v/>
      </c>
      <c r="X75" s="9">
        <f>-IF(C75=1,LN(W75),LN(1-W75))</f>
        <v/>
      </c>
      <c r="Y75" s="8">
        <f>IF(C75=1,$AE$32,$AE$33)</f>
        <v/>
      </c>
      <c r="Z75" s="9">
        <f>Y75*X75</f>
        <v/>
      </c>
      <c r="AA75" s="10">
        <f>IF(W75&gt;$AE$34,1,0)</f>
        <v/>
      </c>
      <c r="AB75">
        <f>IF(AA75=C75,1,0)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$AE$12+D76*$AE$13+E76*$AE$14+F76*$AE$15+G76*$AE$16+H76*$AE$17+I76*$AE$18+J76*$AE$19+K76*$AE$20+L76*$AE$21+M76*$AE$22+N76*$AE$23+O76*$AE$24+P76*$AE$25+Q76*$AE$26+R76*$AE$27+S76*$AE$28+T76*$AE$29+U76*$AE$30</f>
        <v/>
      </c>
      <c r="W76" s="8">
        <f>1/(1+EXP(-V76))</f>
        <v/>
      </c>
      <c r="X76" s="9">
        <f>-IF(C76=1,LN(W76),LN(1-W76))</f>
        <v/>
      </c>
      <c r="Y76" s="8">
        <f>IF(C76=1,$AE$32,$AE$33)</f>
        <v/>
      </c>
      <c r="Z76" s="9">
        <f>Y76*X76</f>
        <v/>
      </c>
      <c r="AA76" s="10">
        <f>IF(W76&gt;$AE$34,1,0)</f>
        <v/>
      </c>
      <c r="AB76">
        <f>IF(AA76=C76,1,0)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$AE$12+D77*$AE$13+E77*$AE$14+F77*$AE$15+G77*$AE$16+H77*$AE$17+I77*$AE$18+J77*$AE$19+K77*$AE$20+L77*$AE$21+M77*$AE$22+N77*$AE$23+O77*$AE$24+P77*$AE$25+Q77*$AE$26+R77*$AE$27+S77*$AE$28+T77*$AE$29+U77*$AE$30</f>
        <v/>
      </c>
      <c r="W77" s="8">
        <f>1/(1+EXP(-V77))</f>
        <v/>
      </c>
      <c r="X77" s="9">
        <f>-IF(C77=1,LN(W77),LN(1-W77))</f>
        <v/>
      </c>
      <c r="Y77" s="8">
        <f>IF(C77=1,$AE$32,$AE$33)</f>
        <v/>
      </c>
      <c r="Z77" s="9">
        <f>Y77*X77</f>
        <v/>
      </c>
      <c r="AA77" s="10">
        <f>IF(W77&gt;$AE$34,1,0)</f>
        <v/>
      </c>
      <c r="AB77">
        <f>IF(AA77=C77,1,0)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$AE$12+D78*$AE$13+E78*$AE$14+F78*$AE$15+G78*$AE$16+H78*$AE$17+I78*$AE$18+J78*$AE$19+K78*$AE$20+L78*$AE$21+M78*$AE$22+N78*$AE$23+O78*$AE$24+P78*$AE$25+Q78*$AE$26+R78*$AE$27+S78*$AE$28+T78*$AE$29+U78*$AE$30</f>
        <v/>
      </c>
      <c r="W78" s="8">
        <f>1/(1+EXP(-V78))</f>
        <v/>
      </c>
      <c r="X78" s="9">
        <f>-IF(C78=1,LN(W78),LN(1-W78))</f>
        <v/>
      </c>
      <c r="Y78" s="8">
        <f>IF(C78=1,$AE$32,$AE$33)</f>
        <v/>
      </c>
      <c r="Z78" s="9">
        <f>Y78*X78</f>
        <v/>
      </c>
      <c r="AA78" s="10">
        <f>IF(W78&gt;$AE$34,1,0)</f>
        <v/>
      </c>
      <c r="AB78">
        <f>IF(AA78=C78,1,0)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$AE$12+D79*$AE$13+E79*$AE$14+F79*$AE$15+G79*$AE$16+H79*$AE$17+I79*$AE$18+J79*$AE$19+K79*$AE$20+L79*$AE$21+M79*$AE$22+N79*$AE$23+O79*$AE$24+P79*$AE$25+Q79*$AE$26+R79*$AE$27+S79*$AE$28+T79*$AE$29+U79*$AE$30</f>
        <v/>
      </c>
      <c r="W79" s="8">
        <f>1/(1+EXP(-V79))</f>
        <v/>
      </c>
      <c r="X79" s="9">
        <f>-IF(C79=1,LN(W79),LN(1-W79))</f>
        <v/>
      </c>
      <c r="Y79" s="8">
        <f>IF(C79=1,$AE$32,$AE$33)</f>
        <v/>
      </c>
      <c r="Z79" s="9">
        <f>Y79*X79</f>
        <v/>
      </c>
      <c r="AA79" s="10">
        <f>IF(W79&gt;$AE$34,1,0)</f>
        <v/>
      </c>
      <c r="AB79">
        <f>IF(AA79=C79,1,0)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$AE$12+D80*$AE$13+E80*$AE$14+F80*$AE$15+G80*$AE$16+H80*$AE$17+I80*$AE$18+J80*$AE$19+K80*$AE$20+L80*$AE$21+M80*$AE$22+N80*$AE$23+O80*$AE$24+P80*$AE$25+Q80*$AE$26+R80*$AE$27+S80*$AE$28+T80*$AE$29+U80*$AE$30</f>
        <v/>
      </c>
      <c r="W80" s="8">
        <f>1/(1+EXP(-V80))</f>
        <v/>
      </c>
      <c r="X80" s="9">
        <f>-IF(C80=1,LN(W80),LN(1-W80))</f>
        <v/>
      </c>
      <c r="Y80" s="8">
        <f>IF(C80=1,$AE$32,$AE$33)</f>
        <v/>
      </c>
      <c r="Z80" s="9">
        <f>Y80*X80</f>
        <v/>
      </c>
      <c r="AA80" s="10">
        <f>IF(W80&gt;$AE$34,1,0)</f>
        <v/>
      </c>
      <c r="AB80">
        <f>IF(AA80=C80,1,0)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$AE$12+D81*$AE$13+E81*$AE$14+F81*$AE$15+G81*$AE$16+H81*$AE$17+I81*$AE$18+J81*$AE$19+K81*$AE$20+L81*$AE$21+M81*$AE$22+N81*$AE$23+O81*$AE$24+P81*$AE$25+Q81*$AE$26+R81*$AE$27+S81*$AE$28+T81*$AE$29+U81*$AE$30</f>
        <v/>
      </c>
      <c r="W81" s="8">
        <f>1/(1+EXP(-V81))</f>
        <v/>
      </c>
      <c r="X81" s="9">
        <f>-IF(C81=1,LN(W81),LN(1-W81))</f>
        <v/>
      </c>
      <c r="Y81" s="8">
        <f>IF(C81=1,$AE$32,$AE$33)</f>
        <v/>
      </c>
      <c r="Z81" s="9">
        <f>Y81*X81</f>
        <v/>
      </c>
      <c r="AA81" s="10">
        <f>IF(W81&gt;$AE$34,1,0)</f>
        <v/>
      </c>
      <c r="AB81">
        <f>IF(AA81=C81,1,0)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$AE$12+D82*$AE$13+E82*$AE$14+F82*$AE$15+G82*$AE$16+H82*$AE$17+I82*$AE$18+J82*$AE$19+K82*$AE$20+L82*$AE$21+M82*$AE$22+N82*$AE$23+O82*$AE$24+P82*$AE$25+Q82*$AE$26+R82*$AE$27+S82*$AE$28+T82*$AE$29+U82*$AE$30</f>
        <v/>
      </c>
      <c r="W82" s="8">
        <f>1/(1+EXP(-V82))</f>
        <v/>
      </c>
      <c r="X82" s="9">
        <f>-IF(C82=1,LN(W82),LN(1-W82))</f>
        <v/>
      </c>
      <c r="Y82" s="8">
        <f>IF(C82=1,$AE$32,$AE$33)</f>
        <v/>
      </c>
      <c r="Z82" s="9">
        <f>Y82*X82</f>
        <v/>
      </c>
      <c r="AA82" s="10">
        <f>IF(W82&gt;$AE$34,1,0)</f>
        <v/>
      </c>
      <c r="AB82">
        <f>IF(AA82=C82,1,0)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$AE$12+D83*$AE$13+E83*$AE$14+F83*$AE$15+G83*$AE$16+H83*$AE$17+I83*$AE$18+J83*$AE$19+K83*$AE$20+L83*$AE$21+M83*$AE$22+N83*$AE$23+O83*$AE$24+P83*$AE$25+Q83*$AE$26+R83*$AE$27+S83*$AE$28+T83*$AE$29+U83*$AE$30</f>
        <v/>
      </c>
      <c r="W83" s="8">
        <f>1/(1+EXP(-V83))</f>
        <v/>
      </c>
      <c r="X83" s="9">
        <f>-IF(C83=1,LN(W83),LN(1-W83))</f>
        <v/>
      </c>
      <c r="Y83" s="8">
        <f>IF(C83=1,$AE$32,$AE$33)</f>
        <v/>
      </c>
      <c r="Z83" s="9">
        <f>Y83*X83</f>
        <v/>
      </c>
      <c r="AA83" s="10">
        <f>IF(W83&gt;$AE$34,1,0)</f>
        <v/>
      </c>
      <c r="AB83">
        <f>IF(AA83=C83,1,0)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$AE$12+D84*$AE$13+E84*$AE$14+F84*$AE$15+G84*$AE$16+H84*$AE$17+I84*$AE$18+J84*$AE$19+K84*$AE$20+L84*$AE$21+M84*$AE$22+N84*$AE$23+O84*$AE$24+P84*$AE$25+Q84*$AE$26+R84*$AE$27+S84*$AE$28+T84*$AE$29+U84*$AE$30</f>
        <v/>
      </c>
      <c r="W84" s="8">
        <f>1/(1+EXP(-V84))</f>
        <v/>
      </c>
      <c r="X84" s="9">
        <f>-IF(C84=1,LN(W84),LN(1-W84))</f>
        <v/>
      </c>
      <c r="Y84" s="8">
        <f>IF(C84=1,$AE$32,$AE$33)</f>
        <v/>
      </c>
      <c r="Z84" s="9">
        <f>Y84*X84</f>
        <v/>
      </c>
      <c r="AA84" s="10">
        <f>IF(W84&gt;$AE$34,1,0)</f>
        <v/>
      </c>
      <c r="AB84">
        <f>IF(AA84=C84,1,0)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$AE$12+D85*$AE$13+E85*$AE$14+F85*$AE$15+G85*$AE$16+H85*$AE$17+I85*$AE$18+J85*$AE$19+K85*$AE$20+L85*$AE$21+M85*$AE$22+N85*$AE$23+O85*$AE$24+P85*$AE$25+Q85*$AE$26+R85*$AE$27+S85*$AE$28+T85*$AE$29+U85*$AE$30</f>
        <v/>
      </c>
      <c r="W85" s="8">
        <f>1/(1+EXP(-V85))</f>
        <v/>
      </c>
      <c r="X85" s="9">
        <f>-IF(C85=1,LN(W85),LN(1-W85))</f>
        <v/>
      </c>
      <c r="Y85" s="8">
        <f>IF(C85=1,$AE$32,$AE$33)</f>
        <v/>
      </c>
      <c r="Z85" s="9">
        <f>Y85*X85</f>
        <v/>
      </c>
      <c r="AA85" s="10">
        <f>IF(W85&gt;$AE$34,1,0)</f>
        <v/>
      </c>
      <c r="AB85">
        <f>IF(AA85=C85,1,0)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$AE$12+D86*$AE$13+E86*$AE$14+F86*$AE$15+G86*$AE$16+H86*$AE$17+I86*$AE$18+J86*$AE$19+K86*$AE$20+L86*$AE$21+M86*$AE$22+N86*$AE$23+O86*$AE$24+P86*$AE$25+Q86*$AE$26+R86*$AE$27+S86*$AE$28+T86*$AE$29+U86*$AE$30</f>
        <v/>
      </c>
      <c r="W86" s="8">
        <f>1/(1+EXP(-V86))</f>
        <v/>
      </c>
      <c r="X86" s="9">
        <f>-IF(C86=1,LN(W86),LN(1-W86))</f>
        <v/>
      </c>
      <c r="Y86" s="8">
        <f>IF(C86=1,$AE$32,$AE$33)</f>
        <v/>
      </c>
      <c r="Z86" s="9">
        <f>Y86*X86</f>
        <v/>
      </c>
      <c r="AA86" s="10">
        <f>IF(W86&gt;$AE$34,1,0)</f>
        <v/>
      </c>
      <c r="AB86">
        <f>IF(AA86=C86,1,0)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$AE$12+D87*$AE$13+E87*$AE$14+F87*$AE$15+G87*$AE$16+H87*$AE$17+I87*$AE$18+J87*$AE$19+K87*$AE$20+L87*$AE$21+M87*$AE$22+N87*$AE$23+O87*$AE$24+P87*$AE$25+Q87*$AE$26+R87*$AE$27+S87*$AE$28+T87*$AE$29+U87*$AE$30</f>
        <v/>
      </c>
      <c r="W87" s="8">
        <f>1/(1+EXP(-V87))</f>
        <v/>
      </c>
      <c r="X87" s="9">
        <f>-IF(C87=1,LN(W87),LN(1-W87))</f>
        <v/>
      </c>
      <c r="Y87" s="8">
        <f>IF(C87=1,$AE$32,$AE$33)</f>
        <v/>
      </c>
      <c r="Z87" s="9">
        <f>Y87*X87</f>
        <v/>
      </c>
      <c r="AA87" s="10">
        <f>IF(W87&gt;$AE$34,1,0)</f>
        <v/>
      </c>
      <c r="AB87">
        <f>IF(AA87=C87,1,0)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$AE$12+D88*$AE$13+E88*$AE$14+F88*$AE$15+G88*$AE$16+H88*$AE$17+I88*$AE$18+J88*$AE$19+K88*$AE$20+L88*$AE$21+M88*$AE$22+N88*$AE$23+O88*$AE$24+P88*$AE$25+Q88*$AE$26+R88*$AE$27+S88*$AE$28+T88*$AE$29+U88*$AE$30</f>
        <v/>
      </c>
      <c r="W88" s="8">
        <f>1/(1+EXP(-V88))</f>
        <v/>
      </c>
      <c r="X88" s="9">
        <f>-IF(C88=1,LN(W88),LN(1-W88))</f>
        <v/>
      </c>
      <c r="Y88" s="8">
        <f>IF(C88=1,$AE$32,$AE$33)</f>
        <v/>
      </c>
      <c r="Z88" s="9">
        <f>Y88*X88</f>
        <v/>
      </c>
      <c r="AA88" s="10">
        <f>IF(W88&gt;$AE$34,1,0)</f>
        <v/>
      </c>
      <c r="AB88">
        <f>IF(AA88=C88,1,0)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$AE$12+D89*$AE$13+E89*$AE$14+F89*$AE$15+G89*$AE$16+H89*$AE$17+I89*$AE$18+J89*$AE$19+K89*$AE$20+L89*$AE$21+M89*$AE$22+N89*$AE$23+O89*$AE$24+P89*$AE$25+Q89*$AE$26+R89*$AE$27+S89*$AE$28+T89*$AE$29+U89*$AE$30</f>
        <v/>
      </c>
      <c r="W89" s="8">
        <f>1/(1+EXP(-V89))</f>
        <v/>
      </c>
      <c r="X89" s="9">
        <f>-IF(C89=1,LN(W89),LN(1-W89))</f>
        <v/>
      </c>
      <c r="Y89" s="8">
        <f>IF(C89=1,$AE$32,$AE$33)</f>
        <v/>
      </c>
      <c r="Z89" s="9">
        <f>Y89*X89</f>
        <v/>
      </c>
      <c r="AA89" s="10">
        <f>IF(W89&gt;$AE$34,1,0)</f>
        <v/>
      </c>
      <c r="AB89">
        <f>IF(AA89=C89,1,0)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$AE$12+D90*$AE$13+E90*$AE$14+F90*$AE$15+G90*$AE$16+H90*$AE$17+I90*$AE$18+J90*$AE$19+K90*$AE$20+L90*$AE$21+M90*$AE$22+N90*$AE$23+O90*$AE$24+P90*$AE$25+Q90*$AE$26+R90*$AE$27+S90*$AE$28+T90*$AE$29+U90*$AE$30</f>
        <v/>
      </c>
      <c r="W90" s="8">
        <f>1/(1+EXP(-V90))</f>
        <v/>
      </c>
      <c r="X90" s="9">
        <f>-IF(C90=1,LN(W90),LN(1-W90))</f>
        <v/>
      </c>
      <c r="Y90" s="8">
        <f>IF(C90=1,$AE$32,$AE$33)</f>
        <v/>
      </c>
      <c r="Z90" s="9">
        <f>Y90*X90</f>
        <v/>
      </c>
      <c r="AA90" s="10">
        <f>IF(W90&gt;$AE$34,1,0)</f>
        <v/>
      </c>
      <c r="AB90">
        <f>IF(AA90=C90,1,0)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$AE$12+D91*$AE$13+E91*$AE$14+F91*$AE$15+G91*$AE$16+H91*$AE$17+I91*$AE$18+J91*$AE$19+K91*$AE$20+L91*$AE$21+M91*$AE$22+N91*$AE$23+O91*$AE$24+P91*$AE$25+Q91*$AE$26+R91*$AE$27+S91*$AE$28+T91*$AE$29+U91*$AE$30</f>
        <v/>
      </c>
      <c r="W91" s="8">
        <f>1/(1+EXP(-V91))</f>
        <v/>
      </c>
      <c r="X91" s="9">
        <f>-IF(C91=1,LN(W91),LN(1-W91))</f>
        <v/>
      </c>
      <c r="Y91" s="8">
        <f>IF(C91=1,$AE$32,$AE$33)</f>
        <v/>
      </c>
      <c r="Z91" s="9">
        <f>Y91*X91</f>
        <v/>
      </c>
      <c r="AA91" s="10">
        <f>IF(W91&gt;$AE$34,1,0)</f>
        <v/>
      </c>
      <c r="AB91">
        <f>IF(AA91=C91,1,0)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$AE$12+D92*$AE$13+E92*$AE$14+F92*$AE$15+G92*$AE$16+H92*$AE$17+I92*$AE$18+J92*$AE$19+K92*$AE$20+L92*$AE$21+M92*$AE$22+N92*$AE$23+O92*$AE$24+P92*$AE$25+Q92*$AE$26+R92*$AE$27+S92*$AE$28+T92*$AE$29+U92*$AE$30</f>
        <v/>
      </c>
      <c r="W92" s="8">
        <f>1/(1+EXP(-V92))</f>
        <v/>
      </c>
      <c r="X92" s="9">
        <f>-IF(C92=1,LN(W92),LN(1-W92))</f>
        <v/>
      </c>
      <c r="Y92" s="8">
        <f>IF(C92=1,$AE$32,$AE$33)</f>
        <v/>
      </c>
      <c r="Z92" s="9">
        <f>Y92*X92</f>
        <v/>
      </c>
      <c r="AA92" s="10">
        <f>IF(W92&gt;$AE$34,1,0)</f>
        <v/>
      </c>
      <c r="AB92">
        <f>IF(AA92=C92,1,0)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$AE$12+D93*$AE$13+E93*$AE$14+F93*$AE$15+G93*$AE$16+H93*$AE$17+I93*$AE$18+J93*$AE$19+K93*$AE$20+L93*$AE$21+M93*$AE$22+N93*$AE$23+O93*$AE$24+P93*$AE$25+Q93*$AE$26+R93*$AE$27+S93*$AE$28+T93*$AE$29+U93*$AE$30</f>
        <v/>
      </c>
      <c r="W93" s="8">
        <f>1/(1+EXP(-V93))</f>
        <v/>
      </c>
      <c r="X93" s="9">
        <f>-IF(C93=1,LN(W93),LN(1-W93))</f>
        <v/>
      </c>
      <c r="Y93" s="8">
        <f>IF(C93=1,$AE$32,$AE$33)</f>
        <v/>
      </c>
      <c r="Z93" s="9">
        <f>Y93*X93</f>
        <v/>
      </c>
      <c r="AA93" s="10">
        <f>IF(W93&gt;$AE$34,1,0)</f>
        <v/>
      </c>
      <c r="AB93">
        <f>IF(AA93=C93,1,0)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$AE$12+D94*$AE$13+E94*$AE$14+F94*$AE$15+G94*$AE$16+H94*$AE$17+I94*$AE$18+J94*$AE$19+K94*$AE$20+L94*$AE$21+M94*$AE$22+N94*$AE$23+O94*$AE$24+P94*$AE$25+Q94*$AE$26+R94*$AE$27+S94*$AE$28+T94*$AE$29+U94*$AE$30</f>
        <v/>
      </c>
      <c r="W94" s="8">
        <f>1/(1+EXP(-V94))</f>
        <v/>
      </c>
      <c r="X94" s="9">
        <f>-IF(C94=1,LN(W94),LN(1-W94))</f>
        <v/>
      </c>
      <c r="Y94" s="8">
        <f>IF(C94=1,$AE$32,$AE$33)</f>
        <v/>
      </c>
      <c r="Z94" s="9">
        <f>Y94*X94</f>
        <v/>
      </c>
      <c r="AA94" s="10">
        <f>IF(W94&gt;$AE$34,1,0)</f>
        <v/>
      </c>
      <c r="AB94">
        <f>IF(AA94=C94,1,0)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$AE$12+D95*$AE$13+E95*$AE$14+F95*$AE$15+G95*$AE$16+H95*$AE$17+I95*$AE$18+J95*$AE$19+K95*$AE$20+L95*$AE$21+M95*$AE$22+N95*$AE$23+O95*$AE$24+P95*$AE$25+Q95*$AE$26+R95*$AE$27+S95*$AE$28+T95*$AE$29+U95*$AE$30</f>
        <v/>
      </c>
      <c r="W95" s="8">
        <f>1/(1+EXP(-V95))</f>
        <v/>
      </c>
      <c r="X95" s="9">
        <f>-IF(C95=1,LN(W95),LN(1-W95))</f>
        <v/>
      </c>
      <c r="Y95" s="8">
        <f>IF(C95=1,$AE$32,$AE$33)</f>
        <v/>
      </c>
      <c r="Z95" s="9">
        <f>Y95*X95</f>
        <v/>
      </c>
      <c r="AA95" s="10">
        <f>IF(W95&gt;$AE$34,1,0)</f>
        <v/>
      </c>
      <c r="AB95">
        <f>IF(AA95=C95,1,0)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$AE$12+D96*$AE$13+E96*$AE$14+F96*$AE$15+G96*$AE$16+H96*$AE$17+I96*$AE$18+J96*$AE$19+K96*$AE$20+L96*$AE$21+M96*$AE$22+N96*$AE$23+O96*$AE$24+P96*$AE$25+Q96*$AE$26+R96*$AE$27+S96*$AE$28+T96*$AE$29+U96*$AE$30</f>
        <v/>
      </c>
      <c r="W96" s="8">
        <f>1/(1+EXP(-V96))</f>
        <v/>
      </c>
      <c r="X96" s="9">
        <f>-IF(C96=1,LN(W96),LN(1-W96))</f>
        <v/>
      </c>
      <c r="Y96" s="8">
        <f>IF(C96=1,$AE$32,$AE$33)</f>
        <v/>
      </c>
      <c r="Z96" s="9">
        <f>Y96*X96</f>
        <v/>
      </c>
      <c r="AA96" s="10">
        <f>IF(W96&gt;$AE$34,1,0)</f>
        <v/>
      </c>
      <c r="AB96">
        <f>IF(AA96=C96,1,0)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$AE$12+D97*$AE$13+E97*$AE$14+F97*$AE$15+G97*$AE$16+H97*$AE$17+I97*$AE$18+J97*$AE$19+K97*$AE$20+L97*$AE$21+M97*$AE$22+N97*$AE$23+O97*$AE$24+P97*$AE$25+Q97*$AE$26+R97*$AE$27+S97*$AE$28+T97*$AE$29+U97*$AE$30</f>
        <v/>
      </c>
      <c r="W97" s="8">
        <f>1/(1+EXP(-V97))</f>
        <v/>
      </c>
      <c r="X97" s="9">
        <f>-IF(C97=1,LN(W97),LN(1-W97))</f>
        <v/>
      </c>
      <c r="Y97" s="8">
        <f>IF(C97=1,$AE$32,$AE$33)</f>
        <v/>
      </c>
      <c r="Z97" s="9">
        <f>Y97*X97</f>
        <v/>
      </c>
      <c r="AA97" s="10">
        <f>IF(W97&gt;$AE$34,1,0)</f>
        <v/>
      </c>
      <c r="AB97">
        <f>IF(AA97=C97,1,0)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$AE$12+D98*$AE$13+E98*$AE$14+F98*$AE$15+G98*$AE$16+H98*$AE$17+I98*$AE$18+J98*$AE$19+K98*$AE$20+L98*$AE$21+M98*$AE$22+N98*$AE$23+O98*$AE$24+P98*$AE$25+Q98*$AE$26+R98*$AE$27+S98*$AE$28+T98*$AE$29+U98*$AE$30</f>
        <v/>
      </c>
      <c r="W98" s="8">
        <f>1/(1+EXP(-V98))</f>
        <v/>
      </c>
      <c r="X98" s="9">
        <f>-IF(C98=1,LN(W98),LN(1-W98))</f>
        <v/>
      </c>
      <c r="Y98" s="8">
        <f>IF(C98=1,$AE$32,$AE$33)</f>
        <v/>
      </c>
      <c r="Z98" s="9">
        <f>Y98*X98</f>
        <v/>
      </c>
      <c r="AA98" s="10">
        <f>IF(W98&gt;$AE$34,1,0)</f>
        <v/>
      </c>
      <c r="AB98">
        <f>IF(AA98=C98,1,0)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$AE$12+D99*$AE$13+E99*$AE$14+F99*$AE$15+G99*$AE$16+H99*$AE$17+I99*$AE$18+J99*$AE$19+K99*$AE$20+L99*$AE$21+M99*$AE$22+N99*$AE$23+O99*$AE$24+P99*$AE$25+Q99*$AE$26+R99*$AE$27+S99*$AE$28+T99*$AE$29+U99*$AE$30</f>
        <v/>
      </c>
      <c r="W99" s="8">
        <f>1/(1+EXP(-V99))</f>
        <v/>
      </c>
      <c r="X99" s="9">
        <f>-IF(C99=1,LN(W99),LN(1-W99))</f>
        <v/>
      </c>
      <c r="Y99" s="8">
        <f>IF(C99=1,$AE$32,$AE$33)</f>
        <v/>
      </c>
      <c r="Z99" s="9">
        <f>Y99*X99</f>
        <v/>
      </c>
      <c r="AA99" s="10">
        <f>IF(W99&gt;$AE$34,1,0)</f>
        <v/>
      </c>
      <c r="AB99">
        <f>IF(AA99=C99,1,0)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$AE$12+D100*$AE$13+E100*$AE$14+F100*$AE$15+G100*$AE$16+H100*$AE$17+I100*$AE$18+J100*$AE$19+K100*$AE$20+L100*$AE$21+M100*$AE$22+N100*$AE$23+O100*$AE$24+P100*$AE$25+Q100*$AE$26+R100*$AE$27+S100*$AE$28+T100*$AE$29+U100*$AE$30</f>
        <v/>
      </c>
      <c r="W100" s="8">
        <f>1/(1+EXP(-V100))</f>
        <v/>
      </c>
      <c r="X100" s="9">
        <f>-IF(C100=1,LN(W100),LN(1-W100))</f>
        <v/>
      </c>
      <c r="Y100" s="8">
        <f>IF(C100=1,$AE$32,$AE$33)</f>
        <v/>
      </c>
      <c r="Z100" s="9">
        <f>Y100*X100</f>
        <v/>
      </c>
      <c r="AA100" s="10">
        <f>IF(W100&gt;$AE$34,1,0)</f>
        <v/>
      </c>
      <c r="AB100">
        <f>IF(AA100=C100,1,0)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$AE$12+D101*$AE$13+E101*$AE$14+F101*$AE$15+G101*$AE$16+H101*$AE$17+I101*$AE$18+J101*$AE$19+K101*$AE$20+L101*$AE$21+M101*$AE$22+N101*$AE$23+O101*$AE$24+P101*$AE$25+Q101*$AE$26+R101*$AE$27+S101*$AE$28+T101*$AE$29+U101*$AE$30</f>
        <v/>
      </c>
      <c r="W101" s="8">
        <f>1/(1+EXP(-V101))</f>
        <v/>
      </c>
      <c r="X101" s="9">
        <f>-IF(C101=1,LN(W101),LN(1-W101))</f>
        <v/>
      </c>
      <c r="Y101" s="8">
        <f>IF(C101=1,$AE$32,$AE$33)</f>
        <v/>
      </c>
      <c r="Z101" s="9">
        <f>Y101*X101</f>
        <v/>
      </c>
      <c r="AA101" s="10">
        <f>IF(W101&gt;$AE$34,1,0)</f>
        <v/>
      </c>
      <c r="AB101">
        <f>IF(AA101=C101,1,0)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$AE$12+D102*$AE$13+E102*$AE$14+F102*$AE$15+G102*$AE$16+H102*$AE$17+I102*$AE$18+J102*$AE$19+K102*$AE$20+L102*$AE$21+M102*$AE$22+N102*$AE$23+O102*$AE$24+P102*$AE$25+Q102*$AE$26+R102*$AE$27+S102*$AE$28+T102*$AE$29+U102*$AE$30</f>
        <v/>
      </c>
      <c r="W102" s="8">
        <f>1/(1+EXP(-V102))</f>
        <v/>
      </c>
      <c r="X102" s="9">
        <f>-IF(C102=1,LN(W102),LN(1-W102))</f>
        <v/>
      </c>
      <c r="Y102" s="8">
        <f>IF(C102=1,$AE$32,$AE$33)</f>
        <v/>
      </c>
      <c r="Z102" s="9">
        <f>Y102*X102</f>
        <v/>
      </c>
      <c r="AA102" s="10">
        <f>IF(W102&gt;$AE$34,1,0)</f>
        <v/>
      </c>
      <c r="AB102">
        <f>IF(AA102=C102,1,0)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$AE$12+D103*$AE$13+E103*$AE$14+F103*$AE$15+G103*$AE$16+H103*$AE$17+I103*$AE$18+J103*$AE$19+K103*$AE$20+L103*$AE$21+M103*$AE$22+N103*$AE$23+O103*$AE$24+P103*$AE$25+Q103*$AE$26+R103*$AE$27+S103*$AE$28+T103*$AE$29+U103*$AE$30</f>
        <v/>
      </c>
      <c r="W103" s="8">
        <f>1/(1+EXP(-V103))</f>
        <v/>
      </c>
      <c r="X103" s="9">
        <f>-IF(C103=1,LN(W103),LN(1-W103))</f>
        <v/>
      </c>
      <c r="Y103" s="8">
        <f>IF(C103=1,$AE$32,$AE$33)</f>
        <v/>
      </c>
      <c r="Z103" s="9">
        <f>Y103*X103</f>
        <v/>
      </c>
      <c r="AA103" s="10">
        <f>IF(W103&gt;$AE$34,1,0)</f>
        <v/>
      </c>
      <c r="AB103">
        <f>IF(AA103=C103,1,0)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$AE$12+D104*$AE$13+E104*$AE$14+F104*$AE$15+G104*$AE$16+H104*$AE$17+I104*$AE$18+J104*$AE$19+K104*$AE$20+L104*$AE$21+M104*$AE$22+N104*$AE$23+O104*$AE$24+P104*$AE$25+Q104*$AE$26+R104*$AE$27+S104*$AE$28+T104*$AE$29+U104*$AE$30</f>
        <v/>
      </c>
      <c r="W104" s="8">
        <f>1/(1+EXP(-V104))</f>
        <v/>
      </c>
      <c r="X104" s="9">
        <f>-IF(C104=1,LN(W104),LN(1-W104))</f>
        <v/>
      </c>
      <c r="Y104" s="8">
        <f>IF(C104=1,$AE$32,$AE$33)</f>
        <v/>
      </c>
      <c r="Z104" s="9">
        <f>Y104*X104</f>
        <v/>
      </c>
      <c r="AA104" s="10">
        <f>IF(W104&gt;$AE$34,1,0)</f>
        <v/>
      </c>
      <c r="AB104">
        <f>IF(AA104=C104,1,0)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$AE$12+D105*$AE$13+E105*$AE$14+F105*$AE$15+G105*$AE$16+H105*$AE$17+I105*$AE$18+J105*$AE$19+K105*$AE$20+L105*$AE$21+M105*$AE$22+N105*$AE$23+O105*$AE$24+P105*$AE$25+Q105*$AE$26+R105*$AE$27+S105*$AE$28+T105*$AE$29+U105*$AE$30</f>
        <v/>
      </c>
      <c r="W105" s="8">
        <f>1/(1+EXP(-V105))</f>
        <v/>
      </c>
      <c r="X105" s="9">
        <f>-IF(C105=1,LN(W105),LN(1-W105))</f>
        <v/>
      </c>
      <c r="Y105" s="8">
        <f>IF(C105=1,$AE$32,$AE$33)</f>
        <v/>
      </c>
      <c r="Z105" s="9">
        <f>Y105*X105</f>
        <v/>
      </c>
      <c r="AA105" s="10">
        <f>IF(W105&gt;$AE$34,1,0)</f>
        <v/>
      </c>
      <c r="AB105">
        <f>IF(AA105=C105,1,0)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$AE$12+D106*$AE$13+E106*$AE$14+F106*$AE$15+G106*$AE$16+H106*$AE$17+I106*$AE$18+J106*$AE$19+K106*$AE$20+L106*$AE$21+M106*$AE$22+N106*$AE$23+O106*$AE$24+P106*$AE$25+Q106*$AE$26+R106*$AE$27+S106*$AE$28+T106*$AE$29+U106*$AE$30</f>
        <v/>
      </c>
      <c r="W106" s="8">
        <f>1/(1+EXP(-V106))</f>
        <v/>
      </c>
      <c r="X106" s="9">
        <f>-IF(C106=1,LN(W106),LN(1-W106))</f>
        <v/>
      </c>
      <c r="Y106" s="8">
        <f>IF(C106=1,$AE$32,$AE$33)</f>
        <v/>
      </c>
      <c r="Z106" s="9">
        <f>Y106*X106</f>
        <v/>
      </c>
      <c r="AA106" s="10">
        <f>IF(W106&gt;$AE$34,1,0)</f>
        <v/>
      </c>
      <c r="AB106">
        <f>IF(AA106=C106,1,0)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$AE$12+D107*$AE$13+E107*$AE$14+F107*$AE$15+G107*$AE$16+H107*$AE$17+I107*$AE$18+J107*$AE$19+K107*$AE$20+L107*$AE$21+M107*$AE$22+N107*$AE$23+O107*$AE$24+P107*$AE$25+Q107*$AE$26+R107*$AE$27+S107*$AE$28+T107*$AE$29+U107*$AE$30</f>
        <v/>
      </c>
      <c r="W107" s="8">
        <f>1/(1+EXP(-V107))</f>
        <v/>
      </c>
      <c r="X107" s="9">
        <f>-IF(C107=1,LN(W107),LN(1-W107))</f>
        <v/>
      </c>
      <c r="Y107" s="8">
        <f>IF(C107=1,$AE$32,$AE$33)</f>
        <v/>
      </c>
      <c r="Z107" s="9">
        <f>Y107*X107</f>
        <v/>
      </c>
      <c r="AA107" s="10">
        <f>IF(W107&gt;$AE$34,1,0)</f>
        <v/>
      </c>
      <c r="AB107">
        <f>IF(AA107=C107,1,0)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$AE$12+D108*$AE$13+E108*$AE$14+F108*$AE$15+G108*$AE$16+H108*$AE$17+I108*$AE$18+J108*$AE$19+K108*$AE$20+L108*$AE$21+M108*$AE$22+N108*$AE$23+O108*$AE$24+P108*$AE$25+Q108*$AE$26+R108*$AE$27+S108*$AE$28+T108*$AE$29+U108*$AE$30</f>
        <v/>
      </c>
      <c r="W108" s="8">
        <f>1/(1+EXP(-V108))</f>
        <v/>
      </c>
      <c r="X108" s="9">
        <f>-IF(C108=1,LN(W108),LN(1-W108))</f>
        <v/>
      </c>
      <c r="Y108" s="8">
        <f>IF(C108=1,$AE$32,$AE$33)</f>
        <v/>
      </c>
      <c r="Z108" s="9">
        <f>Y108*X108</f>
        <v/>
      </c>
      <c r="AA108" s="10">
        <f>IF(W108&gt;$AE$34,1,0)</f>
        <v/>
      </c>
      <c r="AB108">
        <f>IF(AA108=C108,1,0)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$AE$12+D109*$AE$13+E109*$AE$14+F109*$AE$15+G109*$AE$16+H109*$AE$17+I109*$AE$18+J109*$AE$19+K109*$AE$20+L109*$AE$21+M109*$AE$22+N109*$AE$23+O109*$AE$24+P109*$AE$25+Q109*$AE$26+R109*$AE$27+S109*$AE$28+T109*$AE$29+U109*$AE$30</f>
        <v/>
      </c>
      <c r="W109" s="8">
        <f>1/(1+EXP(-V109))</f>
        <v/>
      </c>
      <c r="X109" s="9">
        <f>-IF(C109=1,LN(W109),LN(1-W109))</f>
        <v/>
      </c>
      <c r="Y109" s="8">
        <f>IF(C109=1,$AE$32,$AE$33)</f>
        <v/>
      </c>
      <c r="Z109" s="9">
        <f>Y109*X109</f>
        <v/>
      </c>
      <c r="AA109" s="10">
        <f>IF(W109&gt;$AE$34,1,0)</f>
        <v/>
      </c>
      <c r="AB109">
        <f>IF(AA109=C109,1,0)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$AE$12+D110*$AE$13+E110*$AE$14+F110*$AE$15+G110*$AE$16+H110*$AE$17+I110*$AE$18+J110*$AE$19+K110*$AE$20+L110*$AE$21+M110*$AE$22+N110*$AE$23+O110*$AE$24+P110*$AE$25+Q110*$AE$26+R110*$AE$27+S110*$AE$28+T110*$AE$29+U110*$AE$30</f>
        <v/>
      </c>
      <c r="W110" s="8">
        <f>1/(1+EXP(-V110))</f>
        <v/>
      </c>
      <c r="X110" s="9">
        <f>-IF(C110=1,LN(W110),LN(1-W110))</f>
        <v/>
      </c>
      <c r="Y110" s="8">
        <f>IF(C110=1,$AE$32,$AE$33)</f>
        <v/>
      </c>
      <c r="Z110" s="9">
        <f>Y110*X110</f>
        <v/>
      </c>
      <c r="AA110" s="10">
        <f>IF(W110&gt;$AE$34,1,0)</f>
        <v/>
      </c>
      <c r="AB110">
        <f>IF(AA110=C110,1,0)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$AE$12+D111*$AE$13+E111*$AE$14+F111*$AE$15+G111*$AE$16+H111*$AE$17+I111*$AE$18+J111*$AE$19+K111*$AE$20+L111*$AE$21+M111*$AE$22+N111*$AE$23+O111*$AE$24+P111*$AE$25+Q111*$AE$26+R111*$AE$27+S111*$AE$28+T111*$AE$29+U111*$AE$30</f>
        <v/>
      </c>
      <c r="W111" s="8">
        <f>1/(1+EXP(-V111))</f>
        <v/>
      </c>
      <c r="X111" s="9">
        <f>-IF(C111=1,LN(W111),LN(1-W111))</f>
        <v/>
      </c>
      <c r="Y111" s="8">
        <f>IF(C111=1,$AE$32,$AE$33)</f>
        <v/>
      </c>
      <c r="Z111" s="9">
        <f>Y111*X111</f>
        <v/>
      </c>
      <c r="AA111" s="10">
        <f>IF(W111&gt;$AE$34,1,0)</f>
        <v/>
      </c>
      <c r="AB111">
        <f>IF(AA111=C111,1,0)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$AE$12+D112*$AE$13+E112*$AE$14+F112*$AE$15+G112*$AE$16+H112*$AE$17+I112*$AE$18+J112*$AE$19+K112*$AE$20+L112*$AE$21+M112*$AE$22+N112*$AE$23+O112*$AE$24+P112*$AE$25+Q112*$AE$26+R112*$AE$27+S112*$AE$28+T112*$AE$29+U112*$AE$30</f>
        <v/>
      </c>
      <c r="W112" s="8">
        <f>1/(1+EXP(-V112))</f>
        <v/>
      </c>
      <c r="X112" s="9">
        <f>-IF(C112=1,LN(W112),LN(1-W112))</f>
        <v/>
      </c>
      <c r="Y112" s="8">
        <f>IF(C112=1,$AE$32,$AE$33)</f>
        <v/>
      </c>
      <c r="Z112" s="9">
        <f>Y112*X112</f>
        <v/>
      </c>
      <c r="AA112" s="10">
        <f>IF(W112&gt;$AE$34,1,0)</f>
        <v/>
      </c>
      <c r="AB112">
        <f>IF(AA112=C112,1,0)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$AE$12+D113*$AE$13+E113*$AE$14+F113*$AE$15+G113*$AE$16+H113*$AE$17+I113*$AE$18+J113*$AE$19+K113*$AE$20+L113*$AE$21+M113*$AE$22+N113*$AE$23+O113*$AE$24+P113*$AE$25+Q113*$AE$26+R113*$AE$27+S113*$AE$28+T113*$AE$29+U113*$AE$30</f>
        <v/>
      </c>
      <c r="W113" s="8">
        <f>1/(1+EXP(-V113))</f>
        <v/>
      </c>
      <c r="X113" s="9">
        <f>-IF(C113=1,LN(W113),LN(1-W113))</f>
        <v/>
      </c>
      <c r="Y113" s="8">
        <f>IF(C113=1,$AE$32,$AE$33)</f>
        <v/>
      </c>
      <c r="Z113" s="9">
        <f>Y113*X113</f>
        <v/>
      </c>
      <c r="AA113" s="10">
        <f>IF(W113&gt;$AE$34,1,0)</f>
        <v/>
      </c>
      <c r="AB113">
        <f>IF(AA113=C113,1,0)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$AE$12+D114*$AE$13+E114*$AE$14+F114*$AE$15+G114*$AE$16+H114*$AE$17+I114*$AE$18+J114*$AE$19+K114*$AE$20+L114*$AE$21+M114*$AE$22+N114*$AE$23+O114*$AE$24+P114*$AE$25+Q114*$AE$26+R114*$AE$27+S114*$AE$28+T114*$AE$29+U114*$AE$30</f>
        <v/>
      </c>
      <c r="W114" s="8">
        <f>1/(1+EXP(-V114))</f>
        <v/>
      </c>
      <c r="X114" s="9">
        <f>-IF(C114=1,LN(W114),LN(1-W114))</f>
        <v/>
      </c>
      <c r="Y114" s="8">
        <f>IF(C114=1,$AE$32,$AE$33)</f>
        <v/>
      </c>
      <c r="Z114" s="9">
        <f>Y114*X114</f>
        <v/>
      </c>
      <c r="AA114" s="10">
        <f>IF(W114&gt;$AE$34,1,0)</f>
        <v/>
      </c>
      <c r="AB114">
        <f>IF(AA114=C114,1,0)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$AE$12+D115*$AE$13+E115*$AE$14+F115*$AE$15+G115*$AE$16+H115*$AE$17+I115*$AE$18+J115*$AE$19+K115*$AE$20+L115*$AE$21+M115*$AE$22+N115*$AE$23+O115*$AE$24+P115*$AE$25+Q115*$AE$26+R115*$AE$27+S115*$AE$28+T115*$AE$29+U115*$AE$30</f>
        <v/>
      </c>
      <c r="W115" s="8">
        <f>1/(1+EXP(-V115))</f>
        <v/>
      </c>
      <c r="X115" s="9">
        <f>-IF(C115=1,LN(W115),LN(1-W115))</f>
        <v/>
      </c>
      <c r="Y115" s="8">
        <f>IF(C115=1,$AE$32,$AE$33)</f>
        <v/>
      </c>
      <c r="Z115" s="9">
        <f>Y115*X115</f>
        <v/>
      </c>
      <c r="AA115" s="10">
        <f>IF(W115&gt;$AE$34,1,0)</f>
        <v/>
      </c>
      <c r="AB115">
        <f>IF(AA115=C115,1,0)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$AE$12+D116*$AE$13+E116*$AE$14+F116*$AE$15+G116*$AE$16+H116*$AE$17+I116*$AE$18+J116*$AE$19+K116*$AE$20+L116*$AE$21+M116*$AE$22+N116*$AE$23+O116*$AE$24+P116*$AE$25+Q116*$AE$26+R116*$AE$27+S116*$AE$28+T116*$AE$29+U116*$AE$30</f>
        <v/>
      </c>
      <c r="W116" s="8">
        <f>1/(1+EXP(-V116))</f>
        <v/>
      </c>
      <c r="X116" s="9">
        <f>-IF(C116=1,LN(W116),LN(1-W116))</f>
        <v/>
      </c>
      <c r="Y116" s="8">
        <f>IF(C116=1,$AE$32,$AE$33)</f>
        <v/>
      </c>
      <c r="Z116" s="9">
        <f>Y116*X116</f>
        <v/>
      </c>
      <c r="AA116" s="10">
        <f>IF(W116&gt;$AE$34,1,0)</f>
        <v/>
      </c>
      <c r="AB116">
        <f>IF(AA116=C116,1,0)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$AE$12+D117*$AE$13+E117*$AE$14+F117*$AE$15+G117*$AE$16+H117*$AE$17+I117*$AE$18+J117*$AE$19+K117*$AE$20+L117*$AE$21+M117*$AE$22+N117*$AE$23+O117*$AE$24+P117*$AE$25+Q117*$AE$26+R117*$AE$27+S117*$AE$28+T117*$AE$29+U117*$AE$30</f>
        <v/>
      </c>
      <c r="W117" s="8">
        <f>1/(1+EXP(-V117))</f>
        <v/>
      </c>
      <c r="X117" s="9">
        <f>-IF(C117=1,LN(W117),LN(1-W117))</f>
        <v/>
      </c>
      <c r="Y117" s="8">
        <f>IF(C117=1,$AE$32,$AE$33)</f>
        <v/>
      </c>
      <c r="Z117" s="9">
        <f>Y117*X117</f>
        <v/>
      </c>
      <c r="AA117" s="10">
        <f>IF(W117&gt;$AE$34,1,0)</f>
        <v/>
      </c>
      <c r="AB117">
        <f>IF(AA117=C117,1,0)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$AE$12+D118*$AE$13+E118*$AE$14+F118*$AE$15+G118*$AE$16+H118*$AE$17+I118*$AE$18+J118*$AE$19+K118*$AE$20+L118*$AE$21+M118*$AE$22+N118*$AE$23+O118*$AE$24+P118*$AE$25+Q118*$AE$26+R118*$AE$27+S118*$AE$28+T118*$AE$29+U118*$AE$30</f>
        <v/>
      </c>
      <c r="W118" s="8">
        <f>1/(1+EXP(-V118))</f>
        <v/>
      </c>
      <c r="X118" s="9">
        <f>-IF(C118=1,LN(W118),LN(1-W118))</f>
        <v/>
      </c>
      <c r="Y118" s="8">
        <f>IF(C118=1,$AE$32,$AE$33)</f>
        <v/>
      </c>
      <c r="Z118" s="9">
        <f>Y118*X118</f>
        <v/>
      </c>
      <c r="AA118" s="10">
        <f>IF(W118&gt;$AE$34,1,0)</f>
        <v/>
      </c>
      <c r="AB118">
        <f>IF(AA118=C118,1,0)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$AE$12+D119*$AE$13+E119*$AE$14+F119*$AE$15+G119*$AE$16+H119*$AE$17+I119*$AE$18+J119*$AE$19+K119*$AE$20+L119*$AE$21+M119*$AE$22+N119*$AE$23+O119*$AE$24+P119*$AE$25+Q119*$AE$26+R119*$AE$27+S119*$AE$28+T119*$AE$29+U119*$AE$30</f>
        <v/>
      </c>
      <c r="W119" s="8">
        <f>1/(1+EXP(-V119))</f>
        <v/>
      </c>
      <c r="X119" s="9">
        <f>-IF(C119=1,LN(W119),LN(1-W119))</f>
        <v/>
      </c>
      <c r="Y119" s="8">
        <f>IF(C119=1,$AE$32,$AE$33)</f>
        <v/>
      </c>
      <c r="Z119" s="9">
        <f>Y119*X119</f>
        <v/>
      </c>
      <c r="AA119" s="10">
        <f>IF(W119&gt;$AE$34,1,0)</f>
        <v/>
      </c>
      <c r="AB119">
        <f>IF(AA119=C119,1,0)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$AE$12+D120*$AE$13+E120*$AE$14+F120*$AE$15+G120*$AE$16+H120*$AE$17+I120*$AE$18+J120*$AE$19+K120*$AE$20+L120*$AE$21+M120*$AE$22+N120*$AE$23+O120*$AE$24+P120*$AE$25+Q120*$AE$26+R120*$AE$27+S120*$AE$28+T120*$AE$29+U120*$AE$30</f>
        <v/>
      </c>
      <c r="W120" s="8">
        <f>1/(1+EXP(-V120))</f>
        <v/>
      </c>
      <c r="X120" s="9">
        <f>-IF(C120=1,LN(W120),LN(1-W120))</f>
        <v/>
      </c>
      <c r="Y120" s="8">
        <f>IF(C120=1,$AE$32,$AE$33)</f>
        <v/>
      </c>
      <c r="Z120" s="9">
        <f>Y120*X120</f>
        <v/>
      </c>
      <c r="AA120" s="10">
        <f>IF(W120&gt;$AE$34,1,0)</f>
        <v/>
      </c>
      <c r="AB120">
        <f>IF(AA120=C120,1,0)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$AE$12+D121*$AE$13+E121*$AE$14+F121*$AE$15+G121*$AE$16+H121*$AE$17+I121*$AE$18+J121*$AE$19+K121*$AE$20+L121*$AE$21+M121*$AE$22+N121*$AE$23+O121*$AE$24+P121*$AE$25+Q121*$AE$26+R121*$AE$27+S121*$AE$28+T121*$AE$29+U121*$AE$30</f>
        <v/>
      </c>
      <c r="W121" s="8">
        <f>1/(1+EXP(-V121))</f>
        <v/>
      </c>
      <c r="X121" s="9">
        <f>-IF(C121=1,LN(W121),LN(1-W121))</f>
        <v/>
      </c>
      <c r="Y121" s="8">
        <f>IF(C121=1,$AE$32,$AE$33)</f>
        <v/>
      </c>
      <c r="Z121" s="9">
        <f>Y121*X121</f>
        <v/>
      </c>
      <c r="AA121" s="10">
        <f>IF(W121&gt;$AE$34,1,0)</f>
        <v/>
      </c>
      <c r="AB121">
        <f>IF(AA121=C121,1,0)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$AE$12+D122*$AE$13+E122*$AE$14+F122*$AE$15+G122*$AE$16+H122*$AE$17+I122*$AE$18+J122*$AE$19+K122*$AE$20+L122*$AE$21+M122*$AE$22+N122*$AE$23+O122*$AE$24+P122*$AE$25+Q122*$AE$26+R122*$AE$27+S122*$AE$28+T122*$AE$29+U122*$AE$30</f>
        <v/>
      </c>
      <c r="W122" s="8">
        <f>1/(1+EXP(-V122))</f>
        <v/>
      </c>
      <c r="X122" s="9">
        <f>-IF(C122=1,LN(W122),LN(1-W122))</f>
        <v/>
      </c>
      <c r="Y122" s="8">
        <f>IF(C122=1,$AE$32,$AE$33)</f>
        <v/>
      </c>
      <c r="Z122" s="9">
        <f>Y122*X122</f>
        <v/>
      </c>
      <c r="AA122" s="10">
        <f>IF(W122&gt;$AE$34,1,0)</f>
        <v/>
      </c>
      <c r="AB122">
        <f>IF(AA122=C122,1,0)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$AE$12+D123*$AE$13+E123*$AE$14+F123*$AE$15+G123*$AE$16+H123*$AE$17+I123*$AE$18+J123*$AE$19+K123*$AE$20+L123*$AE$21+M123*$AE$22+N123*$AE$23+O123*$AE$24+P123*$AE$25+Q123*$AE$26+R123*$AE$27+S123*$AE$28+T123*$AE$29+U123*$AE$30</f>
        <v/>
      </c>
      <c r="W123" s="8">
        <f>1/(1+EXP(-V123))</f>
        <v/>
      </c>
      <c r="X123" s="9">
        <f>-IF(C123=1,LN(W123),LN(1-W123))</f>
        <v/>
      </c>
      <c r="Y123" s="8">
        <f>IF(C123=1,$AE$32,$AE$33)</f>
        <v/>
      </c>
      <c r="Z123" s="9">
        <f>Y123*X123</f>
        <v/>
      </c>
      <c r="AA123" s="10">
        <f>IF(W123&gt;$AE$34,1,0)</f>
        <v/>
      </c>
      <c r="AB123">
        <f>IF(AA123=C123,1,0)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$AE$12+D124*$AE$13+E124*$AE$14+F124*$AE$15+G124*$AE$16+H124*$AE$17+I124*$AE$18+J124*$AE$19+K124*$AE$20+L124*$AE$21+M124*$AE$22+N124*$AE$23+O124*$AE$24+P124*$AE$25+Q124*$AE$26+R124*$AE$27+S124*$AE$28+T124*$AE$29+U124*$AE$30</f>
        <v/>
      </c>
      <c r="W124" s="8">
        <f>1/(1+EXP(-V124))</f>
        <v/>
      </c>
      <c r="X124" s="9">
        <f>-IF(C124=1,LN(W124),LN(1-W124))</f>
        <v/>
      </c>
      <c r="Y124" s="8">
        <f>IF(C124=1,$AE$32,$AE$33)</f>
        <v/>
      </c>
      <c r="Z124" s="9">
        <f>Y124*X124</f>
        <v/>
      </c>
      <c r="AA124" s="10">
        <f>IF(W124&gt;$AE$34,1,0)</f>
        <v/>
      </c>
      <c r="AB124">
        <f>IF(AA124=C124,1,0)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$AE$12+D125*$AE$13+E125*$AE$14+F125*$AE$15+G125*$AE$16+H125*$AE$17+I125*$AE$18+J125*$AE$19+K125*$AE$20+L125*$AE$21+M125*$AE$22+N125*$AE$23+O125*$AE$24+P125*$AE$25+Q125*$AE$26+R125*$AE$27+S125*$AE$28+T125*$AE$29+U125*$AE$30</f>
        <v/>
      </c>
      <c r="W125" s="8">
        <f>1/(1+EXP(-V125))</f>
        <v/>
      </c>
      <c r="X125" s="9">
        <f>-IF(C125=1,LN(W125),LN(1-W125))</f>
        <v/>
      </c>
      <c r="Y125" s="8">
        <f>IF(C125=1,$AE$32,$AE$33)</f>
        <v/>
      </c>
      <c r="Z125" s="9">
        <f>Y125*X125</f>
        <v/>
      </c>
      <c r="AA125" s="10">
        <f>IF(W125&gt;$AE$34,1,0)</f>
        <v/>
      </c>
      <c r="AB125">
        <f>IF(AA125=C125,1,0)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$AE$12+D126*$AE$13+E126*$AE$14+F126*$AE$15+G126*$AE$16+H126*$AE$17+I126*$AE$18+J126*$AE$19+K126*$AE$20+L126*$AE$21+M126*$AE$22+N126*$AE$23+O126*$AE$24+P126*$AE$25+Q126*$AE$26+R126*$AE$27+S126*$AE$28+T126*$AE$29+U126*$AE$30</f>
        <v/>
      </c>
      <c r="W126" s="8">
        <f>1/(1+EXP(-V126))</f>
        <v/>
      </c>
      <c r="X126" s="9">
        <f>-IF(C126=1,LN(W126),LN(1-W126))</f>
        <v/>
      </c>
      <c r="Y126" s="8">
        <f>IF(C126=1,$AE$32,$AE$33)</f>
        <v/>
      </c>
      <c r="Z126" s="9">
        <f>Y126*X126</f>
        <v/>
      </c>
      <c r="AA126" s="10">
        <f>IF(W126&gt;$AE$34,1,0)</f>
        <v/>
      </c>
      <c r="AB126">
        <f>IF(AA126=C126,1,0)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$AE$12+D127*$AE$13+E127*$AE$14+F127*$AE$15+G127*$AE$16+H127*$AE$17+I127*$AE$18+J127*$AE$19+K127*$AE$20+L127*$AE$21+M127*$AE$22+N127*$AE$23+O127*$AE$24+P127*$AE$25+Q127*$AE$26+R127*$AE$27+S127*$AE$28+T127*$AE$29+U127*$AE$30</f>
        <v/>
      </c>
      <c r="W127" s="8">
        <f>1/(1+EXP(-V127))</f>
        <v/>
      </c>
      <c r="X127" s="9">
        <f>-IF(C127=1,LN(W127),LN(1-W127))</f>
        <v/>
      </c>
      <c r="Y127" s="8">
        <f>IF(C127=1,$AE$32,$AE$33)</f>
        <v/>
      </c>
      <c r="Z127" s="9">
        <f>Y127*X127</f>
        <v/>
      </c>
      <c r="AA127" s="10">
        <f>IF(W127&gt;$AE$34,1,0)</f>
        <v/>
      </c>
      <c r="AB127">
        <f>IF(AA127=C127,1,0)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$AE$12+D128*$AE$13+E128*$AE$14+F128*$AE$15+G128*$AE$16+H128*$AE$17+I128*$AE$18+J128*$AE$19+K128*$AE$20+L128*$AE$21+M128*$AE$22+N128*$AE$23+O128*$AE$24+P128*$AE$25+Q128*$AE$26+R128*$AE$27+S128*$AE$28+T128*$AE$29+U128*$AE$30</f>
        <v/>
      </c>
      <c r="W128" s="8">
        <f>1/(1+EXP(-V128))</f>
        <v/>
      </c>
      <c r="X128" s="9">
        <f>-IF(C128=1,LN(W128),LN(1-W128))</f>
        <v/>
      </c>
      <c r="Y128" s="8">
        <f>IF(C128=1,$AE$32,$AE$33)</f>
        <v/>
      </c>
      <c r="Z128" s="9">
        <f>Y128*X128</f>
        <v/>
      </c>
      <c r="AA128" s="10">
        <f>IF(W128&gt;$AE$34,1,0)</f>
        <v/>
      </c>
      <c r="AB128">
        <f>IF(AA128=C128,1,0)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$AE$12+D129*$AE$13+E129*$AE$14+F129*$AE$15+G129*$AE$16+H129*$AE$17+I129*$AE$18+J129*$AE$19+K129*$AE$20+L129*$AE$21+M129*$AE$22+N129*$AE$23+O129*$AE$24+P129*$AE$25+Q129*$AE$26+R129*$AE$27+S129*$AE$28+T129*$AE$29+U129*$AE$30</f>
        <v/>
      </c>
      <c r="W129" s="8">
        <f>1/(1+EXP(-V129))</f>
        <v/>
      </c>
      <c r="X129" s="9">
        <f>-IF(C129=1,LN(W129),LN(1-W129))</f>
        <v/>
      </c>
      <c r="Y129" s="8">
        <f>IF(C129=1,$AE$32,$AE$33)</f>
        <v/>
      </c>
      <c r="Z129" s="9">
        <f>Y129*X129</f>
        <v/>
      </c>
      <c r="AA129" s="10">
        <f>IF(W129&gt;$AE$34,1,0)</f>
        <v/>
      </c>
      <c r="AB129">
        <f>IF(AA129=C129,1,0)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$AE$12+D130*$AE$13+E130*$AE$14+F130*$AE$15+G130*$AE$16+H130*$AE$17+I130*$AE$18+J130*$AE$19+K130*$AE$20+L130*$AE$21+M130*$AE$22+N130*$AE$23+O130*$AE$24+P130*$AE$25+Q130*$AE$26+R130*$AE$27+S130*$AE$28+T130*$AE$29+U130*$AE$30</f>
        <v/>
      </c>
      <c r="W130" s="8">
        <f>1/(1+EXP(-V130))</f>
        <v/>
      </c>
      <c r="X130" s="9">
        <f>-IF(C130=1,LN(W130),LN(1-W130))</f>
        <v/>
      </c>
      <c r="Y130" s="8">
        <f>IF(C130=1,$AE$32,$AE$33)</f>
        <v/>
      </c>
      <c r="Z130" s="9">
        <f>Y130*X130</f>
        <v/>
      </c>
      <c r="AA130" s="10">
        <f>IF(W130&gt;$AE$34,1,0)</f>
        <v/>
      </c>
      <c r="AB130">
        <f>IF(AA130=C130,1,0)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$AE$12+D131*$AE$13+E131*$AE$14+F131*$AE$15+G131*$AE$16+H131*$AE$17+I131*$AE$18+J131*$AE$19+K131*$AE$20+L131*$AE$21+M131*$AE$22+N131*$AE$23+O131*$AE$24+P131*$AE$25+Q131*$AE$26+R131*$AE$27+S131*$AE$28+T131*$AE$29+U131*$AE$30</f>
        <v/>
      </c>
      <c r="W131" s="8">
        <f>1/(1+EXP(-V131))</f>
        <v/>
      </c>
      <c r="X131" s="9">
        <f>-IF(C131=1,LN(W131),LN(1-W131))</f>
        <v/>
      </c>
      <c r="Y131" s="8">
        <f>IF(C131=1,$AE$32,$AE$33)</f>
        <v/>
      </c>
      <c r="Z131" s="9">
        <f>Y131*X131</f>
        <v/>
      </c>
      <c r="AA131" s="10">
        <f>IF(W131&gt;$AE$34,1,0)</f>
        <v/>
      </c>
      <c r="AB131">
        <f>IF(AA131=C131,1,0)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$AE$12+D132*$AE$13+E132*$AE$14+F132*$AE$15+G132*$AE$16+H132*$AE$17+I132*$AE$18+J132*$AE$19+K132*$AE$20+L132*$AE$21+M132*$AE$22+N132*$AE$23+O132*$AE$24+P132*$AE$25+Q132*$AE$26+R132*$AE$27+S132*$AE$28+T132*$AE$29+U132*$AE$30</f>
        <v/>
      </c>
      <c r="W132" s="8">
        <f>1/(1+EXP(-V132))</f>
        <v/>
      </c>
      <c r="X132" s="9">
        <f>-IF(C132=1,LN(W132),LN(1-W132))</f>
        <v/>
      </c>
      <c r="Y132" s="8">
        <f>IF(C132=1,$AE$32,$AE$33)</f>
        <v/>
      </c>
      <c r="Z132" s="9">
        <f>Y132*X132</f>
        <v/>
      </c>
      <c r="AA132" s="10">
        <f>IF(W132&gt;$AE$34,1,0)</f>
        <v/>
      </c>
      <c r="AB132">
        <f>IF(AA132=C132,1,0)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$AE$12+D133*$AE$13+E133*$AE$14+F133*$AE$15+G133*$AE$16+H133*$AE$17+I133*$AE$18+J133*$AE$19+K133*$AE$20+L133*$AE$21+M133*$AE$22+N133*$AE$23+O133*$AE$24+P133*$AE$25+Q133*$AE$26+R133*$AE$27+S133*$AE$28+T133*$AE$29+U133*$AE$30</f>
        <v/>
      </c>
      <c r="W133" s="8">
        <f>1/(1+EXP(-V133))</f>
        <v/>
      </c>
      <c r="X133" s="9">
        <f>-IF(C133=1,LN(W133),LN(1-W133))</f>
        <v/>
      </c>
      <c r="Y133" s="8">
        <f>IF(C133=1,$AE$32,$AE$33)</f>
        <v/>
      </c>
      <c r="Z133" s="9">
        <f>Y133*X133</f>
        <v/>
      </c>
      <c r="AA133" s="10">
        <f>IF(W133&gt;$AE$34,1,0)</f>
        <v/>
      </c>
      <c r="AB133">
        <f>IF(AA133=C133,1,0)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$AE$12+D134*$AE$13+E134*$AE$14+F134*$AE$15+G134*$AE$16+H134*$AE$17+I134*$AE$18+J134*$AE$19+K134*$AE$20+L134*$AE$21+M134*$AE$22+N134*$AE$23+O134*$AE$24+P134*$AE$25+Q134*$AE$26+R134*$AE$27+S134*$AE$28+T134*$AE$29+U134*$AE$30</f>
        <v/>
      </c>
      <c r="W134" s="8">
        <f>1/(1+EXP(-V134))</f>
        <v/>
      </c>
      <c r="X134" s="9">
        <f>-IF(C134=1,LN(W134),LN(1-W134))</f>
        <v/>
      </c>
      <c r="Y134" s="8">
        <f>IF(C134=1,$AE$32,$AE$33)</f>
        <v/>
      </c>
      <c r="Z134" s="9">
        <f>Y134*X134</f>
        <v/>
      </c>
      <c r="AA134" s="10">
        <f>IF(W134&gt;$AE$34,1,0)</f>
        <v/>
      </c>
      <c r="AB134">
        <f>IF(AA134=C134,1,0)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$AE$12+D135*$AE$13+E135*$AE$14+F135*$AE$15+G135*$AE$16+H135*$AE$17+I135*$AE$18+J135*$AE$19+K135*$AE$20+L135*$AE$21+M135*$AE$22+N135*$AE$23+O135*$AE$24+P135*$AE$25+Q135*$AE$26+R135*$AE$27+S135*$AE$28+T135*$AE$29+U135*$AE$30</f>
        <v/>
      </c>
      <c r="W135" s="8">
        <f>1/(1+EXP(-V135))</f>
        <v/>
      </c>
      <c r="X135" s="9">
        <f>-IF(C135=1,LN(W135),LN(1-W135))</f>
        <v/>
      </c>
      <c r="Y135" s="8">
        <f>IF(C135=1,$AE$32,$AE$33)</f>
        <v/>
      </c>
      <c r="Z135" s="9">
        <f>Y135*X135</f>
        <v/>
      </c>
      <c r="AA135" s="10">
        <f>IF(W135&gt;$AE$34,1,0)</f>
        <v/>
      </c>
      <c r="AB135">
        <f>IF(AA135=C135,1,0)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$AE$12+D136*$AE$13+E136*$AE$14+F136*$AE$15+G136*$AE$16+H136*$AE$17+I136*$AE$18+J136*$AE$19+K136*$AE$20+L136*$AE$21+M136*$AE$22+N136*$AE$23+O136*$AE$24+P136*$AE$25+Q136*$AE$26+R136*$AE$27+S136*$AE$28+T136*$AE$29+U136*$AE$30</f>
        <v/>
      </c>
      <c r="W136" s="8">
        <f>1/(1+EXP(-V136))</f>
        <v/>
      </c>
      <c r="X136" s="9">
        <f>-IF(C136=1,LN(W136),LN(1-W136))</f>
        <v/>
      </c>
      <c r="Y136" s="8">
        <f>IF(C136=1,$AE$32,$AE$33)</f>
        <v/>
      </c>
      <c r="Z136" s="9">
        <f>Y136*X136</f>
        <v/>
      </c>
      <c r="AA136" s="10">
        <f>IF(W136&gt;$AE$34,1,0)</f>
        <v/>
      </c>
      <c r="AB136">
        <f>IF(AA136=C136,1,0)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$AE$12+D137*$AE$13+E137*$AE$14+F137*$AE$15+G137*$AE$16+H137*$AE$17+I137*$AE$18+J137*$AE$19+K137*$AE$20+L137*$AE$21+M137*$AE$22+N137*$AE$23+O137*$AE$24+P137*$AE$25+Q137*$AE$26+R137*$AE$27+S137*$AE$28+T137*$AE$29+U137*$AE$30</f>
        <v/>
      </c>
      <c r="W137" s="8">
        <f>1/(1+EXP(-V137))</f>
        <v/>
      </c>
      <c r="X137" s="9">
        <f>-IF(C137=1,LN(W137),LN(1-W137))</f>
        <v/>
      </c>
      <c r="Y137" s="8">
        <f>IF(C137=1,$AE$32,$AE$33)</f>
        <v/>
      </c>
      <c r="Z137" s="9">
        <f>Y137*X137</f>
        <v/>
      </c>
      <c r="AA137" s="10">
        <f>IF(W137&gt;$AE$34,1,0)</f>
        <v/>
      </c>
      <c r="AB137">
        <f>IF(AA137=C137,1,0)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$AE$12+D138*$AE$13+E138*$AE$14+F138*$AE$15+G138*$AE$16+H138*$AE$17+I138*$AE$18+J138*$AE$19+K138*$AE$20+L138*$AE$21+M138*$AE$22+N138*$AE$23+O138*$AE$24+P138*$AE$25+Q138*$AE$26+R138*$AE$27+S138*$AE$28+T138*$AE$29+U138*$AE$30</f>
        <v/>
      </c>
      <c r="W138" s="8">
        <f>1/(1+EXP(-V138))</f>
        <v/>
      </c>
      <c r="X138" s="9">
        <f>-IF(C138=1,LN(W138),LN(1-W138))</f>
        <v/>
      </c>
      <c r="Y138" s="8">
        <f>IF(C138=1,$AE$32,$AE$33)</f>
        <v/>
      </c>
      <c r="Z138" s="9">
        <f>Y138*X138</f>
        <v/>
      </c>
      <c r="AA138" s="10">
        <f>IF(W138&gt;$AE$34,1,0)</f>
        <v/>
      </c>
      <c r="AB138">
        <f>IF(AA138=C138,1,0)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$AE$12+D139*$AE$13+E139*$AE$14+F139*$AE$15+G139*$AE$16+H139*$AE$17+I139*$AE$18+J139*$AE$19+K139*$AE$20+L139*$AE$21+M139*$AE$22+N139*$AE$23+O139*$AE$24+P139*$AE$25+Q139*$AE$26+R139*$AE$27+S139*$AE$28+T139*$AE$29+U139*$AE$30</f>
        <v/>
      </c>
      <c r="W139" s="8">
        <f>1/(1+EXP(-V139))</f>
        <v/>
      </c>
      <c r="X139" s="9">
        <f>-IF(C139=1,LN(W139),LN(1-W139))</f>
        <v/>
      </c>
      <c r="Y139" s="8">
        <f>IF(C139=1,$AE$32,$AE$33)</f>
        <v/>
      </c>
      <c r="Z139" s="9">
        <f>Y139*X139</f>
        <v/>
      </c>
      <c r="AA139" s="10">
        <f>IF(W139&gt;$AE$34,1,0)</f>
        <v/>
      </c>
      <c r="AB139">
        <f>IF(AA139=C139,1,0)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$AE$12+D140*$AE$13+E140*$AE$14+F140*$AE$15+G140*$AE$16+H140*$AE$17+I140*$AE$18+J140*$AE$19+K140*$AE$20+L140*$AE$21+M140*$AE$22+N140*$AE$23+O140*$AE$24+P140*$AE$25+Q140*$AE$26+R140*$AE$27+S140*$AE$28+T140*$AE$29+U140*$AE$30</f>
        <v/>
      </c>
      <c r="W140" s="8">
        <f>1/(1+EXP(-V140))</f>
        <v/>
      </c>
      <c r="X140" s="9">
        <f>-IF(C140=1,LN(W140),LN(1-W140))</f>
        <v/>
      </c>
      <c r="Y140" s="8">
        <f>IF(C140=1,$AE$32,$AE$33)</f>
        <v/>
      </c>
      <c r="Z140" s="9">
        <f>Y140*X140</f>
        <v/>
      </c>
      <c r="AA140" s="10">
        <f>IF(W140&gt;$AE$34,1,0)</f>
        <v/>
      </c>
      <c r="AB140">
        <f>IF(AA140=C140,1,0)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$AE$12+D141*$AE$13+E141*$AE$14+F141*$AE$15+G141*$AE$16+H141*$AE$17+I141*$AE$18+J141*$AE$19+K141*$AE$20+L141*$AE$21+M141*$AE$22+N141*$AE$23+O141*$AE$24+P141*$AE$25+Q141*$AE$26+R141*$AE$27+S141*$AE$28+T141*$AE$29+U141*$AE$30</f>
        <v/>
      </c>
      <c r="W141" s="8">
        <f>1/(1+EXP(-V141))</f>
        <v/>
      </c>
      <c r="X141" s="9">
        <f>-IF(C141=1,LN(W141),LN(1-W141))</f>
        <v/>
      </c>
      <c r="Y141" s="8">
        <f>IF(C141=1,$AE$32,$AE$33)</f>
        <v/>
      </c>
      <c r="Z141" s="9">
        <f>Y141*X141</f>
        <v/>
      </c>
      <c r="AA141" s="10">
        <f>IF(W141&gt;$AE$34,1,0)</f>
        <v/>
      </c>
      <c r="AB141">
        <f>IF(AA141=C141,1,0)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$AE$12+D142*$AE$13+E142*$AE$14+F142*$AE$15+G142*$AE$16+H142*$AE$17+I142*$AE$18+J142*$AE$19+K142*$AE$20+L142*$AE$21+M142*$AE$22+N142*$AE$23+O142*$AE$24+P142*$AE$25+Q142*$AE$26+R142*$AE$27+S142*$AE$28+T142*$AE$29+U142*$AE$30</f>
        <v/>
      </c>
      <c r="W142" s="8">
        <f>1/(1+EXP(-V142))</f>
        <v/>
      </c>
      <c r="X142" s="9">
        <f>-IF(C142=1,LN(W142),LN(1-W142))</f>
        <v/>
      </c>
      <c r="Y142" s="8">
        <f>IF(C142=1,$AE$32,$AE$33)</f>
        <v/>
      </c>
      <c r="Z142" s="9">
        <f>Y142*X142</f>
        <v/>
      </c>
      <c r="AA142" s="10">
        <f>IF(W142&gt;$AE$34,1,0)</f>
        <v/>
      </c>
      <c r="AB142">
        <f>IF(AA142=C142,1,0)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$AE$12+D143*$AE$13+E143*$AE$14+F143*$AE$15+G143*$AE$16+H143*$AE$17+I143*$AE$18+J143*$AE$19+K143*$AE$20+L143*$AE$21+M143*$AE$22+N143*$AE$23+O143*$AE$24+P143*$AE$25+Q143*$AE$26+R143*$AE$27+S143*$AE$28+T143*$AE$29+U143*$AE$30</f>
        <v/>
      </c>
      <c r="W143" s="8">
        <f>1/(1+EXP(-V143))</f>
        <v/>
      </c>
      <c r="X143" s="9">
        <f>-IF(C143=1,LN(W143),LN(1-W143))</f>
        <v/>
      </c>
      <c r="Y143" s="8">
        <f>IF(C143=1,$AE$32,$AE$33)</f>
        <v/>
      </c>
      <c r="Z143" s="9">
        <f>Y143*X143</f>
        <v/>
      </c>
      <c r="AA143" s="10">
        <f>IF(W143&gt;$AE$34,1,0)</f>
        <v/>
      </c>
      <c r="AB143">
        <f>IF(AA143=C143,1,0)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$AE$12+D144*$AE$13+E144*$AE$14+F144*$AE$15+G144*$AE$16+H144*$AE$17+I144*$AE$18+J144*$AE$19+K144*$AE$20+L144*$AE$21+M144*$AE$22+N144*$AE$23+O144*$AE$24+P144*$AE$25+Q144*$AE$26+R144*$AE$27+S144*$AE$28+T144*$AE$29+U144*$AE$30</f>
        <v/>
      </c>
      <c r="W144" s="8">
        <f>1/(1+EXP(-V144))</f>
        <v/>
      </c>
      <c r="X144" s="9">
        <f>-IF(C144=1,LN(W144),LN(1-W144))</f>
        <v/>
      </c>
      <c r="Y144" s="8">
        <f>IF(C144=1,$AE$32,$AE$33)</f>
        <v/>
      </c>
      <c r="Z144" s="9">
        <f>Y144*X144</f>
        <v/>
      </c>
      <c r="AA144" s="10">
        <f>IF(W144&gt;$AE$34,1,0)</f>
        <v/>
      </c>
      <c r="AB144">
        <f>IF(AA144=C144,1,0)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$AE$12+D145*$AE$13+E145*$AE$14+F145*$AE$15+G145*$AE$16+H145*$AE$17+I145*$AE$18+J145*$AE$19+K145*$AE$20+L145*$AE$21+M145*$AE$22+N145*$AE$23+O145*$AE$24+P145*$AE$25+Q145*$AE$26+R145*$AE$27+S145*$AE$28+T145*$AE$29+U145*$AE$30</f>
        <v/>
      </c>
      <c r="W145" s="8">
        <f>1/(1+EXP(-V145))</f>
        <v/>
      </c>
      <c r="X145" s="9">
        <f>-IF(C145=1,LN(W145),LN(1-W145))</f>
        <v/>
      </c>
      <c r="Y145" s="8">
        <f>IF(C145=1,$AE$32,$AE$33)</f>
        <v/>
      </c>
      <c r="Z145" s="9">
        <f>Y145*X145</f>
        <v/>
      </c>
      <c r="AA145" s="10">
        <f>IF(W145&gt;$AE$34,1,0)</f>
        <v/>
      </c>
      <c r="AB145">
        <f>IF(AA145=C145,1,0)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$AE$12+D146*$AE$13+E146*$AE$14+F146*$AE$15+G146*$AE$16+H146*$AE$17+I146*$AE$18+J146*$AE$19+K146*$AE$20+L146*$AE$21+M146*$AE$22+N146*$AE$23+O146*$AE$24+P146*$AE$25+Q146*$AE$26+R146*$AE$27+S146*$AE$28+T146*$AE$29+U146*$AE$30</f>
        <v/>
      </c>
      <c r="W146" s="8">
        <f>1/(1+EXP(-V146))</f>
        <v/>
      </c>
      <c r="X146" s="9">
        <f>-IF(C146=1,LN(W146),LN(1-W146))</f>
        <v/>
      </c>
      <c r="Y146" s="8">
        <f>IF(C146=1,$AE$32,$AE$33)</f>
        <v/>
      </c>
      <c r="Z146" s="9">
        <f>Y146*X146</f>
        <v/>
      </c>
      <c r="AA146" s="10">
        <f>IF(W146&gt;$AE$34,1,0)</f>
        <v/>
      </c>
      <c r="AB146">
        <f>IF(AA146=C146,1,0)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$AE$12+D147*$AE$13+E147*$AE$14+F147*$AE$15+G147*$AE$16+H147*$AE$17+I147*$AE$18+J147*$AE$19+K147*$AE$20+L147*$AE$21+M147*$AE$22+N147*$AE$23+O147*$AE$24+P147*$AE$25+Q147*$AE$26+R147*$AE$27+S147*$AE$28+T147*$AE$29+U147*$AE$30</f>
        <v/>
      </c>
      <c r="W147" s="8">
        <f>1/(1+EXP(-V147))</f>
        <v/>
      </c>
      <c r="X147" s="9">
        <f>-IF(C147=1,LN(W147),LN(1-W147))</f>
        <v/>
      </c>
      <c r="Y147" s="8">
        <f>IF(C147=1,$AE$32,$AE$33)</f>
        <v/>
      </c>
      <c r="Z147" s="9">
        <f>Y147*X147</f>
        <v/>
      </c>
      <c r="AA147" s="10">
        <f>IF(W147&gt;$AE$34,1,0)</f>
        <v/>
      </c>
      <c r="AB147">
        <f>IF(AA147=C147,1,0)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$AE$12+D148*$AE$13+E148*$AE$14+F148*$AE$15+G148*$AE$16+H148*$AE$17+I148*$AE$18+J148*$AE$19+K148*$AE$20+L148*$AE$21+M148*$AE$22+N148*$AE$23+O148*$AE$24+P148*$AE$25+Q148*$AE$26+R148*$AE$27+S148*$AE$28+T148*$AE$29+U148*$AE$30</f>
        <v/>
      </c>
      <c r="W148" s="8">
        <f>1/(1+EXP(-V148))</f>
        <v/>
      </c>
      <c r="X148" s="9">
        <f>-IF(C148=1,LN(W148),LN(1-W148))</f>
        <v/>
      </c>
      <c r="Y148" s="8">
        <f>IF(C148=1,$AE$32,$AE$33)</f>
        <v/>
      </c>
      <c r="Z148" s="9">
        <f>Y148*X148</f>
        <v/>
      </c>
      <c r="AA148" s="10">
        <f>IF(W148&gt;$AE$34,1,0)</f>
        <v/>
      </c>
      <c r="AB148">
        <f>IF(AA148=C148,1,0)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$AE$12+D149*$AE$13+E149*$AE$14+F149*$AE$15+G149*$AE$16+H149*$AE$17+I149*$AE$18+J149*$AE$19+K149*$AE$20+L149*$AE$21+M149*$AE$22+N149*$AE$23+O149*$AE$24+P149*$AE$25+Q149*$AE$26+R149*$AE$27+S149*$AE$28+T149*$AE$29+U149*$AE$30</f>
        <v/>
      </c>
      <c r="W149" s="8">
        <f>1/(1+EXP(-V149))</f>
        <v/>
      </c>
      <c r="X149" s="9">
        <f>-IF(C149=1,LN(W149),LN(1-W149))</f>
        <v/>
      </c>
      <c r="Y149" s="8">
        <f>IF(C149=1,$AE$32,$AE$33)</f>
        <v/>
      </c>
      <c r="Z149" s="9">
        <f>Y149*X149</f>
        <v/>
      </c>
      <c r="AA149" s="10">
        <f>IF(W149&gt;$AE$34,1,0)</f>
        <v/>
      </c>
      <c r="AB149">
        <f>IF(AA149=C149,1,0)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$AE$12+D150*$AE$13+E150*$AE$14+F150*$AE$15+G150*$AE$16+H150*$AE$17+I150*$AE$18+J150*$AE$19+K150*$AE$20+L150*$AE$21+M150*$AE$22+N150*$AE$23+O150*$AE$24+P150*$AE$25+Q150*$AE$26+R150*$AE$27+S150*$AE$28+T150*$AE$29+U150*$AE$30</f>
        <v/>
      </c>
      <c r="W150" s="8">
        <f>1/(1+EXP(-V150))</f>
        <v/>
      </c>
      <c r="X150" s="9">
        <f>-IF(C150=1,LN(W150),LN(1-W150))</f>
        <v/>
      </c>
      <c r="Y150" s="8">
        <f>IF(C150=1,$AE$32,$AE$33)</f>
        <v/>
      </c>
      <c r="Z150" s="9">
        <f>Y150*X150</f>
        <v/>
      </c>
      <c r="AA150" s="10">
        <f>IF(W150&gt;$AE$34,1,0)</f>
        <v/>
      </c>
      <c r="AB150">
        <f>IF(AA150=C150,1,0)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$AE$12+D151*$AE$13+E151*$AE$14+F151*$AE$15+G151*$AE$16+H151*$AE$17+I151*$AE$18+J151*$AE$19+K151*$AE$20+L151*$AE$21+M151*$AE$22+N151*$AE$23+O151*$AE$24+P151*$AE$25+Q151*$AE$26+R151*$AE$27+S151*$AE$28+T151*$AE$29+U151*$AE$30</f>
        <v/>
      </c>
      <c r="W151" s="8">
        <f>1/(1+EXP(-V151))</f>
        <v/>
      </c>
      <c r="X151" s="9">
        <f>-IF(C151=1,LN(W151),LN(1-W151))</f>
        <v/>
      </c>
      <c r="Y151" s="8">
        <f>IF(C151=1,$AE$32,$AE$33)</f>
        <v/>
      </c>
      <c r="Z151" s="9">
        <f>Y151*X151</f>
        <v/>
      </c>
      <c r="AA151" s="10">
        <f>IF(W151&gt;$AE$34,1,0)</f>
        <v/>
      </c>
      <c r="AB151">
        <f>IF(AA151=C151,1,0)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$AE$12+D152*$AE$13+E152*$AE$14+F152*$AE$15+G152*$AE$16+H152*$AE$17+I152*$AE$18+J152*$AE$19+K152*$AE$20+L152*$AE$21+M152*$AE$22+N152*$AE$23+O152*$AE$24+P152*$AE$25+Q152*$AE$26+R152*$AE$27+S152*$AE$28+T152*$AE$29+U152*$AE$30</f>
        <v/>
      </c>
      <c r="W152" s="8">
        <f>1/(1+EXP(-V152))</f>
        <v/>
      </c>
      <c r="X152" s="9">
        <f>-IF(C152=1,LN(W152),LN(1-W152))</f>
        <v/>
      </c>
      <c r="Y152" s="8">
        <f>IF(C152=1,$AE$32,$AE$33)</f>
        <v/>
      </c>
      <c r="Z152" s="9">
        <f>Y152*X152</f>
        <v/>
      </c>
      <c r="AA152" s="10">
        <f>IF(W152&gt;$AE$34,1,0)</f>
        <v/>
      </c>
      <c r="AB152">
        <f>IF(AA152=C152,1,0)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$AE$12+D153*$AE$13+E153*$AE$14+F153*$AE$15+G153*$AE$16+H153*$AE$17+I153*$AE$18+J153*$AE$19+K153*$AE$20+L153*$AE$21+M153*$AE$22+N153*$AE$23+O153*$AE$24+P153*$AE$25+Q153*$AE$26+R153*$AE$27+S153*$AE$28+T153*$AE$29+U153*$AE$30</f>
        <v/>
      </c>
      <c r="W153" s="8">
        <f>1/(1+EXP(-V153))</f>
        <v/>
      </c>
      <c r="X153" s="9">
        <f>-IF(C153=1,LN(W153),LN(1-W153))</f>
        <v/>
      </c>
      <c r="Y153" s="8">
        <f>IF(C153=1,$AE$32,$AE$33)</f>
        <v/>
      </c>
      <c r="Z153" s="9">
        <f>Y153*X153</f>
        <v/>
      </c>
      <c r="AA153" s="10">
        <f>IF(W153&gt;$AE$34,1,0)</f>
        <v/>
      </c>
      <c r="AB153">
        <f>IF(AA153=C153,1,0)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$AE$12+D154*$AE$13+E154*$AE$14+F154*$AE$15+G154*$AE$16+H154*$AE$17+I154*$AE$18+J154*$AE$19+K154*$AE$20+L154*$AE$21+M154*$AE$22+N154*$AE$23+O154*$AE$24+P154*$AE$25+Q154*$AE$26+R154*$AE$27+S154*$AE$28+T154*$AE$29+U154*$AE$30</f>
        <v/>
      </c>
      <c r="W154" s="8">
        <f>1/(1+EXP(-V154))</f>
        <v/>
      </c>
      <c r="X154" s="9">
        <f>-IF(C154=1,LN(W154),LN(1-W154))</f>
        <v/>
      </c>
      <c r="Y154" s="8">
        <f>IF(C154=1,$AE$32,$AE$33)</f>
        <v/>
      </c>
      <c r="Z154" s="9">
        <f>Y154*X154</f>
        <v/>
      </c>
      <c r="AA154" s="10">
        <f>IF(W154&gt;$AE$34,1,0)</f>
        <v/>
      </c>
      <c r="AB154">
        <f>IF(AA154=C154,1,0)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$AE$12+D155*$AE$13+E155*$AE$14+F155*$AE$15+G155*$AE$16+H155*$AE$17+I155*$AE$18+J155*$AE$19+K155*$AE$20+L155*$AE$21+M155*$AE$22+N155*$AE$23+O155*$AE$24+P155*$AE$25+Q155*$AE$26+R155*$AE$27+S155*$AE$28+T155*$AE$29+U155*$AE$30</f>
        <v/>
      </c>
      <c r="W155" s="8">
        <f>1/(1+EXP(-V155))</f>
        <v/>
      </c>
      <c r="X155" s="9">
        <f>-IF(C155=1,LN(W155),LN(1-W155))</f>
        <v/>
      </c>
      <c r="Y155" s="8">
        <f>IF(C155=1,$AE$32,$AE$33)</f>
        <v/>
      </c>
      <c r="Z155" s="9">
        <f>Y155*X155</f>
        <v/>
      </c>
      <c r="AA155" s="10">
        <f>IF(W155&gt;$AE$34,1,0)</f>
        <v/>
      </c>
      <c r="AB155">
        <f>IF(AA155=C155,1,0)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$AE$12+D156*$AE$13+E156*$AE$14+F156*$AE$15+G156*$AE$16+H156*$AE$17+I156*$AE$18+J156*$AE$19+K156*$AE$20+L156*$AE$21+M156*$AE$22+N156*$AE$23+O156*$AE$24+P156*$AE$25+Q156*$AE$26+R156*$AE$27+S156*$AE$28+T156*$AE$29+U156*$AE$30</f>
        <v/>
      </c>
      <c r="W156" s="8">
        <f>1/(1+EXP(-V156))</f>
        <v/>
      </c>
      <c r="X156" s="9">
        <f>-IF(C156=1,LN(W156),LN(1-W156))</f>
        <v/>
      </c>
      <c r="Y156" s="8">
        <f>IF(C156=1,$AE$32,$AE$33)</f>
        <v/>
      </c>
      <c r="Z156" s="9">
        <f>Y156*X156</f>
        <v/>
      </c>
      <c r="AA156" s="10">
        <f>IF(W156&gt;$AE$34,1,0)</f>
        <v/>
      </c>
      <c r="AB156">
        <f>IF(AA156=C156,1,0)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$AE$12+D157*$AE$13+E157*$AE$14+F157*$AE$15+G157*$AE$16+H157*$AE$17+I157*$AE$18+J157*$AE$19+K157*$AE$20+L157*$AE$21+M157*$AE$22+N157*$AE$23+O157*$AE$24+P157*$AE$25+Q157*$AE$26+R157*$AE$27+S157*$AE$28+T157*$AE$29+U157*$AE$30</f>
        <v/>
      </c>
      <c r="W157" s="8">
        <f>1/(1+EXP(-V157))</f>
        <v/>
      </c>
      <c r="X157" s="9">
        <f>-IF(C157=1,LN(W157),LN(1-W157))</f>
        <v/>
      </c>
      <c r="Y157" s="8">
        <f>IF(C157=1,$AE$32,$AE$33)</f>
        <v/>
      </c>
      <c r="Z157" s="9">
        <f>Y157*X157</f>
        <v/>
      </c>
      <c r="AA157" s="10">
        <f>IF(W157&gt;$AE$34,1,0)</f>
        <v/>
      </c>
      <c r="AB157">
        <f>IF(AA157=C157,1,0)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$AE$12+D158*$AE$13+E158*$AE$14+F158*$AE$15+G158*$AE$16+H158*$AE$17+I158*$AE$18+J158*$AE$19+K158*$AE$20+L158*$AE$21+M158*$AE$22+N158*$AE$23+O158*$AE$24+P158*$AE$25+Q158*$AE$26+R158*$AE$27+S158*$AE$28+T158*$AE$29+U158*$AE$30</f>
        <v/>
      </c>
      <c r="W158" s="8">
        <f>1/(1+EXP(-V158))</f>
        <v/>
      </c>
      <c r="X158" s="9">
        <f>-IF(C158=1,LN(W158),LN(1-W158))</f>
        <v/>
      </c>
      <c r="Y158" s="8">
        <f>IF(C158=1,$AE$32,$AE$33)</f>
        <v/>
      </c>
      <c r="Z158" s="9">
        <f>Y158*X158</f>
        <v/>
      </c>
      <c r="AA158" s="10">
        <f>IF(W158&gt;$AE$34,1,0)</f>
        <v/>
      </c>
      <c r="AB158">
        <f>IF(AA158=C158,1,0)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$AE$12+D159*$AE$13+E159*$AE$14+F159*$AE$15+G159*$AE$16+H159*$AE$17+I159*$AE$18+J159*$AE$19+K159*$AE$20+L159*$AE$21+M159*$AE$22+N159*$AE$23+O159*$AE$24+P159*$AE$25+Q159*$AE$26+R159*$AE$27+S159*$AE$28+T159*$AE$29+U159*$AE$30</f>
        <v/>
      </c>
      <c r="W159" s="8">
        <f>1/(1+EXP(-V159))</f>
        <v/>
      </c>
      <c r="X159" s="9">
        <f>-IF(C159=1,LN(W159),LN(1-W159))</f>
        <v/>
      </c>
      <c r="Y159" s="8">
        <f>IF(C159=1,$AE$32,$AE$33)</f>
        <v/>
      </c>
      <c r="Z159" s="9">
        <f>Y159*X159</f>
        <v/>
      </c>
      <c r="AA159" s="10">
        <f>IF(W159&gt;$AE$34,1,0)</f>
        <v/>
      </c>
      <c r="AB159">
        <f>IF(AA159=C159,1,0)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$AE$12+D160*$AE$13+E160*$AE$14+F160*$AE$15+G160*$AE$16+H160*$AE$17+I160*$AE$18+J160*$AE$19+K160*$AE$20+L160*$AE$21+M160*$AE$22+N160*$AE$23+O160*$AE$24+P160*$AE$25+Q160*$AE$26+R160*$AE$27+S160*$AE$28+T160*$AE$29+U160*$AE$30</f>
        <v/>
      </c>
      <c r="W160" s="8">
        <f>1/(1+EXP(-V160))</f>
        <v/>
      </c>
      <c r="X160" s="9">
        <f>-IF(C160=1,LN(W160),LN(1-W160))</f>
        <v/>
      </c>
      <c r="Y160" s="8">
        <f>IF(C160=1,$AE$32,$AE$33)</f>
        <v/>
      </c>
      <c r="Z160" s="9">
        <f>Y160*X160</f>
        <v/>
      </c>
      <c r="AA160" s="10">
        <f>IF(W160&gt;$AE$34,1,0)</f>
        <v/>
      </c>
      <c r="AB160">
        <f>IF(AA160=C160,1,0)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$AE$12+D161*$AE$13+E161*$AE$14+F161*$AE$15+G161*$AE$16+H161*$AE$17+I161*$AE$18+J161*$AE$19+K161*$AE$20+L161*$AE$21+M161*$AE$22+N161*$AE$23+O161*$AE$24+P161*$AE$25+Q161*$AE$26+R161*$AE$27+S161*$AE$28+T161*$AE$29+U161*$AE$30</f>
        <v/>
      </c>
      <c r="W161" s="8">
        <f>1/(1+EXP(-V161))</f>
        <v/>
      </c>
      <c r="X161" s="9">
        <f>-IF(C161=1,LN(W161),LN(1-W161))</f>
        <v/>
      </c>
      <c r="Y161" s="8">
        <f>IF(C161=1,$AE$32,$AE$33)</f>
        <v/>
      </c>
      <c r="Z161" s="9">
        <f>Y161*X161</f>
        <v/>
      </c>
      <c r="AA161" s="10">
        <f>IF(W161&gt;$AE$34,1,0)</f>
        <v/>
      </c>
      <c r="AB161">
        <f>IF(AA161=C161,1,0)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$AE$12+D162*$AE$13+E162*$AE$14+F162*$AE$15+G162*$AE$16+H162*$AE$17+I162*$AE$18+J162*$AE$19+K162*$AE$20+L162*$AE$21+M162*$AE$22+N162*$AE$23+O162*$AE$24+P162*$AE$25+Q162*$AE$26+R162*$AE$27+S162*$AE$28+T162*$AE$29+U162*$AE$30</f>
        <v/>
      </c>
      <c r="W162" s="8">
        <f>1/(1+EXP(-V162))</f>
        <v/>
      </c>
      <c r="X162" s="9">
        <f>-IF(C162=1,LN(W162),LN(1-W162))</f>
        <v/>
      </c>
      <c r="Y162" s="8">
        <f>IF(C162=1,$AE$32,$AE$33)</f>
        <v/>
      </c>
      <c r="Z162" s="9">
        <f>Y162*X162</f>
        <v/>
      </c>
      <c r="AA162" s="10">
        <f>IF(W162&gt;$AE$34,1,0)</f>
        <v/>
      </c>
      <c r="AB162">
        <f>IF(AA162=C162,1,0)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$AE$12+D163*$AE$13+E163*$AE$14+F163*$AE$15+G163*$AE$16+H163*$AE$17+I163*$AE$18+J163*$AE$19+K163*$AE$20+L163*$AE$21+M163*$AE$22+N163*$AE$23+O163*$AE$24+P163*$AE$25+Q163*$AE$26+R163*$AE$27+S163*$AE$28+T163*$AE$29+U163*$AE$30</f>
        <v/>
      </c>
      <c r="W163" s="8">
        <f>1/(1+EXP(-V163))</f>
        <v/>
      </c>
      <c r="X163" s="9">
        <f>-IF(C163=1,LN(W163),LN(1-W163))</f>
        <v/>
      </c>
      <c r="Y163" s="8">
        <f>IF(C163=1,$AE$32,$AE$33)</f>
        <v/>
      </c>
      <c r="Z163" s="9">
        <f>Y163*X163</f>
        <v/>
      </c>
      <c r="AA163" s="10">
        <f>IF(W163&gt;$AE$34,1,0)</f>
        <v/>
      </c>
      <c r="AB163">
        <f>IF(AA163=C163,1,0)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$AE$12+D164*$AE$13+E164*$AE$14+F164*$AE$15+G164*$AE$16+H164*$AE$17+I164*$AE$18+J164*$AE$19+K164*$AE$20+L164*$AE$21+M164*$AE$22+N164*$AE$23+O164*$AE$24+P164*$AE$25+Q164*$AE$26+R164*$AE$27+S164*$AE$28+T164*$AE$29+U164*$AE$30</f>
        <v/>
      </c>
      <c r="W164" s="8">
        <f>1/(1+EXP(-V164))</f>
        <v/>
      </c>
      <c r="X164" s="9">
        <f>-IF(C164=1,LN(W164),LN(1-W164))</f>
        <v/>
      </c>
      <c r="Y164" s="8">
        <f>IF(C164=1,$AE$32,$AE$33)</f>
        <v/>
      </c>
      <c r="Z164" s="9">
        <f>Y164*X164</f>
        <v/>
      </c>
      <c r="AA164" s="10">
        <f>IF(W164&gt;$AE$34,1,0)</f>
        <v/>
      </c>
      <c r="AB164">
        <f>IF(AA164=C164,1,0)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$AE$12+D165*$AE$13+E165*$AE$14+F165*$AE$15+G165*$AE$16+H165*$AE$17+I165*$AE$18+J165*$AE$19+K165*$AE$20+L165*$AE$21+M165*$AE$22+N165*$AE$23+O165*$AE$24+P165*$AE$25+Q165*$AE$26+R165*$AE$27+S165*$AE$28+T165*$AE$29+U165*$AE$30</f>
        <v/>
      </c>
      <c r="W165" s="8">
        <f>1/(1+EXP(-V165))</f>
        <v/>
      </c>
      <c r="X165" s="9">
        <f>-IF(C165=1,LN(W165),LN(1-W165))</f>
        <v/>
      </c>
      <c r="Y165" s="8">
        <f>IF(C165=1,$AE$32,$AE$33)</f>
        <v/>
      </c>
      <c r="Z165" s="9">
        <f>Y165*X165</f>
        <v/>
      </c>
      <c r="AA165" s="10">
        <f>IF(W165&gt;$AE$34,1,0)</f>
        <v/>
      </c>
      <c r="AB165">
        <f>IF(AA165=C165,1,0)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$AE$12+D166*$AE$13+E166*$AE$14+F166*$AE$15+G166*$AE$16+H166*$AE$17+I166*$AE$18+J166*$AE$19+K166*$AE$20+L166*$AE$21+M166*$AE$22+N166*$AE$23+O166*$AE$24+P166*$AE$25+Q166*$AE$26+R166*$AE$27+S166*$AE$28+T166*$AE$29+U166*$AE$30</f>
        <v/>
      </c>
      <c r="W166" s="8">
        <f>1/(1+EXP(-V166))</f>
        <v/>
      </c>
      <c r="X166" s="9">
        <f>-IF(C166=1,LN(W166),LN(1-W166))</f>
        <v/>
      </c>
      <c r="Y166" s="8">
        <f>IF(C166=1,$AE$32,$AE$33)</f>
        <v/>
      </c>
      <c r="Z166" s="9">
        <f>Y166*X166</f>
        <v/>
      </c>
      <c r="AA166" s="10">
        <f>IF(W166&gt;$AE$34,1,0)</f>
        <v/>
      </c>
      <c r="AB166">
        <f>IF(AA166=C166,1,0)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$AE$12+D167*$AE$13+E167*$AE$14+F167*$AE$15+G167*$AE$16+H167*$AE$17+I167*$AE$18+J167*$AE$19+K167*$AE$20+L167*$AE$21+M167*$AE$22+N167*$AE$23+O167*$AE$24+P167*$AE$25+Q167*$AE$26+R167*$AE$27+S167*$AE$28+T167*$AE$29+U167*$AE$30</f>
        <v/>
      </c>
      <c r="W167" s="8">
        <f>1/(1+EXP(-V167))</f>
        <v/>
      </c>
      <c r="X167" s="9">
        <f>-IF(C167=1,LN(W167),LN(1-W167))</f>
        <v/>
      </c>
      <c r="Y167" s="8">
        <f>IF(C167=1,$AE$32,$AE$33)</f>
        <v/>
      </c>
      <c r="Z167" s="9">
        <f>Y167*X167</f>
        <v/>
      </c>
      <c r="AA167" s="10">
        <f>IF(W167&gt;$AE$34,1,0)</f>
        <v/>
      </c>
      <c r="AB167">
        <f>IF(AA167=C167,1,0)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$AE$12+D168*$AE$13+E168*$AE$14+F168*$AE$15+G168*$AE$16+H168*$AE$17+I168*$AE$18+J168*$AE$19+K168*$AE$20+L168*$AE$21+M168*$AE$22+N168*$AE$23+O168*$AE$24+P168*$AE$25+Q168*$AE$26+R168*$AE$27+S168*$AE$28+T168*$AE$29+U168*$AE$30</f>
        <v/>
      </c>
      <c r="W168" s="8">
        <f>1/(1+EXP(-V168))</f>
        <v/>
      </c>
      <c r="X168" s="9">
        <f>-IF(C168=1,LN(W168),LN(1-W168))</f>
        <v/>
      </c>
      <c r="Y168" s="8">
        <f>IF(C168=1,$AE$32,$AE$33)</f>
        <v/>
      </c>
      <c r="Z168" s="9">
        <f>Y168*X168</f>
        <v/>
      </c>
      <c r="AA168" s="10">
        <f>IF(W168&gt;$AE$34,1,0)</f>
        <v/>
      </c>
      <c r="AB168">
        <f>IF(AA168=C168,1,0)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$AE$12+D169*$AE$13+E169*$AE$14+F169*$AE$15+G169*$AE$16+H169*$AE$17+I169*$AE$18+J169*$AE$19+K169*$AE$20+L169*$AE$21+M169*$AE$22+N169*$AE$23+O169*$AE$24+P169*$AE$25+Q169*$AE$26+R169*$AE$27+S169*$AE$28+T169*$AE$29+U169*$AE$30</f>
        <v/>
      </c>
      <c r="W169" s="8">
        <f>1/(1+EXP(-V169))</f>
        <v/>
      </c>
      <c r="X169" s="9">
        <f>-IF(C169=1,LN(W169),LN(1-W169))</f>
        <v/>
      </c>
      <c r="Y169" s="8">
        <f>IF(C169=1,$AE$32,$AE$33)</f>
        <v/>
      </c>
      <c r="Z169" s="9">
        <f>Y169*X169</f>
        <v/>
      </c>
      <c r="AA169" s="10">
        <f>IF(W169&gt;$AE$34,1,0)</f>
        <v/>
      </c>
      <c r="AB169">
        <f>IF(AA169=C169,1,0)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$AE$12+D170*$AE$13+E170*$AE$14+F170*$AE$15+G170*$AE$16+H170*$AE$17+I170*$AE$18+J170*$AE$19+K170*$AE$20+L170*$AE$21+M170*$AE$22+N170*$AE$23+O170*$AE$24+P170*$AE$25+Q170*$AE$26+R170*$AE$27+S170*$AE$28+T170*$AE$29+U170*$AE$30</f>
        <v/>
      </c>
      <c r="W170" s="8">
        <f>1/(1+EXP(-V170))</f>
        <v/>
      </c>
      <c r="X170" s="9">
        <f>-IF(C170=1,LN(W170),LN(1-W170))</f>
        <v/>
      </c>
      <c r="Y170" s="8">
        <f>IF(C170=1,$AE$32,$AE$33)</f>
        <v/>
      </c>
      <c r="Z170" s="9">
        <f>Y170*X170</f>
        <v/>
      </c>
      <c r="AA170" s="10">
        <f>IF(W170&gt;$AE$34,1,0)</f>
        <v/>
      </c>
      <c r="AB170">
        <f>IF(AA170=C170,1,0)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$AE$12+D171*$AE$13+E171*$AE$14+F171*$AE$15+G171*$AE$16+H171*$AE$17+I171*$AE$18+J171*$AE$19+K171*$AE$20+L171*$AE$21+M171*$AE$22+N171*$AE$23+O171*$AE$24+P171*$AE$25+Q171*$AE$26+R171*$AE$27+S171*$AE$28+T171*$AE$29+U171*$AE$30</f>
        <v/>
      </c>
      <c r="W171" s="8">
        <f>1/(1+EXP(-V171))</f>
        <v/>
      </c>
      <c r="X171" s="9">
        <f>-IF(C171=1,LN(W171),LN(1-W171))</f>
        <v/>
      </c>
      <c r="Y171" s="8">
        <f>IF(C171=1,$AE$32,$AE$33)</f>
        <v/>
      </c>
      <c r="Z171" s="9">
        <f>Y171*X171</f>
        <v/>
      </c>
      <c r="AA171" s="10">
        <f>IF(W171&gt;$AE$34,1,0)</f>
        <v/>
      </c>
      <c r="AB171">
        <f>IF(AA171=C171,1,0)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$AE$12+D172*$AE$13+E172*$AE$14+F172*$AE$15+G172*$AE$16+H172*$AE$17+I172*$AE$18+J172*$AE$19+K172*$AE$20+L172*$AE$21+M172*$AE$22+N172*$AE$23+O172*$AE$24+P172*$AE$25+Q172*$AE$26+R172*$AE$27+S172*$AE$28+T172*$AE$29+U172*$AE$30</f>
        <v/>
      </c>
      <c r="W172" s="8">
        <f>1/(1+EXP(-V172))</f>
        <v/>
      </c>
      <c r="X172" s="9">
        <f>-IF(C172=1,LN(W172),LN(1-W172))</f>
        <v/>
      </c>
      <c r="Y172" s="8">
        <f>IF(C172=1,$AE$32,$AE$33)</f>
        <v/>
      </c>
      <c r="Z172" s="9">
        <f>Y172*X172</f>
        <v/>
      </c>
      <c r="AA172" s="10">
        <f>IF(W172&gt;$AE$34,1,0)</f>
        <v/>
      </c>
      <c r="AB172">
        <f>IF(AA172=C172,1,0)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$AE$12+D173*$AE$13+E173*$AE$14+F173*$AE$15+G173*$AE$16+H173*$AE$17+I173*$AE$18+J173*$AE$19+K173*$AE$20+L173*$AE$21+M173*$AE$22+N173*$AE$23+O173*$AE$24+P173*$AE$25+Q173*$AE$26+R173*$AE$27+S173*$AE$28+T173*$AE$29+U173*$AE$30</f>
        <v/>
      </c>
      <c r="W173" s="8">
        <f>1/(1+EXP(-V173))</f>
        <v/>
      </c>
      <c r="X173" s="9">
        <f>-IF(C173=1,LN(W173),LN(1-W173))</f>
        <v/>
      </c>
      <c r="Y173" s="8">
        <f>IF(C173=1,$AE$32,$AE$33)</f>
        <v/>
      </c>
      <c r="Z173" s="9">
        <f>Y173*X173</f>
        <v/>
      </c>
      <c r="AA173" s="10">
        <f>IF(W173&gt;$AE$34,1,0)</f>
        <v/>
      </c>
      <c r="AB173">
        <f>IF(AA173=C173,1,0)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$AE$12+D174*$AE$13+E174*$AE$14+F174*$AE$15+G174*$AE$16+H174*$AE$17+I174*$AE$18+J174*$AE$19+K174*$AE$20+L174*$AE$21+M174*$AE$22+N174*$AE$23+O174*$AE$24+P174*$AE$25+Q174*$AE$26+R174*$AE$27+S174*$AE$28+T174*$AE$29+U174*$AE$30</f>
        <v/>
      </c>
      <c r="W174" s="8">
        <f>1/(1+EXP(-V174))</f>
        <v/>
      </c>
      <c r="X174" s="9">
        <f>-IF(C174=1,LN(W174),LN(1-W174))</f>
        <v/>
      </c>
      <c r="Y174" s="8">
        <f>IF(C174=1,$AE$32,$AE$33)</f>
        <v/>
      </c>
      <c r="Z174" s="9">
        <f>Y174*X174</f>
        <v/>
      </c>
      <c r="AA174" s="10">
        <f>IF(W174&gt;$AE$34,1,0)</f>
        <v/>
      </c>
      <c r="AB174">
        <f>IF(AA174=C174,1,0)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$AE$12+D175*$AE$13+E175*$AE$14+F175*$AE$15+G175*$AE$16+H175*$AE$17+I175*$AE$18+J175*$AE$19+K175*$AE$20+L175*$AE$21+M175*$AE$22+N175*$AE$23+O175*$AE$24+P175*$AE$25+Q175*$AE$26+R175*$AE$27+S175*$AE$28+T175*$AE$29+U175*$AE$30</f>
        <v/>
      </c>
      <c r="W175" s="8">
        <f>1/(1+EXP(-V175))</f>
        <v/>
      </c>
      <c r="X175" s="9">
        <f>-IF(C175=1,LN(W175),LN(1-W175))</f>
        <v/>
      </c>
      <c r="Y175" s="8">
        <f>IF(C175=1,$AE$32,$AE$33)</f>
        <v/>
      </c>
      <c r="Z175" s="9">
        <f>Y175*X175</f>
        <v/>
      </c>
      <c r="AA175" s="10">
        <f>IF(W175&gt;$AE$34,1,0)</f>
        <v/>
      </c>
      <c r="AB175">
        <f>IF(AA175=C175,1,0)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$AE$12+D176*$AE$13+E176*$AE$14+F176*$AE$15+G176*$AE$16+H176*$AE$17+I176*$AE$18+J176*$AE$19+K176*$AE$20+L176*$AE$21+M176*$AE$22+N176*$AE$23+O176*$AE$24+P176*$AE$25+Q176*$AE$26+R176*$AE$27+S176*$AE$28+T176*$AE$29+U176*$AE$30</f>
        <v/>
      </c>
      <c r="W176" s="8">
        <f>1/(1+EXP(-V176))</f>
        <v/>
      </c>
      <c r="X176" s="9">
        <f>-IF(C176=1,LN(W176),LN(1-W176))</f>
        <v/>
      </c>
      <c r="Y176" s="8">
        <f>IF(C176=1,$AE$32,$AE$33)</f>
        <v/>
      </c>
      <c r="Z176" s="9">
        <f>Y176*X176</f>
        <v/>
      </c>
      <c r="AA176" s="10">
        <f>IF(W176&gt;$AE$34,1,0)</f>
        <v/>
      </c>
      <c r="AB176">
        <f>IF(AA176=C176,1,0)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$AE$12+D177*$AE$13+E177*$AE$14+F177*$AE$15+G177*$AE$16+H177*$AE$17+I177*$AE$18+J177*$AE$19+K177*$AE$20+L177*$AE$21+M177*$AE$22+N177*$AE$23+O177*$AE$24+P177*$AE$25+Q177*$AE$26+R177*$AE$27+S177*$AE$28+T177*$AE$29+U177*$AE$30</f>
        <v/>
      </c>
      <c r="W177" s="8">
        <f>1/(1+EXP(-V177))</f>
        <v/>
      </c>
      <c r="X177" s="9">
        <f>-IF(C177=1,LN(W177),LN(1-W177))</f>
        <v/>
      </c>
      <c r="Y177" s="8">
        <f>IF(C177=1,$AE$32,$AE$33)</f>
        <v/>
      </c>
      <c r="Z177" s="9">
        <f>Y177*X177</f>
        <v/>
      </c>
      <c r="AA177" s="10">
        <f>IF(W177&gt;$AE$34,1,0)</f>
        <v/>
      </c>
      <c r="AB177">
        <f>IF(AA177=C177,1,0)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$AE$12+D178*$AE$13+E178*$AE$14+F178*$AE$15+G178*$AE$16+H178*$AE$17+I178*$AE$18+J178*$AE$19+K178*$AE$20+L178*$AE$21+M178*$AE$22+N178*$AE$23+O178*$AE$24+P178*$AE$25+Q178*$AE$26+R178*$AE$27+S178*$AE$28+T178*$AE$29+U178*$AE$30</f>
        <v/>
      </c>
      <c r="W178" s="8">
        <f>1/(1+EXP(-V178))</f>
        <v/>
      </c>
      <c r="X178" s="9">
        <f>-IF(C178=1,LN(W178),LN(1-W178))</f>
        <v/>
      </c>
      <c r="Y178" s="8">
        <f>IF(C178=1,$AE$32,$AE$33)</f>
        <v/>
      </c>
      <c r="Z178" s="9">
        <f>Y178*X178</f>
        <v/>
      </c>
      <c r="AA178" s="10">
        <f>IF(W178&gt;$AE$34,1,0)</f>
        <v/>
      </c>
      <c r="AB178">
        <f>IF(AA178=C178,1,0)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$AE$12+D179*$AE$13+E179*$AE$14+F179*$AE$15+G179*$AE$16+H179*$AE$17+I179*$AE$18+J179*$AE$19+K179*$AE$20+L179*$AE$21+M179*$AE$22+N179*$AE$23+O179*$AE$24+P179*$AE$25+Q179*$AE$26+R179*$AE$27+S179*$AE$28+T179*$AE$29+U179*$AE$30</f>
        <v/>
      </c>
      <c r="W179" s="8">
        <f>1/(1+EXP(-V179))</f>
        <v/>
      </c>
      <c r="X179" s="9">
        <f>-IF(C179=1,LN(W179),LN(1-W179))</f>
        <v/>
      </c>
      <c r="Y179" s="8">
        <f>IF(C179=1,$AE$32,$AE$33)</f>
        <v/>
      </c>
      <c r="Z179" s="9">
        <f>Y179*X179</f>
        <v/>
      </c>
      <c r="AA179" s="10">
        <f>IF(W179&gt;$AE$34,1,0)</f>
        <v/>
      </c>
      <c r="AB179">
        <f>IF(AA179=C179,1,0)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$AE$12+D180*$AE$13+E180*$AE$14+F180*$AE$15+G180*$AE$16+H180*$AE$17+I180*$AE$18+J180*$AE$19+K180*$AE$20+L180*$AE$21+M180*$AE$22+N180*$AE$23+O180*$AE$24+P180*$AE$25+Q180*$AE$26+R180*$AE$27+S180*$AE$28+T180*$AE$29+U180*$AE$30</f>
        <v/>
      </c>
      <c r="W180" s="8">
        <f>1/(1+EXP(-V180))</f>
        <v/>
      </c>
      <c r="X180" s="9">
        <f>-IF(C180=1,LN(W180),LN(1-W180))</f>
        <v/>
      </c>
      <c r="Y180" s="8">
        <f>IF(C180=1,$AE$32,$AE$33)</f>
        <v/>
      </c>
      <c r="Z180" s="9">
        <f>Y180*X180</f>
        <v/>
      </c>
      <c r="AA180" s="10">
        <f>IF(W180&gt;$AE$34,1,0)</f>
        <v/>
      </c>
      <c r="AB180">
        <f>IF(AA180=C180,1,0)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$AE$12+D181*$AE$13+E181*$AE$14+F181*$AE$15+G181*$AE$16+H181*$AE$17+I181*$AE$18+J181*$AE$19+K181*$AE$20+L181*$AE$21+M181*$AE$22+N181*$AE$23+O181*$AE$24+P181*$AE$25+Q181*$AE$26+R181*$AE$27+S181*$AE$28+T181*$AE$29+U181*$AE$30</f>
        <v/>
      </c>
      <c r="W181" s="8">
        <f>1/(1+EXP(-V181))</f>
        <v/>
      </c>
      <c r="X181" s="9">
        <f>-IF(C181=1,LN(W181),LN(1-W181))</f>
        <v/>
      </c>
      <c r="Y181" s="8">
        <f>IF(C181=1,$AE$32,$AE$33)</f>
        <v/>
      </c>
      <c r="Z181" s="9">
        <f>Y181*X181</f>
        <v/>
      </c>
      <c r="AA181" s="10">
        <f>IF(W181&gt;$AE$34,1,0)</f>
        <v/>
      </c>
      <c r="AB181">
        <f>IF(AA181=C181,1,0)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$AE$12+D182*$AE$13+E182*$AE$14+F182*$AE$15+G182*$AE$16+H182*$AE$17+I182*$AE$18+J182*$AE$19+K182*$AE$20+L182*$AE$21+M182*$AE$22+N182*$AE$23+O182*$AE$24+P182*$AE$25+Q182*$AE$26+R182*$AE$27+S182*$AE$28+T182*$AE$29+U182*$AE$30</f>
        <v/>
      </c>
      <c r="W182" s="8">
        <f>1/(1+EXP(-V182))</f>
        <v/>
      </c>
      <c r="X182" s="9">
        <f>-IF(C182=1,LN(W182),LN(1-W182))</f>
        <v/>
      </c>
      <c r="Y182" s="8">
        <f>IF(C182=1,$AE$32,$AE$33)</f>
        <v/>
      </c>
      <c r="Z182" s="9">
        <f>Y182*X182</f>
        <v/>
      </c>
      <c r="AA182" s="10">
        <f>IF(W182&gt;$AE$34,1,0)</f>
        <v/>
      </c>
      <c r="AB182">
        <f>IF(AA182=C182,1,0)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$AE$12+D183*$AE$13+E183*$AE$14+F183*$AE$15+G183*$AE$16+H183*$AE$17+I183*$AE$18+J183*$AE$19+K183*$AE$20+L183*$AE$21+M183*$AE$22+N183*$AE$23+O183*$AE$24+P183*$AE$25+Q183*$AE$26+R183*$AE$27+S183*$AE$28+T183*$AE$29+U183*$AE$30</f>
        <v/>
      </c>
      <c r="W183" s="8">
        <f>1/(1+EXP(-V183))</f>
        <v/>
      </c>
      <c r="X183" s="9">
        <f>-IF(C183=1,LN(W183),LN(1-W183))</f>
        <v/>
      </c>
      <c r="Y183" s="8">
        <f>IF(C183=1,$AE$32,$AE$33)</f>
        <v/>
      </c>
      <c r="Z183" s="9">
        <f>Y183*X183</f>
        <v/>
      </c>
      <c r="AA183" s="10">
        <f>IF(W183&gt;$AE$34,1,0)</f>
        <v/>
      </c>
      <c r="AB183">
        <f>IF(AA183=C183,1,0)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$AE$12+D184*$AE$13+E184*$AE$14+F184*$AE$15+G184*$AE$16+H184*$AE$17+I184*$AE$18+J184*$AE$19+K184*$AE$20+L184*$AE$21+M184*$AE$22+N184*$AE$23+O184*$AE$24+P184*$AE$25+Q184*$AE$26+R184*$AE$27+S184*$AE$28+T184*$AE$29+U184*$AE$30</f>
        <v/>
      </c>
      <c r="W184" s="8">
        <f>1/(1+EXP(-V184))</f>
        <v/>
      </c>
      <c r="X184" s="9">
        <f>-IF(C184=1,LN(W184),LN(1-W184))</f>
        <v/>
      </c>
      <c r="Y184" s="8">
        <f>IF(C184=1,$AE$32,$AE$33)</f>
        <v/>
      </c>
      <c r="Z184" s="9">
        <f>Y184*X184</f>
        <v/>
      </c>
      <c r="AA184" s="10">
        <f>IF(W184&gt;$AE$34,1,0)</f>
        <v/>
      </c>
      <c r="AB184">
        <f>IF(AA184=C184,1,0)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$AE$12+D185*$AE$13+E185*$AE$14+F185*$AE$15+G185*$AE$16+H185*$AE$17+I185*$AE$18+J185*$AE$19+K185*$AE$20+L185*$AE$21+M185*$AE$22+N185*$AE$23+O185*$AE$24+P185*$AE$25+Q185*$AE$26+R185*$AE$27+S185*$AE$28+T185*$AE$29+U185*$AE$30</f>
        <v/>
      </c>
      <c r="W185" s="8">
        <f>1/(1+EXP(-V185))</f>
        <v/>
      </c>
      <c r="X185" s="9">
        <f>-IF(C185=1,LN(W185),LN(1-W185))</f>
        <v/>
      </c>
      <c r="Y185" s="8">
        <f>IF(C185=1,$AE$32,$AE$33)</f>
        <v/>
      </c>
      <c r="Z185" s="9">
        <f>Y185*X185</f>
        <v/>
      </c>
      <c r="AA185" s="10">
        <f>IF(W185&gt;$AE$34,1,0)</f>
        <v/>
      </c>
      <c r="AB185">
        <f>IF(AA185=C185,1,0)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$AE$12+D186*$AE$13+E186*$AE$14+F186*$AE$15+G186*$AE$16+H186*$AE$17+I186*$AE$18+J186*$AE$19+K186*$AE$20+L186*$AE$21+M186*$AE$22+N186*$AE$23+O186*$AE$24+P186*$AE$25+Q186*$AE$26+R186*$AE$27+S186*$AE$28+T186*$AE$29+U186*$AE$30</f>
        <v/>
      </c>
      <c r="W186" s="8">
        <f>1/(1+EXP(-V186))</f>
        <v/>
      </c>
      <c r="X186" s="9">
        <f>-IF(C186=1,LN(W186),LN(1-W186))</f>
        <v/>
      </c>
      <c r="Y186" s="8">
        <f>IF(C186=1,$AE$32,$AE$33)</f>
        <v/>
      </c>
      <c r="Z186" s="9">
        <f>Y186*X186</f>
        <v/>
      </c>
      <c r="AA186" s="10">
        <f>IF(W186&gt;$AE$34,1,0)</f>
        <v/>
      </c>
      <c r="AB186">
        <f>IF(AA186=C186,1,0)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$AE$12+D187*$AE$13+E187*$AE$14+F187*$AE$15+G187*$AE$16+H187*$AE$17+I187*$AE$18+J187*$AE$19+K187*$AE$20+L187*$AE$21+M187*$AE$22+N187*$AE$23+O187*$AE$24+P187*$AE$25+Q187*$AE$26+R187*$AE$27+S187*$AE$28+T187*$AE$29+U187*$AE$30</f>
        <v/>
      </c>
      <c r="W187" s="8">
        <f>1/(1+EXP(-V187))</f>
        <v/>
      </c>
      <c r="X187" s="9">
        <f>-IF(C187=1,LN(W187),LN(1-W187))</f>
        <v/>
      </c>
      <c r="Y187" s="8">
        <f>IF(C187=1,$AE$32,$AE$33)</f>
        <v/>
      </c>
      <c r="Z187" s="9">
        <f>Y187*X187</f>
        <v/>
      </c>
      <c r="AA187" s="10">
        <f>IF(W187&gt;$AE$34,1,0)</f>
        <v/>
      </c>
      <c r="AB187">
        <f>IF(AA187=C187,1,0)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$AE$12+D188*$AE$13+E188*$AE$14+F188*$AE$15+G188*$AE$16+H188*$AE$17+I188*$AE$18+J188*$AE$19+K188*$AE$20+L188*$AE$21+M188*$AE$22+N188*$AE$23+O188*$AE$24+P188*$AE$25+Q188*$AE$26+R188*$AE$27+S188*$AE$28+T188*$AE$29+U188*$AE$30</f>
        <v/>
      </c>
      <c r="W188" s="8">
        <f>1/(1+EXP(-V188))</f>
        <v/>
      </c>
      <c r="X188" s="9">
        <f>-IF(C188=1,LN(W188),LN(1-W188))</f>
        <v/>
      </c>
      <c r="Y188" s="8">
        <f>IF(C188=1,$AE$32,$AE$33)</f>
        <v/>
      </c>
      <c r="Z188" s="9">
        <f>Y188*X188</f>
        <v/>
      </c>
      <c r="AA188" s="10">
        <f>IF(W188&gt;$AE$34,1,0)</f>
        <v/>
      </c>
      <c r="AB188">
        <f>IF(AA188=C188,1,0)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$AE$12+D189*$AE$13+E189*$AE$14+F189*$AE$15+G189*$AE$16+H189*$AE$17+I189*$AE$18+J189*$AE$19+K189*$AE$20+L189*$AE$21+M189*$AE$22+N189*$AE$23+O189*$AE$24+P189*$AE$25+Q189*$AE$26+R189*$AE$27+S189*$AE$28+T189*$AE$29+U189*$AE$30</f>
        <v/>
      </c>
      <c r="W189" s="8">
        <f>1/(1+EXP(-V189))</f>
        <v/>
      </c>
      <c r="X189" s="9">
        <f>-IF(C189=1,LN(W189),LN(1-W189))</f>
        <v/>
      </c>
      <c r="Y189" s="8">
        <f>IF(C189=1,$AE$32,$AE$33)</f>
        <v/>
      </c>
      <c r="Z189" s="9">
        <f>Y189*X189</f>
        <v/>
      </c>
      <c r="AA189" s="10">
        <f>IF(W189&gt;$AE$34,1,0)</f>
        <v/>
      </c>
      <c r="AB189">
        <f>IF(AA189=C189,1,0)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$AE$12+D190*$AE$13+E190*$AE$14+F190*$AE$15+G190*$AE$16+H190*$AE$17+I190*$AE$18+J190*$AE$19+K190*$AE$20+L190*$AE$21+M190*$AE$22+N190*$AE$23+O190*$AE$24+P190*$AE$25+Q190*$AE$26+R190*$AE$27+S190*$AE$28+T190*$AE$29+U190*$AE$30</f>
        <v/>
      </c>
      <c r="W190" s="8">
        <f>1/(1+EXP(-V190))</f>
        <v/>
      </c>
      <c r="X190" s="9">
        <f>-IF(C190=1,LN(W190),LN(1-W190))</f>
        <v/>
      </c>
      <c r="Y190" s="8">
        <f>IF(C190=1,$AE$32,$AE$33)</f>
        <v/>
      </c>
      <c r="Z190" s="9">
        <f>Y190*X190</f>
        <v/>
      </c>
      <c r="AA190" s="10">
        <f>IF(W190&gt;$AE$34,1,0)</f>
        <v/>
      </c>
      <c r="AB190">
        <f>IF(AA190=C190,1,0)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$AE$12+D191*$AE$13+E191*$AE$14+F191*$AE$15+G191*$AE$16+H191*$AE$17+I191*$AE$18+J191*$AE$19+K191*$AE$20+L191*$AE$21+M191*$AE$22+N191*$AE$23+O191*$AE$24+P191*$AE$25+Q191*$AE$26+R191*$AE$27+S191*$AE$28+T191*$AE$29+U191*$AE$30</f>
        <v/>
      </c>
      <c r="W191" s="8">
        <f>1/(1+EXP(-V191))</f>
        <v/>
      </c>
      <c r="X191" s="9">
        <f>-IF(C191=1,LN(W191),LN(1-W191))</f>
        <v/>
      </c>
      <c r="Y191" s="8">
        <f>IF(C191=1,$AE$32,$AE$33)</f>
        <v/>
      </c>
      <c r="Z191" s="9">
        <f>Y191*X191</f>
        <v/>
      </c>
      <c r="AA191" s="10">
        <f>IF(W191&gt;$AE$34,1,0)</f>
        <v/>
      </c>
      <c r="AB191">
        <f>IF(AA191=C191,1,0)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$AE$12+D192*$AE$13+E192*$AE$14+F192*$AE$15+G192*$AE$16+H192*$AE$17+I192*$AE$18+J192*$AE$19+K192*$AE$20+L192*$AE$21+M192*$AE$22+N192*$AE$23+O192*$AE$24+P192*$AE$25+Q192*$AE$26+R192*$AE$27+S192*$AE$28+T192*$AE$29+U192*$AE$30</f>
        <v/>
      </c>
      <c r="W192" s="8">
        <f>1/(1+EXP(-V192))</f>
        <v/>
      </c>
      <c r="X192" s="9">
        <f>-IF(C192=1,LN(W192),LN(1-W192))</f>
        <v/>
      </c>
      <c r="Y192" s="8">
        <f>IF(C192=1,$AE$32,$AE$33)</f>
        <v/>
      </c>
      <c r="Z192" s="9">
        <f>Y192*X192</f>
        <v/>
      </c>
      <c r="AA192" s="10">
        <f>IF(W192&gt;$AE$34,1,0)</f>
        <v/>
      </c>
      <c r="AB192">
        <f>IF(AA192=C192,1,0)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$AE$12+D193*$AE$13+E193*$AE$14+F193*$AE$15+G193*$AE$16+H193*$AE$17+I193*$AE$18+J193*$AE$19+K193*$AE$20+L193*$AE$21+M193*$AE$22+N193*$AE$23+O193*$AE$24+P193*$AE$25+Q193*$AE$26+R193*$AE$27+S193*$AE$28+T193*$AE$29+U193*$AE$30</f>
        <v/>
      </c>
      <c r="W193" s="8">
        <f>1/(1+EXP(-V193))</f>
        <v/>
      </c>
      <c r="X193" s="9">
        <f>-IF(C193=1,LN(W193),LN(1-W193))</f>
        <v/>
      </c>
      <c r="Y193" s="8">
        <f>IF(C193=1,$AE$32,$AE$33)</f>
        <v/>
      </c>
      <c r="Z193" s="9">
        <f>Y193*X193</f>
        <v/>
      </c>
      <c r="AA193" s="10">
        <f>IF(W193&gt;$AE$34,1,0)</f>
        <v/>
      </c>
      <c r="AB193">
        <f>IF(AA193=C193,1,0)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$AE$12+D194*$AE$13+E194*$AE$14+F194*$AE$15+G194*$AE$16+H194*$AE$17+I194*$AE$18+J194*$AE$19+K194*$AE$20+L194*$AE$21+M194*$AE$22+N194*$AE$23+O194*$AE$24+P194*$AE$25+Q194*$AE$26+R194*$AE$27+S194*$AE$28+T194*$AE$29+U194*$AE$30</f>
        <v/>
      </c>
      <c r="W194" s="8">
        <f>1/(1+EXP(-V194))</f>
        <v/>
      </c>
      <c r="X194" s="9">
        <f>-IF(C194=1,LN(W194),LN(1-W194))</f>
        <v/>
      </c>
      <c r="Y194" s="8">
        <f>IF(C194=1,$AE$32,$AE$33)</f>
        <v/>
      </c>
      <c r="Z194" s="9">
        <f>Y194*X194</f>
        <v/>
      </c>
      <c r="AA194" s="10">
        <f>IF(W194&gt;$AE$34,1,0)</f>
        <v/>
      </c>
      <c r="AB194">
        <f>IF(AA194=C194,1,0)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$AE$12+D195*$AE$13+E195*$AE$14+F195*$AE$15+G195*$AE$16+H195*$AE$17+I195*$AE$18+J195*$AE$19+K195*$AE$20+L195*$AE$21+M195*$AE$22+N195*$AE$23+O195*$AE$24+P195*$AE$25+Q195*$AE$26+R195*$AE$27+S195*$AE$28+T195*$AE$29+U195*$AE$30</f>
        <v/>
      </c>
      <c r="W195" s="8">
        <f>1/(1+EXP(-V195))</f>
        <v/>
      </c>
      <c r="X195" s="9">
        <f>-IF(C195=1,LN(W195),LN(1-W195))</f>
        <v/>
      </c>
      <c r="Y195" s="8">
        <f>IF(C195=1,$AE$32,$AE$33)</f>
        <v/>
      </c>
      <c r="Z195" s="9">
        <f>Y195*X195</f>
        <v/>
      </c>
      <c r="AA195" s="10">
        <f>IF(W195&gt;$AE$34,1,0)</f>
        <v/>
      </c>
      <c r="AB195">
        <f>IF(AA195=C195,1,0)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$AE$12+D196*$AE$13+E196*$AE$14+F196*$AE$15+G196*$AE$16+H196*$AE$17+I196*$AE$18+J196*$AE$19+K196*$AE$20+L196*$AE$21+M196*$AE$22+N196*$AE$23+O196*$AE$24+P196*$AE$25+Q196*$AE$26+R196*$AE$27+S196*$AE$28+T196*$AE$29+U196*$AE$30</f>
        <v/>
      </c>
      <c r="W196" s="8">
        <f>1/(1+EXP(-V196))</f>
        <v/>
      </c>
      <c r="X196" s="9">
        <f>-IF(C196=1,LN(W196),LN(1-W196))</f>
        <v/>
      </c>
      <c r="Y196" s="8">
        <f>IF(C196=1,$AE$32,$AE$33)</f>
        <v/>
      </c>
      <c r="Z196" s="9">
        <f>Y196*X196</f>
        <v/>
      </c>
      <c r="AA196" s="10">
        <f>IF(W196&gt;$AE$34,1,0)</f>
        <v/>
      </c>
      <c r="AB196">
        <f>IF(AA196=C196,1,0)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$AE$12+D197*$AE$13+E197*$AE$14+F197*$AE$15+G197*$AE$16+H197*$AE$17+I197*$AE$18+J197*$AE$19+K197*$AE$20+L197*$AE$21+M197*$AE$22+N197*$AE$23+O197*$AE$24+P197*$AE$25+Q197*$AE$26+R197*$AE$27+S197*$AE$28+T197*$AE$29+U197*$AE$30</f>
        <v/>
      </c>
      <c r="W197" s="8">
        <f>1/(1+EXP(-V197))</f>
        <v/>
      </c>
      <c r="X197" s="9">
        <f>-IF(C197=1,LN(W197),LN(1-W197))</f>
        <v/>
      </c>
      <c r="Y197" s="8">
        <f>IF(C197=1,$AE$32,$AE$33)</f>
        <v/>
      </c>
      <c r="Z197" s="9">
        <f>Y197*X197</f>
        <v/>
      </c>
      <c r="AA197" s="10">
        <f>IF(W197&gt;$AE$34,1,0)</f>
        <v/>
      </c>
      <c r="AB197">
        <f>IF(AA197=C197,1,0)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$AE$12+D198*$AE$13+E198*$AE$14+F198*$AE$15+G198*$AE$16+H198*$AE$17+I198*$AE$18+J198*$AE$19+K198*$AE$20+L198*$AE$21+M198*$AE$22+N198*$AE$23+O198*$AE$24+P198*$AE$25+Q198*$AE$26+R198*$AE$27+S198*$AE$28+T198*$AE$29+U198*$AE$30</f>
        <v/>
      </c>
      <c r="W198" s="8">
        <f>1/(1+EXP(-V198))</f>
        <v/>
      </c>
      <c r="X198" s="9">
        <f>-IF(C198=1,LN(W198),LN(1-W198))</f>
        <v/>
      </c>
      <c r="Y198" s="8">
        <f>IF(C198=1,$AE$32,$AE$33)</f>
        <v/>
      </c>
      <c r="Z198" s="9">
        <f>Y198*X198</f>
        <v/>
      </c>
      <c r="AA198" s="10">
        <f>IF(W198&gt;$AE$34,1,0)</f>
        <v/>
      </c>
      <c r="AB198">
        <f>IF(AA198=C198,1,0)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$AE$12+D199*$AE$13+E199*$AE$14+F199*$AE$15+G199*$AE$16+H199*$AE$17+I199*$AE$18+J199*$AE$19+K199*$AE$20+L199*$AE$21+M199*$AE$22+N199*$AE$23+O199*$AE$24+P199*$AE$25+Q199*$AE$26+R199*$AE$27+S199*$AE$28+T199*$AE$29+U199*$AE$30</f>
        <v/>
      </c>
      <c r="W199" s="8">
        <f>1/(1+EXP(-V199))</f>
        <v/>
      </c>
      <c r="X199" s="9">
        <f>-IF(C199=1,LN(W199),LN(1-W199))</f>
        <v/>
      </c>
      <c r="Y199" s="8">
        <f>IF(C199=1,$AE$32,$AE$33)</f>
        <v/>
      </c>
      <c r="Z199" s="9">
        <f>Y199*X199</f>
        <v/>
      </c>
      <c r="AA199" s="10">
        <f>IF(W199&gt;$AE$34,1,0)</f>
        <v/>
      </c>
      <c r="AB199">
        <f>IF(AA199=C199,1,0)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$AE$12+D200*$AE$13+E200*$AE$14+F200*$AE$15+G200*$AE$16+H200*$AE$17+I200*$AE$18+J200*$AE$19+K200*$AE$20+L200*$AE$21+M200*$AE$22+N200*$AE$23+O200*$AE$24+P200*$AE$25+Q200*$AE$26+R200*$AE$27+S200*$AE$28+T200*$AE$29+U200*$AE$30</f>
        <v/>
      </c>
      <c r="W200" s="8">
        <f>1/(1+EXP(-V200))</f>
        <v/>
      </c>
      <c r="X200" s="9">
        <f>-IF(C200=1,LN(W200),LN(1-W200))</f>
        <v/>
      </c>
      <c r="Y200" s="8">
        <f>IF(C200=1,$AE$32,$AE$33)</f>
        <v/>
      </c>
      <c r="Z200" s="9">
        <f>Y200*X200</f>
        <v/>
      </c>
      <c r="AA200" s="10">
        <f>IF(W200&gt;$AE$34,1,0)</f>
        <v/>
      </c>
      <c r="AB200">
        <f>IF(AA200=C200,1,0)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$AE$12+D201*$AE$13+E201*$AE$14+F201*$AE$15+G201*$AE$16+H201*$AE$17+I201*$AE$18+J201*$AE$19+K201*$AE$20+L201*$AE$21+M201*$AE$22+N201*$AE$23+O201*$AE$24+P201*$AE$25+Q201*$AE$26+R201*$AE$27+S201*$AE$28+T201*$AE$29+U201*$AE$30</f>
        <v/>
      </c>
      <c r="W201" s="8">
        <f>1/(1+EXP(-V201))</f>
        <v/>
      </c>
      <c r="X201" s="9">
        <f>-IF(C201=1,LN(W201),LN(1-W201))</f>
        <v/>
      </c>
      <c r="Y201" s="8">
        <f>IF(C201=1,$AE$32,$AE$33)</f>
        <v/>
      </c>
      <c r="Z201" s="9">
        <f>Y201*X201</f>
        <v/>
      </c>
      <c r="AA201" s="10">
        <f>IF(W201&gt;$AE$34,1,0)</f>
        <v/>
      </c>
      <c r="AB201">
        <f>IF(AA201=C201,1,0)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$AE$12+D202*$AE$13+E202*$AE$14+F202*$AE$15+G202*$AE$16+H202*$AE$17+I202*$AE$18+J202*$AE$19+K202*$AE$20+L202*$AE$21+M202*$AE$22+N202*$AE$23+O202*$AE$24+P202*$AE$25+Q202*$AE$26+R202*$AE$27+S202*$AE$28+T202*$AE$29+U202*$AE$30</f>
        <v/>
      </c>
      <c r="W202" s="8">
        <f>1/(1+EXP(-V202))</f>
        <v/>
      </c>
      <c r="X202" s="9">
        <f>-IF(C202=1,LN(W202),LN(1-W202))</f>
        <v/>
      </c>
      <c r="Y202" s="8">
        <f>IF(C202=1,$AE$32,$AE$33)</f>
        <v/>
      </c>
      <c r="Z202" s="9">
        <f>Y202*X202</f>
        <v/>
      </c>
      <c r="AA202" s="10">
        <f>IF(W202&gt;$AE$34,1,0)</f>
        <v/>
      </c>
      <c r="AB202">
        <f>IF(AA202=C202,1,0)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$AE$12+D203*$AE$13+E203*$AE$14+F203*$AE$15+G203*$AE$16+H203*$AE$17+I203*$AE$18+J203*$AE$19+K203*$AE$20+L203*$AE$21+M203*$AE$22+N203*$AE$23+O203*$AE$24+P203*$AE$25+Q203*$AE$26+R203*$AE$27+S203*$AE$28+T203*$AE$29+U203*$AE$30</f>
        <v/>
      </c>
      <c r="W203" s="8">
        <f>1/(1+EXP(-V203))</f>
        <v/>
      </c>
      <c r="X203" s="9">
        <f>-IF(C203=1,LN(W203),LN(1-W203))</f>
        <v/>
      </c>
      <c r="Y203" s="8">
        <f>IF(C203=1,$AE$32,$AE$33)</f>
        <v/>
      </c>
      <c r="Z203" s="9">
        <f>Y203*X203</f>
        <v/>
      </c>
      <c r="AA203" s="10">
        <f>IF(W203&gt;$AE$34,1,0)</f>
        <v/>
      </c>
      <c r="AB203">
        <f>IF(AA203=C203,1,0)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$AE$12+D204*$AE$13+E204*$AE$14+F204*$AE$15+G204*$AE$16+H204*$AE$17+I204*$AE$18+J204*$AE$19+K204*$AE$20+L204*$AE$21+M204*$AE$22+N204*$AE$23+O204*$AE$24+P204*$AE$25+Q204*$AE$26+R204*$AE$27+S204*$AE$28+T204*$AE$29+U204*$AE$30</f>
        <v/>
      </c>
      <c r="W204" s="8">
        <f>1/(1+EXP(-V204))</f>
        <v/>
      </c>
      <c r="X204" s="9">
        <f>-IF(C204=1,LN(W204),LN(1-W204))</f>
        <v/>
      </c>
      <c r="Y204" s="8">
        <f>IF(C204=1,$AE$32,$AE$33)</f>
        <v/>
      </c>
      <c r="Z204" s="9">
        <f>Y204*X204</f>
        <v/>
      </c>
      <c r="AA204" s="10">
        <f>IF(W204&gt;$AE$34,1,0)</f>
        <v/>
      </c>
      <c r="AB204">
        <f>IF(AA204=C204,1,0)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$AE$12+D205*$AE$13+E205*$AE$14+F205*$AE$15+G205*$AE$16+H205*$AE$17+I205*$AE$18+J205*$AE$19+K205*$AE$20+L205*$AE$21+M205*$AE$22+N205*$AE$23+O205*$AE$24+P205*$AE$25+Q205*$AE$26+R205*$AE$27+S205*$AE$28+T205*$AE$29+U205*$AE$30</f>
        <v/>
      </c>
      <c r="W205" s="8">
        <f>1/(1+EXP(-V205))</f>
        <v/>
      </c>
      <c r="X205" s="9">
        <f>-IF(C205=1,LN(W205),LN(1-W205))</f>
        <v/>
      </c>
      <c r="Y205" s="8">
        <f>IF(C205=1,$AE$32,$AE$33)</f>
        <v/>
      </c>
      <c r="Z205" s="9">
        <f>Y205*X205</f>
        <v/>
      </c>
      <c r="AA205" s="10">
        <f>IF(W205&gt;$AE$34,1,0)</f>
        <v/>
      </c>
      <c r="AB205">
        <f>IF(AA205=C205,1,0)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$AE$12+D206*$AE$13+E206*$AE$14+F206*$AE$15+G206*$AE$16+H206*$AE$17+I206*$AE$18+J206*$AE$19+K206*$AE$20+L206*$AE$21+M206*$AE$22+N206*$AE$23+O206*$AE$24+P206*$AE$25+Q206*$AE$26+R206*$AE$27+S206*$AE$28+T206*$AE$29+U206*$AE$30</f>
        <v/>
      </c>
      <c r="W206" s="8">
        <f>1/(1+EXP(-V206))</f>
        <v/>
      </c>
      <c r="X206" s="9">
        <f>-IF(C206=1,LN(W206),LN(1-W206))</f>
        <v/>
      </c>
      <c r="Y206" s="8">
        <f>IF(C206=1,$AE$32,$AE$33)</f>
        <v/>
      </c>
      <c r="Z206" s="9">
        <f>Y206*X206</f>
        <v/>
      </c>
      <c r="AA206" s="10">
        <f>IF(W206&gt;$AE$34,1,0)</f>
        <v/>
      </c>
      <c r="AB206">
        <f>IF(AA206=C206,1,0)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$AE$12+D207*$AE$13+E207*$AE$14+F207*$AE$15+G207*$AE$16+H207*$AE$17+I207*$AE$18+J207*$AE$19+K207*$AE$20+L207*$AE$21+M207*$AE$22+N207*$AE$23+O207*$AE$24+P207*$AE$25+Q207*$AE$26+R207*$AE$27+S207*$AE$28+T207*$AE$29+U207*$AE$30</f>
        <v/>
      </c>
      <c r="W207" s="8">
        <f>1/(1+EXP(-V207))</f>
        <v/>
      </c>
      <c r="X207" s="9">
        <f>-IF(C207=1,LN(W207),LN(1-W207))</f>
        <v/>
      </c>
      <c r="Y207" s="8">
        <f>IF(C207=1,$AE$32,$AE$33)</f>
        <v/>
      </c>
      <c r="Z207" s="9">
        <f>Y207*X207</f>
        <v/>
      </c>
      <c r="AA207" s="10">
        <f>IF(W207&gt;$AE$34,1,0)</f>
        <v/>
      </c>
      <c r="AB207">
        <f>IF(AA207=C207,1,0)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$AE$12+D208*$AE$13+E208*$AE$14+F208*$AE$15+G208*$AE$16+H208*$AE$17+I208*$AE$18+J208*$AE$19+K208*$AE$20+L208*$AE$21+M208*$AE$22+N208*$AE$23+O208*$AE$24+P208*$AE$25+Q208*$AE$26+R208*$AE$27+S208*$AE$28+T208*$AE$29+U208*$AE$30</f>
        <v/>
      </c>
      <c r="W208" s="8">
        <f>1/(1+EXP(-V208))</f>
        <v/>
      </c>
      <c r="X208" s="9">
        <f>-IF(C208=1,LN(W208),LN(1-W208))</f>
        <v/>
      </c>
      <c r="Y208" s="8">
        <f>IF(C208=1,$AE$32,$AE$33)</f>
        <v/>
      </c>
      <c r="Z208" s="9">
        <f>Y208*X208</f>
        <v/>
      </c>
      <c r="AA208" s="10">
        <f>IF(W208&gt;$AE$34,1,0)</f>
        <v/>
      </c>
      <c r="AB208">
        <f>IF(AA208=C208,1,0)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$AE$12+D209*$AE$13+E209*$AE$14+F209*$AE$15+G209*$AE$16+H209*$AE$17+I209*$AE$18+J209*$AE$19+K209*$AE$20+L209*$AE$21+M209*$AE$22+N209*$AE$23+O209*$AE$24+P209*$AE$25+Q209*$AE$26+R209*$AE$27+S209*$AE$28+T209*$AE$29+U209*$AE$30</f>
        <v/>
      </c>
      <c r="W209" s="8">
        <f>1/(1+EXP(-V209))</f>
        <v/>
      </c>
      <c r="X209" s="9">
        <f>-IF(C209=1,LN(W209),LN(1-W209))</f>
        <v/>
      </c>
      <c r="Y209" s="8">
        <f>IF(C209=1,$AE$32,$AE$33)</f>
        <v/>
      </c>
      <c r="Z209" s="9">
        <f>Y209*X209</f>
        <v/>
      </c>
      <c r="AA209" s="10">
        <f>IF(W209&gt;$AE$34,1,0)</f>
        <v/>
      </c>
      <c r="AB209">
        <f>IF(AA209=C209,1,0)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$AE$12+D210*$AE$13+E210*$AE$14+F210*$AE$15+G210*$AE$16+H210*$AE$17+I210*$AE$18+J210*$AE$19+K210*$AE$20+L210*$AE$21+M210*$AE$22+N210*$AE$23+O210*$AE$24+P210*$AE$25+Q210*$AE$26+R210*$AE$27+S210*$AE$28+T210*$AE$29+U210*$AE$30</f>
        <v/>
      </c>
      <c r="W210" s="8">
        <f>1/(1+EXP(-V210))</f>
        <v/>
      </c>
      <c r="X210" s="9">
        <f>-IF(C210=1,LN(W210),LN(1-W210))</f>
        <v/>
      </c>
      <c r="Y210" s="8">
        <f>IF(C210=1,$AE$32,$AE$33)</f>
        <v/>
      </c>
      <c r="Z210" s="9">
        <f>Y210*X210</f>
        <v/>
      </c>
      <c r="AA210" s="10">
        <f>IF(W210&gt;$AE$34,1,0)</f>
        <v/>
      </c>
      <c r="AB210">
        <f>IF(AA210=C210,1,0)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$AE$12+D211*$AE$13+E211*$AE$14+F211*$AE$15+G211*$AE$16+H211*$AE$17+I211*$AE$18+J211*$AE$19+K211*$AE$20+L211*$AE$21+M211*$AE$22+N211*$AE$23+O211*$AE$24+P211*$AE$25+Q211*$AE$26+R211*$AE$27+S211*$AE$28+T211*$AE$29+U211*$AE$30</f>
        <v/>
      </c>
      <c r="W211" s="8">
        <f>1/(1+EXP(-V211))</f>
        <v/>
      </c>
      <c r="X211" s="9">
        <f>-IF(C211=1,LN(W211),LN(1-W211))</f>
        <v/>
      </c>
      <c r="Y211" s="8">
        <f>IF(C211=1,$AE$32,$AE$33)</f>
        <v/>
      </c>
      <c r="Z211" s="9">
        <f>Y211*X211</f>
        <v/>
      </c>
      <c r="AA211" s="10">
        <f>IF(W211&gt;$AE$34,1,0)</f>
        <v/>
      </c>
      <c r="AB211">
        <f>IF(AA211=C211,1,0)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$AE$12+D212*$AE$13+E212*$AE$14+F212*$AE$15+G212*$AE$16+H212*$AE$17+I212*$AE$18+J212*$AE$19+K212*$AE$20+L212*$AE$21+M212*$AE$22+N212*$AE$23+O212*$AE$24+P212*$AE$25+Q212*$AE$26+R212*$AE$27+S212*$AE$28+T212*$AE$29+U212*$AE$30</f>
        <v/>
      </c>
      <c r="W212" s="8">
        <f>1/(1+EXP(-V212))</f>
        <v/>
      </c>
      <c r="X212" s="9">
        <f>-IF(C212=1,LN(W212),LN(1-W212))</f>
        <v/>
      </c>
      <c r="Y212" s="8">
        <f>IF(C212=1,$AE$32,$AE$33)</f>
        <v/>
      </c>
      <c r="Z212" s="9">
        <f>Y212*X212</f>
        <v/>
      </c>
      <c r="AA212" s="10">
        <f>IF(W212&gt;$AE$34,1,0)</f>
        <v/>
      </c>
      <c r="AB212">
        <f>IF(AA212=C212,1,0)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$AE$12+D213*$AE$13+E213*$AE$14+F213*$AE$15+G213*$AE$16+H213*$AE$17+I213*$AE$18+J213*$AE$19+K213*$AE$20+L213*$AE$21+M213*$AE$22+N213*$AE$23+O213*$AE$24+P213*$AE$25+Q213*$AE$26+R213*$AE$27+S213*$AE$28+T213*$AE$29+U213*$AE$30</f>
        <v/>
      </c>
      <c r="W213" s="8">
        <f>1/(1+EXP(-V213))</f>
        <v/>
      </c>
      <c r="X213" s="9">
        <f>-IF(C213=1,LN(W213),LN(1-W213))</f>
        <v/>
      </c>
      <c r="Y213" s="8">
        <f>IF(C213=1,$AE$32,$AE$33)</f>
        <v/>
      </c>
      <c r="Z213" s="9">
        <f>Y213*X213</f>
        <v/>
      </c>
      <c r="AA213" s="10">
        <f>IF(W213&gt;$AE$34,1,0)</f>
        <v/>
      </c>
      <c r="AB213">
        <f>IF(AA213=C213,1,0)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$AE$12+D214*$AE$13+E214*$AE$14+F214*$AE$15+G214*$AE$16+H214*$AE$17+I214*$AE$18+J214*$AE$19+K214*$AE$20+L214*$AE$21+M214*$AE$22+N214*$AE$23+O214*$AE$24+P214*$AE$25+Q214*$AE$26+R214*$AE$27+S214*$AE$28+T214*$AE$29+U214*$AE$30</f>
        <v/>
      </c>
      <c r="W214" s="8">
        <f>1/(1+EXP(-V214))</f>
        <v/>
      </c>
      <c r="X214" s="9">
        <f>-IF(C214=1,LN(W214),LN(1-W214))</f>
        <v/>
      </c>
      <c r="Y214" s="8">
        <f>IF(C214=1,$AE$32,$AE$33)</f>
        <v/>
      </c>
      <c r="Z214" s="9">
        <f>Y214*X214</f>
        <v/>
      </c>
      <c r="AA214" s="10">
        <f>IF(W214&gt;$AE$34,1,0)</f>
        <v/>
      </c>
      <c r="AB214">
        <f>IF(AA214=C214,1,0)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$AE$12+D215*$AE$13+E215*$AE$14+F215*$AE$15+G215*$AE$16+H215*$AE$17+I215*$AE$18+J215*$AE$19+K215*$AE$20+L215*$AE$21+M215*$AE$22+N215*$AE$23+O215*$AE$24+P215*$AE$25+Q215*$AE$26+R215*$AE$27+S215*$AE$28+T215*$AE$29+U215*$AE$30</f>
        <v/>
      </c>
      <c r="W215" s="8">
        <f>1/(1+EXP(-V215))</f>
        <v/>
      </c>
      <c r="X215" s="9">
        <f>-IF(C215=1,LN(W215),LN(1-W215))</f>
        <v/>
      </c>
      <c r="Y215" s="8">
        <f>IF(C215=1,$AE$32,$AE$33)</f>
        <v/>
      </c>
      <c r="Z215" s="9">
        <f>Y215*X215</f>
        <v/>
      </c>
      <c r="AA215" s="10">
        <f>IF(W215&gt;$AE$34,1,0)</f>
        <v/>
      </c>
      <c r="AB215">
        <f>IF(AA215=C215,1,0)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$AE$12+D216*$AE$13+E216*$AE$14+F216*$AE$15+G216*$AE$16+H216*$AE$17+I216*$AE$18+J216*$AE$19+K216*$AE$20+L216*$AE$21+M216*$AE$22+N216*$AE$23+O216*$AE$24+P216*$AE$25+Q216*$AE$26+R216*$AE$27+S216*$AE$28+T216*$AE$29+U216*$AE$30</f>
        <v/>
      </c>
      <c r="W216" s="8">
        <f>1/(1+EXP(-V216))</f>
        <v/>
      </c>
      <c r="X216" s="9">
        <f>-IF(C216=1,LN(W216),LN(1-W216))</f>
        <v/>
      </c>
      <c r="Y216" s="8">
        <f>IF(C216=1,$AE$32,$AE$33)</f>
        <v/>
      </c>
      <c r="Z216" s="9">
        <f>Y216*X216</f>
        <v/>
      </c>
      <c r="AA216" s="10">
        <f>IF(W216&gt;$AE$34,1,0)</f>
        <v/>
      </c>
      <c r="AB216">
        <f>IF(AA216=C216,1,0)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$AE$12+D217*$AE$13+E217*$AE$14+F217*$AE$15+G217*$AE$16+H217*$AE$17+I217*$AE$18+J217*$AE$19+K217*$AE$20+L217*$AE$21+M217*$AE$22+N217*$AE$23+O217*$AE$24+P217*$AE$25+Q217*$AE$26+R217*$AE$27+S217*$AE$28+T217*$AE$29+U217*$AE$30</f>
        <v/>
      </c>
      <c r="W217" s="8">
        <f>1/(1+EXP(-V217))</f>
        <v/>
      </c>
      <c r="X217" s="9">
        <f>-IF(C217=1,LN(W217),LN(1-W217))</f>
        <v/>
      </c>
      <c r="Y217" s="8">
        <f>IF(C217=1,$AE$32,$AE$33)</f>
        <v/>
      </c>
      <c r="Z217" s="9">
        <f>Y217*X217</f>
        <v/>
      </c>
      <c r="AA217" s="10">
        <f>IF(W217&gt;$AE$34,1,0)</f>
        <v/>
      </c>
      <c r="AB217">
        <f>IF(AA217=C217,1,0)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$AE$12+D218*$AE$13+E218*$AE$14+F218*$AE$15+G218*$AE$16+H218*$AE$17+I218*$AE$18+J218*$AE$19+K218*$AE$20+L218*$AE$21+M218*$AE$22+N218*$AE$23+O218*$AE$24+P218*$AE$25+Q218*$AE$26+R218*$AE$27+S218*$AE$28+T218*$AE$29+U218*$AE$30</f>
        <v/>
      </c>
      <c r="W218" s="8">
        <f>1/(1+EXP(-V218))</f>
        <v/>
      </c>
      <c r="X218" s="9">
        <f>-IF(C218=1,LN(W218),LN(1-W218))</f>
        <v/>
      </c>
      <c r="Y218" s="8">
        <f>IF(C218=1,$AE$32,$AE$33)</f>
        <v/>
      </c>
      <c r="Z218" s="9">
        <f>Y218*X218</f>
        <v/>
      </c>
      <c r="AA218" s="10">
        <f>IF(W218&gt;$AE$34,1,0)</f>
        <v/>
      </c>
      <c r="AB218">
        <f>IF(AA218=C218,1,0)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$AE$12+D219*$AE$13+E219*$AE$14+F219*$AE$15+G219*$AE$16+H219*$AE$17+I219*$AE$18+J219*$AE$19+K219*$AE$20+L219*$AE$21+M219*$AE$22+N219*$AE$23+O219*$AE$24+P219*$AE$25+Q219*$AE$26+R219*$AE$27+S219*$AE$28+T219*$AE$29+U219*$AE$30</f>
        <v/>
      </c>
      <c r="W219" s="8">
        <f>1/(1+EXP(-V219))</f>
        <v/>
      </c>
      <c r="X219" s="9">
        <f>-IF(C219=1,LN(W219),LN(1-W219))</f>
        <v/>
      </c>
      <c r="Y219" s="8">
        <f>IF(C219=1,$AE$32,$AE$33)</f>
        <v/>
      </c>
      <c r="Z219" s="9">
        <f>Y219*X219</f>
        <v/>
      </c>
      <c r="AA219" s="10">
        <f>IF(W219&gt;$AE$34,1,0)</f>
        <v/>
      </c>
      <c r="AB219">
        <f>IF(AA219=C219,1,0)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$AE$12+D220*$AE$13+E220*$AE$14+F220*$AE$15+G220*$AE$16+H220*$AE$17+I220*$AE$18+J220*$AE$19+K220*$AE$20+L220*$AE$21+M220*$AE$22+N220*$AE$23+O220*$AE$24+P220*$AE$25+Q220*$AE$26+R220*$AE$27+S220*$AE$28+T220*$AE$29+U220*$AE$30</f>
        <v/>
      </c>
      <c r="W220" s="8">
        <f>1/(1+EXP(-V220))</f>
        <v/>
      </c>
      <c r="X220" s="9">
        <f>-IF(C220=1,LN(W220),LN(1-W220))</f>
        <v/>
      </c>
      <c r="Y220" s="8">
        <f>IF(C220=1,$AE$32,$AE$33)</f>
        <v/>
      </c>
      <c r="Z220" s="9">
        <f>Y220*X220</f>
        <v/>
      </c>
      <c r="AA220" s="10">
        <f>IF(W220&gt;$AE$34,1,0)</f>
        <v/>
      </c>
      <c r="AB220">
        <f>IF(AA220=C220,1,0)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$AE$12+D221*$AE$13+E221*$AE$14+F221*$AE$15+G221*$AE$16+H221*$AE$17+I221*$AE$18+J221*$AE$19+K221*$AE$20+L221*$AE$21+M221*$AE$22+N221*$AE$23+O221*$AE$24+P221*$AE$25+Q221*$AE$26+R221*$AE$27+S221*$AE$28+T221*$AE$29+U221*$AE$30</f>
        <v/>
      </c>
      <c r="W221" s="8">
        <f>1/(1+EXP(-V221))</f>
        <v/>
      </c>
      <c r="X221" s="9">
        <f>-IF(C221=1,LN(W221),LN(1-W221))</f>
        <v/>
      </c>
      <c r="Y221" s="8">
        <f>IF(C221=1,$AE$32,$AE$33)</f>
        <v/>
      </c>
      <c r="Z221" s="9">
        <f>Y221*X221</f>
        <v/>
      </c>
      <c r="AA221" s="10">
        <f>IF(W221&gt;$AE$34,1,0)</f>
        <v/>
      </c>
      <c r="AB221">
        <f>IF(AA221=C221,1,0)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$AE$12+D222*$AE$13+E222*$AE$14+F222*$AE$15+G222*$AE$16+H222*$AE$17+I222*$AE$18+J222*$AE$19+K222*$AE$20+L222*$AE$21+M222*$AE$22+N222*$AE$23+O222*$AE$24+P222*$AE$25+Q222*$AE$26+R222*$AE$27+S222*$AE$28+T222*$AE$29+U222*$AE$30</f>
        <v/>
      </c>
      <c r="W222" s="8">
        <f>1/(1+EXP(-V222))</f>
        <v/>
      </c>
      <c r="X222" s="9">
        <f>-IF(C222=1,LN(W222),LN(1-W222))</f>
        <v/>
      </c>
      <c r="Y222" s="8">
        <f>IF(C222=1,$AE$32,$AE$33)</f>
        <v/>
      </c>
      <c r="Z222" s="9">
        <f>Y222*X222</f>
        <v/>
      </c>
      <c r="AA222" s="10">
        <f>IF(W222&gt;$AE$34,1,0)</f>
        <v/>
      </c>
      <c r="AB222">
        <f>IF(AA222=C222,1,0)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$AE$12+D223*$AE$13+E223*$AE$14+F223*$AE$15+G223*$AE$16+H223*$AE$17+I223*$AE$18+J223*$AE$19+K223*$AE$20+L223*$AE$21+M223*$AE$22+N223*$AE$23+O223*$AE$24+P223*$AE$25+Q223*$AE$26+R223*$AE$27+S223*$AE$28+T223*$AE$29+U223*$AE$30</f>
        <v/>
      </c>
      <c r="W223" s="8">
        <f>1/(1+EXP(-V223))</f>
        <v/>
      </c>
      <c r="X223" s="9">
        <f>-IF(C223=1,LN(W223),LN(1-W223))</f>
        <v/>
      </c>
      <c r="Y223" s="8">
        <f>IF(C223=1,$AE$32,$AE$33)</f>
        <v/>
      </c>
      <c r="Z223" s="9">
        <f>Y223*X223</f>
        <v/>
      </c>
      <c r="AA223" s="10">
        <f>IF(W223&gt;$AE$34,1,0)</f>
        <v/>
      </c>
      <c r="AB223">
        <f>IF(AA223=C223,1,0)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$AE$12+D224*$AE$13+E224*$AE$14+F224*$AE$15+G224*$AE$16+H224*$AE$17+I224*$AE$18+J224*$AE$19+K224*$AE$20+L224*$AE$21+M224*$AE$22+N224*$AE$23+O224*$AE$24+P224*$AE$25+Q224*$AE$26+R224*$AE$27+S224*$AE$28+T224*$AE$29+U224*$AE$30</f>
        <v/>
      </c>
      <c r="W224" s="8">
        <f>1/(1+EXP(-V224))</f>
        <v/>
      </c>
      <c r="X224" s="9">
        <f>-IF(C224=1,LN(W224),LN(1-W224))</f>
        <v/>
      </c>
      <c r="Y224" s="8">
        <f>IF(C224=1,$AE$32,$AE$33)</f>
        <v/>
      </c>
      <c r="Z224" s="9">
        <f>Y224*X224</f>
        <v/>
      </c>
      <c r="AA224" s="10">
        <f>IF(W224&gt;$AE$34,1,0)</f>
        <v/>
      </c>
      <c r="AB224">
        <f>IF(AA224=C224,1,0)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$AE$12+D225*$AE$13+E225*$AE$14+F225*$AE$15+G225*$AE$16+H225*$AE$17+I225*$AE$18+J225*$AE$19+K225*$AE$20+L225*$AE$21+M225*$AE$22+N225*$AE$23+O225*$AE$24+P225*$AE$25+Q225*$AE$26+R225*$AE$27+S225*$AE$28+T225*$AE$29+U225*$AE$30</f>
        <v/>
      </c>
      <c r="W225" s="8">
        <f>1/(1+EXP(-V225))</f>
        <v/>
      </c>
      <c r="X225" s="9">
        <f>-IF(C225=1,LN(W225),LN(1-W225))</f>
        <v/>
      </c>
      <c r="Y225" s="8">
        <f>IF(C225=1,$AE$32,$AE$33)</f>
        <v/>
      </c>
      <c r="Z225" s="9">
        <f>Y225*X225</f>
        <v/>
      </c>
      <c r="AA225" s="10">
        <f>IF(W225&gt;$AE$34,1,0)</f>
        <v/>
      </c>
      <c r="AB225">
        <f>IF(AA225=C225,1,0)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$AE$12+D226*$AE$13+E226*$AE$14+F226*$AE$15+G226*$AE$16+H226*$AE$17+I226*$AE$18+J226*$AE$19+K226*$AE$20+L226*$AE$21+M226*$AE$22+N226*$AE$23+O226*$AE$24+P226*$AE$25+Q226*$AE$26+R226*$AE$27+S226*$AE$28+T226*$AE$29+U226*$AE$30</f>
        <v/>
      </c>
      <c r="W226" s="8">
        <f>1/(1+EXP(-V226))</f>
        <v/>
      </c>
      <c r="X226" s="9">
        <f>-IF(C226=1,LN(W226),LN(1-W226))</f>
        <v/>
      </c>
      <c r="Y226" s="8">
        <f>IF(C226=1,$AE$32,$AE$33)</f>
        <v/>
      </c>
      <c r="Z226" s="9">
        <f>Y226*X226</f>
        <v/>
      </c>
      <c r="AA226" s="10">
        <f>IF(W226&gt;$AE$34,1,0)</f>
        <v/>
      </c>
      <c r="AB226">
        <f>IF(AA226=C226,1,0)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$AE$12+D227*$AE$13+E227*$AE$14+F227*$AE$15+G227*$AE$16+H227*$AE$17+I227*$AE$18+J227*$AE$19+K227*$AE$20+L227*$AE$21+M227*$AE$22+N227*$AE$23+O227*$AE$24+P227*$AE$25+Q227*$AE$26+R227*$AE$27+S227*$AE$28+T227*$AE$29+U227*$AE$30</f>
        <v/>
      </c>
      <c r="W227" s="8">
        <f>1/(1+EXP(-V227))</f>
        <v/>
      </c>
      <c r="X227" s="9">
        <f>-IF(C227=1,LN(W227),LN(1-W227))</f>
        <v/>
      </c>
      <c r="Y227" s="8">
        <f>IF(C227=1,$AE$32,$AE$33)</f>
        <v/>
      </c>
      <c r="Z227" s="9">
        <f>Y227*X227</f>
        <v/>
      </c>
      <c r="AA227" s="10">
        <f>IF(W227&gt;$AE$34,1,0)</f>
        <v/>
      </c>
      <c r="AB227">
        <f>IF(AA227=C227,1,0)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$AE$12+D228*$AE$13+E228*$AE$14+F228*$AE$15+G228*$AE$16+H228*$AE$17+I228*$AE$18+J228*$AE$19+K228*$AE$20+L228*$AE$21+M228*$AE$22+N228*$AE$23+O228*$AE$24+P228*$AE$25+Q228*$AE$26+R228*$AE$27+S228*$AE$28+T228*$AE$29+U228*$AE$30</f>
        <v/>
      </c>
      <c r="W228" s="8">
        <f>1/(1+EXP(-V228))</f>
        <v/>
      </c>
      <c r="X228" s="9">
        <f>-IF(C228=1,LN(W228),LN(1-W228))</f>
        <v/>
      </c>
      <c r="Y228" s="8">
        <f>IF(C228=1,$AE$32,$AE$33)</f>
        <v/>
      </c>
      <c r="Z228" s="9">
        <f>Y228*X228</f>
        <v/>
      </c>
      <c r="AA228" s="10">
        <f>IF(W228&gt;$AE$34,1,0)</f>
        <v/>
      </c>
      <c r="AB228">
        <f>IF(AA228=C228,1,0)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$AE$12+D229*$AE$13+E229*$AE$14+F229*$AE$15+G229*$AE$16+H229*$AE$17+I229*$AE$18+J229*$AE$19+K229*$AE$20+L229*$AE$21+M229*$AE$22+N229*$AE$23+O229*$AE$24+P229*$AE$25+Q229*$AE$26+R229*$AE$27+S229*$AE$28+T229*$AE$29+U229*$AE$30</f>
        <v/>
      </c>
      <c r="W229" s="8">
        <f>1/(1+EXP(-V229))</f>
        <v/>
      </c>
      <c r="X229" s="9">
        <f>-IF(C229=1,LN(W229),LN(1-W229))</f>
        <v/>
      </c>
      <c r="Y229" s="8">
        <f>IF(C229=1,$AE$32,$AE$33)</f>
        <v/>
      </c>
      <c r="Z229" s="9">
        <f>Y229*X229</f>
        <v/>
      </c>
      <c r="AA229" s="10">
        <f>IF(W229&gt;$AE$34,1,0)</f>
        <v/>
      </c>
      <c r="AB229">
        <f>IF(AA229=C229,1,0)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$AE$12+D230*$AE$13+E230*$AE$14+F230*$AE$15+G230*$AE$16+H230*$AE$17+I230*$AE$18+J230*$AE$19+K230*$AE$20+L230*$AE$21+M230*$AE$22+N230*$AE$23+O230*$AE$24+P230*$AE$25+Q230*$AE$26+R230*$AE$27+S230*$AE$28+T230*$AE$29+U230*$AE$30</f>
        <v/>
      </c>
      <c r="W230" s="8">
        <f>1/(1+EXP(-V230))</f>
        <v/>
      </c>
      <c r="X230" s="9">
        <f>-IF(C230=1,LN(W230),LN(1-W230))</f>
        <v/>
      </c>
      <c r="Y230" s="8">
        <f>IF(C230=1,$AE$32,$AE$33)</f>
        <v/>
      </c>
      <c r="Z230" s="9">
        <f>Y230*X230</f>
        <v/>
      </c>
      <c r="AA230" s="10">
        <f>IF(W230&gt;$AE$34,1,0)</f>
        <v/>
      </c>
      <c r="AB230">
        <f>IF(AA230=C230,1,0)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$AE$12+D231*$AE$13+E231*$AE$14+F231*$AE$15+G231*$AE$16+H231*$AE$17+I231*$AE$18+J231*$AE$19+K231*$AE$20+L231*$AE$21+M231*$AE$22+N231*$AE$23+O231*$AE$24+P231*$AE$25+Q231*$AE$26+R231*$AE$27+S231*$AE$28+T231*$AE$29+U231*$AE$30</f>
        <v/>
      </c>
      <c r="W231" s="8">
        <f>1/(1+EXP(-V231))</f>
        <v/>
      </c>
      <c r="X231" s="9">
        <f>-IF(C231=1,LN(W231),LN(1-W231))</f>
        <v/>
      </c>
      <c r="Y231" s="8">
        <f>IF(C231=1,$AE$32,$AE$33)</f>
        <v/>
      </c>
      <c r="Z231" s="9">
        <f>Y231*X231</f>
        <v/>
      </c>
      <c r="AA231" s="10">
        <f>IF(W231&gt;$AE$34,1,0)</f>
        <v/>
      </c>
      <c r="AB231">
        <f>IF(AA231=C231,1,0)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$AE$12+D232*$AE$13+E232*$AE$14+F232*$AE$15+G232*$AE$16+H232*$AE$17+I232*$AE$18+J232*$AE$19+K232*$AE$20+L232*$AE$21+M232*$AE$22+N232*$AE$23+O232*$AE$24+P232*$AE$25+Q232*$AE$26+R232*$AE$27+S232*$AE$28+T232*$AE$29+U232*$AE$30</f>
        <v/>
      </c>
      <c r="W232" s="8">
        <f>1/(1+EXP(-V232))</f>
        <v/>
      </c>
      <c r="X232" s="9">
        <f>-IF(C232=1,LN(W232),LN(1-W232))</f>
        <v/>
      </c>
      <c r="Y232" s="8">
        <f>IF(C232=1,$AE$32,$AE$33)</f>
        <v/>
      </c>
      <c r="Z232" s="9">
        <f>Y232*X232</f>
        <v/>
      </c>
      <c r="AA232" s="10">
        <f>IF(W232&gt;$AE$34,1,0)</f>
        <v/>
      </c>
      <c r="AB232">
        <f>IF(AA232=C232,1,0)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$AE$12+D233*$AE$13+E233*$AE$14+F233*$AE$15+G233*$AE$16+H233*$AE$17+I233*$AE$18+J233*$AE$19+K233*$AE$20+L233*$AE$21+M233*$AE$22+N233*$AE$23+O233*$AE$24+P233*$AE$25+Q233*$AE$26+R233*$AE$27+S233*$AE$28+T233*$AE$29+U233*$AE$30</f>
        <v/>
      </c>
      <c r="W233" s="8">
        <f>1/(1+EXP(-V233))</f>
        <v/>
      </c>
      <c r="X233" s="9">
        <f>-IF(C233=1,LN(W233),LN(1-W233))</f>
        <v/>
      </c>
      <c r="Y233" s="8">
        <f>IF(C233=1,$AE$32,$AE$33)</f>
        <v/>
      </c>
      <c r="Z233" s="9">
        <f>Y233*X233</f>
        <v/>
      </c>
      <c r="AA233" s="10">
        <f>IF(W233&gt;$AE$34,1,0)</f>
        <v/>
      </c>
      <c r="AB233">
        <f>IF(AA233=C233,1,0)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$AE$12+D234*$AE$13+E234*$AE$14+F234*$AE$15+G234*$AE$16+H234*$AE$17+I234*$AE$18+J234*$AE$19+K234*$AE$20+L234*$AE$21+M234*$AE$22+N234*$AE$23+O234*$AE$24+P234*$AE$25+Q234*$AE$26+R234*$AE$27+S234*$AE$28+T234*$AE$29+U234*$AE$30</f>
        <v/>
      </c>
      <c r="W234" s="8">
        <f>1/(1+EXP(-V234))</f>
        <v/>
      </c>
      <c r="X234" s="9">
        <f>-IF(C234=1,LN(W234),LN(1-W234))</f>
        <v/>
      </c>
      <c r="Y234" s="8">
        <f>IF(C234=1,$AE$32,$AE$33)</f>
        <v/>
      </c>
      <c r="Z234" s="9">
        <f>Y234*X234</f>
        <v/>
      </c>
      <c r="AA234" s="10">
        <f>IF(W234&gt;$AE$34,1,0)</f>
        <v/>
      </c>
      <c r="AB234">
        <f>IF(AA234=C234,1,0)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$AE$12+D235*$AE$13+E235*$AE$14+F235*$AE$15+G235*$AE$16+H235*$AE$17+I235*$AE$18+J235*$AE$19+K235*$AE$20+L235*$AE$21+M235*$AE$22+N235*$AE$23+O235*$AE$24+P235*$AE$25+Q235*$AE$26+R235*$AE$27+S235*$AE$28+T235*$AE$29+U235*$AE$30</f>
        <v/>
      </c>
      <c r="W235" s="8">
        <f>1/(1+EXP(-V235))</f>
        <v/>
      </c>
      <c r="X235" s="9">
        <f>-IF(C235=1,LN(W235),LN(1-W235))</f>
        <v/>
      </c>
      <c r="Y235" s="8">
        <f>IF(C235=1,$AE$32,$AE$33)</f>
        <v/>
      </c>
      <c r="Z235" s="9">
        <f>Y235*X235</f>
        <v/>
      </c>
      <c r="AA235" s="10">
        <f>IF(W235&gt;$AE$34,1,0)</f>
        <v/>
      </c>
      <c r="AB235">
        <f>IF(AA235=C235,1,0)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$AE$12+D236*$AE$13+E236*$AE$14+F236*$AE$15+G236*$AE$16+H236*$AE$17+I236*$AE$18+J236*$AE$19+K236*$AE$20+L236*$AE$21+M236*$AE$22+N236*$AE$23+O236*$AE$24+P236*$AE$25+Q236*$AE$26+R236*$AE$27+S236*$AE$28+T236*$AE$29+U236*$AE$30</f>
        <v/>
      </c>
      <c r="W236" s="8">
        <f>1/(1+EXP(-V236))</f>
        <v/>
      </c>
      <c r="X236" s="9">
        <f>-IF(C236=1,LN(W236),LN(1-W236))</f>
        <v/>
      </c>
      <c r="Y236" s="8">
        <f>IF(C236=1,$AE$32,$AE$33)</f>
        <v/>
      </c>
      <c r="Z236" s="9">
        <f>Y236*X236</f>
        <v/>
      </c>
      <c r="AA236" s="10">
        <f>IF(W236&gt;$AE$34,1,0)</f>
        <v/>
      </c>
      <c r="AB236">
        <f>IF(AA236=C236,1,0)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$AE$12+D237*$AE$13+E237*$AE$14+F237*$AE$15+G237*$AE$16+H237*$AE$17+I237*$AE$18+J237*$AE$19+K237*$AE$20+L237*$AE$21+M237*$AE$22+N237*$AE$23+O237*$AE$24+P237*$AE$25+Q237*$AE$26+R237*$AE$27+S237*$AE$28+T237*$AE$29+U237*$AE$30</f>
        <v/>
      </c>
      <c r="W237" s="8">
        <f>1/(1+EXP(-V237))</f>
        <v/>
      </c>
      <c r="X237" s="9">
        <f>-IF(C237=1,LN(W237),LN(1-W237))</f>
        <v/>
      </c>
      <c r="Y237" s="8">
        <f>IF(C237=1,$AE$32,$AE$33)</f>
        <v/>
      </c>
      <c r="Z237" s="9">
        <f>Y237*X237</f>
        <v/>
      </c>
      <c r="AA237" s="10">
        <f>IF(W237&gt;$AE$34,1,0)</f>
        <v/>
      </c>
      <c r="AB237">
        <f>IF(AA237=C237,1,0)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$AE$12+D238*$AE$13+E238*$AE$14+F238*$AE$15+G238*$AE$16+H238*$AE$17+I238*$AE$18+J238*$AE$19+K238*$AE$20+L238*$AE$21+M238*$AE$22+N238*$AE$23+O238*$AE$24+P238*$AE$25+Q238*$AE$26+R238*$AE$27+S238*$AE$28+T238*$AE$29+U238*$AE$30</f>
        <v/>
      </c>
      <c r="W238" s="8">
        <f>1/(1+EXP(-V238))</f>
        <v/>
      </c>
      <c r="X238" s="9">
        <f>-IF(C238=1,LN(W238),LN(1-W238))</f>
        <v/>
      </c>
      <c r="Y238" s="8">
        <f>IF(C238=1,$AE$32,$AE$33)</f>
        <v/>
      </c>
      <c r="Z238" s="9">
        <f>Y238*X238</f>
        <v/>
      </c>
      <c r="AA238" s="10">
        <f>IF(W238&gt;$AE$34,1,0)</f>
        <v/>
      </c>
      <c r="AB238">
        <f>IF(AA238=C238,1,0)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$AE$12+D239*$AE$13+E239*$AE$14+F239*$AE$15+G239*$AE$16+H239*$AE$17+I239*$AE$18+J239*$AE$19+K239*$AE$20+L239*$AE$21+M239*$AE$22+N239*$AE$23+O239*$AE$24+P239*$AE$25+Q239*$AE$26+R239*$AE$27+S239*$AE$28+T239*$AE$29+U239*$AE$30</f>
        <v/>
      </c>
      <c r="W239" s="8">
        <f>1/(1+EXP(-V239))</f>
        <v/>
      </c>
      <c r="X239" s="9">
        <f>-IF(C239=1,LN(W239),LN(1-W239))</f>
        <v/>
      </c>
      <c r="Y239" s="8">
        <f>IF(C239=1,$AE$32,$AE$33)</f>
        <v/>
      </c>
      <c r="Z239" s="9">
        <f>Y239*X239</f>
        <v/>
      </c>
      <c r="AA239" s="10">
        <f>IF(W239&gt;$AE$34,1,0)</f>
        <v/>
      </c>
      <c r="AB239">
        <f>IF(AA239=C239,1,0)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$AE$12+D240*$AE$13+E240*$AE$14+F240*$AE$15+G240*$AE$16+H240*$AE$17+I240*$AE$18+J240*$AE$19+K240*$AE$20+L240*$AE$21+M240*$AE$22+N240*$AE$23+O240*$AE$24+P240*$AE$25+Q240*$AE$26+R240*$AE$27+S240*$AE$28+T240*$AE$29+U240*$AE$30</f>
        <v/>
      </c>
      <c r="W240" s="8">
        <f>1/(1+EXP(-V240))</f>
        <v/>
      </c>
      <c r="X240" s="9">
        <f>-IF(C240=1,LN(W240),LN(1-W240))</f>
        <v/>
      </c>
      <c r="Y240" s="8">
        <f>IF(C240=1,$AE$32,$AE$33)</f>
        <v/>
      </c>
      <c r="Z240" s="9">
        <f>Y240*X240</f>
        <v/>
      </c>
      <c r="AA240" s="10">
        <f>IF(W240&gt;$AE$34,1,0)</f>
        <v/>
      </c>
      <c r="AB240">
        <f>IF(AA240=C240,1,0)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$AE$12+D241*$AE$13+E241*$AE$14+F241*$AE$15+G241*$AE$16+H241*$AE$17+I241*$AE$18+J241*$AE$19+K241*$AE$20+L241*$AE$21+M241*$AE$22+N241*$AE$23+O241*$AE$24+P241*$AE$25+Q241*$AE$26+R241*$AE$27+S241*$AE$28+T241*$AE$29+U241*$AE$30</f>
        <v/>
      </c>
      <c r="W241" s="8">
        <f>1/(1+EXP(-V241))</f>
        <v/>
      </c>
      <c r="X241" s="9">
        <f>-IF(C241=1,LN(W241),LN(1-W241))</f>
        <v/>
      </c>
      <c r="Y241" s="8">
        <f>IF(C241=1,$AE$32,$AE$33)</f>
        <v/>
      </c>
      <c r="Z241" s="9">
        <f>Y241*X241</f>
        <v/>
      </c>
      <c r="AA241" s="10">
        <f>IF(W241&gt;$AE$34,1,0)</f>
        <v/>
      </c>
      <c r="AB241">
        <f>IF(AA241=C241,1,0)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$AE$12+D242*$AE$13+E242*$AE$14+F242*$AE$15+G242*$AE$16+H242*$AE$17+I242*$AE$18+J242*$AE$19+K242*$AE$20+L242*$AE$21+M242*$AE$22+N242*$AE$23+O242*$AE$24+P242*$AE$25+Q242*$AE$26+R242*$AE$27+S242*$AE$28+T242*$AE$29+U242*$AE$30</f>
        <v/>
      </c>
      <c r="W242" s="8">
        <f>1/(1+EXP(-V242))</f>
        <v/>
      </c>
      <c r="X242" s="9">
        <f>-IF(C242=1,LN(W242),LN(1-W242))</f>
        <v/>
      </c>
      <c r="Y242" s="8">
        <f>IF(C242=1,$AE$32,$AE$33)</f>
        <v/>
      </c>
      <c r="Z242" s="9">
        <f>Y242*X242</f>
        <v/>
      </c>
      <c r="AA242" s="10">
        <f>IF(W242&gt;$AE$34,1,0)</f>
        <v/>
      </c>
      <c r="AB242">
        <f>IF(AA242=C242,1,0)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$AE$12+D243*$AE$13+E243*$AE$14+F243*$AE$15+G243*$AE$16+H243*$AE$17+I243*$AE$18+J243*$AE$19+K243*$AE$20+L243*$AE$21+M243*$AE$22+N243*$AE$23+O243*$AE$24+P243*$AE$25+Q243*$AE$26+R243*$AE$27+S243*$AE$28+T243*$AE$29+U243*$AE$30</f>
        <v/>
      </c>
      <c r="W243" s="8">
        <f>1/(1+EXP(-V243))</f>
        <v/>
      </c>
      <c r="X243" s="9">
        <f>-IF(C243=1,LN(W243),LN(1-W243))</f>
        <v/>
      </c>
      <c r="Y243" s="8">
        <f>IF(C243=1,$AE$32,$AE$33)</f>
        <v/>
      </c>
      <c r="Z243" s="9">
        <f>Y243*X243</f>
        <v/>
      </c>
      <c r="AA243" s="10">
        <f>IF(W243&gt;$AE$34,1,0)</f>
        <v/>
      </c>
      <c r="AB243">
        <f>IF(AA243=C243,1,0)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$AE$12+D244*$AE$13+E244*$AE$14+F244*$AE$15+G244*$AE$16+H244*$AE$17+I244*$AE$18+J244*$AE$19+K244*$AE$20+L244*$AE$21+M244*$AE$22+N244*$AE$23+O244*$AE$24+P244*$AE$25+Q244*$AE$26+R244*$AE$27+S244*$AE$28+T244*$AE$29+U244*$AE$30</f>
        <v/>
      </c>
      <c r="W244" s="8">
        <f>1/(1+EXP(-V244))</f>
        <v/>
      </c>
      <c r="X244" s="9">
        <f>-IF(C244=1,LN(W244),LN(1-W244))</f>
        <v/>
      </c>
      <c r="Y244" s="8">
        <f>IF(C244=1,$AE$32,$AE$33)</f>
        <v/>
      </c>
      <c r="Z244" s="9">
        <f>Y244*X244</f>
        <v/>
      </c>
      <c r="AA244" s="10">
        <f>IF(W244&gt;$AE$34,1,0)</f>
        <v/>
      </c>
      <c r="AB244">
        <f>IF(AA244=C244,1,0)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$AE$12+D245*$AE$13+E245*$AE$14+F245*$AE$15+G245*$AE$16+H245*$AE$17+I245*$AE$18+J245*$AE$19+K245*$AE$20+L245*$AE$21+M245*$AE$22+N245*$AE$23+O245*$AE$24+P245*$AE$25+Q245*$AE$26+R245*$AE$27+S245*$AE$28+T245*$AE$29+U245*$AE$30</f>
        <v/>
      </c>
      <c r="W245" s="8">
        <f>1/(1+EXP(-V245))</f>
        <v/>
      </c>
      <c r="X245" s="9">
        <f>-IF(C245=1,LN(W245),LN(1-W245))</f>
        <v/>
      </c>
      <c r="Y245" s="8">
        <f>IF(C245=1,$AE$32,$AE$33)</f>
        <v/>
      </c>
      <c r="Z245" s="9">
        <f>Y245*X245</f>
        <v/>
      </c>
      <c r="AA245" s="10">
        <f>IF(W245&gt;$AE$34,1,0)</f>
        <v/>
      </c>
      <c r="AB245">
        <f>IF(AA245=C245,1,0)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$AE$12+D246*$AE$13+E246*$AE$14+F246*$AE$15+G246*$AE$16+H246*$AE$17+I246*$AE$18+J246*$AE$19+K246*$AE$20+L246*$AE$21+M246*$AE$22+N246*$AE$23+O246*$AE$24+P246*$AE$25+Q246*$AE$26+R246*$AE$27+S246*$AE$28+T246*$AE$29+U246*$AE$30</f>
        <v/>
      </c>
      <c r="W246" s="8">
        <f>1/(1+EXP(-V246))</f>
        <v/>
      </c>
      <c r="X246" s="9">
        <f>-IF(C246=1,LN(W246),LN(1-W246))</f>
        <v/>
      </c>
      <c r="Y246" s="8">
        <f>IF(C246=1,$AE$32,$AE$33)</f>
        <v/>
      </c>
      <c r="Z246" s="9">
        <f>Y246*X246</f>
        <v/>
      </c>
      <c r="AA246" s="10">
        <f>IF(W246&gt;$AE$34,1,0)</f>
        <v/>
      </c>
      <c r="AB246">
        <f>IF(AA246=C246,1,0)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$AE$12+D247*$AE$13+E247*$AE$14+F247*$AE$15+G247*$AE$16+H247*$AE$17+I247*$AE$18+J247*$AE$19+K247*$AE$20+L247*$AE$21+M247*$AE$22+N247*$AE$23+O247*$AE$24+P247*$AE$25+Q247*$AE$26+R247*$AE$27+S247*$AE$28+T247*$AE$29+U247*$AE$30</f>
        <v/>
      </c>
      <c r="W247" s="8">
        <f>1/(1+EXP(-V247))</f>
        <v/>
      </c>
      <c r="X247" s="9">
        <f>-IF(C247=1,LN(W247),LN(1-W247))</f>
        <v/>
      </c>
      <c r="Y247" s="8">
        <f>IF(C247=1,$AE$32,$AE$33)</f>
        <v/>
      </c>
      <c r="Z247" s="9">
        <f>Y247*X247</f>
        <v/>
      </c>
      <c r="AA247" s="10">
        <f>IF(W247&gt;$AE$34,1,0)</f>
        <v/>
      </c>
      <c r="AB247">
        <f>IF(AA247=C247,1,0)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$AE$12+D248*$AE$13+E248*$AE$14+F248*$AE$15+G248*$AE$16+H248*$AE$17+I248*$AE$18+J248*$AE$19+K248*$AE$20+L248*$AE$21+M248*$AE$22+N248*$AE$23+O248*$AE$24+P248*$AE$25+Q248*$AE$26+R248*$AE$27+S248*$AE$28+T248*$AE$29+U248*$AE$30</f>
        <v/>
      </c>
      <c r="W248" s="8">
        <f>1/(1+EXP(-V248))</f>
        <v/>
      </c>
      <c r="X248" s="9">
        <f>-IF(C248=1,LN(W248),LN(1-W248))</f>
        <v/>
      </c>
      <c r="Y248" s="8">
        <f>IF(C248=1,$AE$32,$AE$33)</f>
        <v/>
      </c>
      <c r="Z248" s="9">
        <f>Y248*X248</f>
        <v/>
      </c>
      <c r="AA248" s="10">
        <f>IF(W248&gt;$AE$34,1,0)</f>
        <v/>
      </c>
      <c r="AB248">
        <f>IF(AA248=C248,1,0)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$AE$12+D249*$AE$13+E249*$AE$14+F249*$AE$15+G249*$AE$16+H249*$AE$17+I249*$AE$18+J249*$AE$19+K249*$AE$20+L249*$AE$21+M249*$AE$22+N249*$AE$23+O249*$AE$24+P249*$AE$25+Q249*$AE$26+R249*$AE$27+S249*$AE$28+T249*$AE$29+U249*$AE$30</f>
        <v/>
      </c>
      <c r="W249" s="8">
        <f>1/(1+EXP(-V249))</f>
        <v/>
      </c>
      <c r="X249" s="9">
        <f>-IF(C249=1,LN(W249),LN(1-W249))</f>
        <v/>
      </c>
      <c r="Y249" s="8">
        <f>IF(C249=1,$AE$32,$AE$33)</f>
        <v/>
      </c>
      <c r="Z249" s="9">
        <f>Y249*X249</f>
        <v/>
      </c>
      <c r="AA249" s="10">
        <f>IF(W249&gt;$AE$34,1,0)</f>
        <v/>
      </c>
      <c r="AB249">
        <f>IF(AA249=C249,1,0)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$AE$12+D250*$AE$13+E250*$AE$14+F250*$AE$15+G250*$AE$16+H250*$AE$17+I250*$AE$18+J250*$AE$19+K250*$AE$20+L250*$AE$21+M250*$AE$22+N250*$AE$23+O250*$AE$24+P250*$AE$25+Q250*$AE$26+R250*$AE$27+S250*$AE$28+T250*$AE$29+U250*$AE$30</f>
        <v/>
      </c>
      <c r="W250" s="8">
        <f>1/(1+EXP(-V250))</f>
        <v/>
      </c>
      <c r="X250" s="9">
        <f>-IF(C250=1,LN(W250),LN(1-W250))</f>
        <v/>
      </c>
      <c r="Y250" s="8">
        <f>IF(C250=1,$AE$32,$AE$33)</f>
        <v/>
      </c>
      <c r="Z250" s="9">
        <f>Y250*X250</f>
        <v/>
      </c>
      <c r="AA250" s="10">
        <f>IF(W250&gt;$AE$34,1,0)</f>
        <v/>
      </c>
      <c r="AB250">
        <f>IF(AA250=C250,1,0)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$AE$12+D251*$AE$13+E251*$AE$14+F251*$AE$15+G251*$AE$16+H251*$AE$17+I251*$AE$18+J251*$AE$19+K251*$AE$20+L251*$AE$21+M251*$AE$22+N251*$AE$23+O251*$AE$24+P251*$AE$25+Q251*$AE$26+R251*$AE$27+S251*$AE$28+T251*$AE$29+U251*$AE$30</f>
        <v/>
      </c>
      <c r="W251" s="8">
        <f>1/(1+EXP(-V251))</f>
        <v/>
      </c>
      <c r="X251" s="9">
        <f>-IF(C251=1,LN(W251),LN(1-W251))</f>
        <v/>
      </c>
      <c r="Y251" s="8">
        <f>IF(C251=1,$AE$32,$AE$33)</f>
        <v/>
      </c>
      <c r="Z251" s="9">
        <f>Y251*X251</f>
        <v/>
      </c>
      <c r="AA251" s="10">
        <f>IF(W251&gt;$AE$34,1,0)</f>
        <v/>
      </c>
      <c r="AB251">
        <f>IF(AA251=C251,1,0)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$AE$12+D252*$AE$13+E252*$AE$14+F252*$AE$15+G252*$AE$16+H252*$AE$17+I252*$AE$18+J252*$AE$19+K252*$AE$20+L252*$AE$21+M252*$AE$22+N252*$AE$23+O252*$AE$24+P252*$AE$25+Q252*$AE$26+R252*$AE$27+S252*$AE$28+T252*$AE$29+U252*$AE$30</f>
        <v/>
      </c>
      <c r="W252" s="8">
        <f>1/(1+EXP(-V252))</f>
        <v/>
      </c>
      <c r="X252" s="9">
        <f>-IF(C252=1,LN(W252),LN(1-W252))</f>
        <v/>
      </c>
      <c r="Y252" s="8">
        <f>IF(C252=1,$AE$32,$AE$33)</f>
        <v/>
      </c>
      <c r="Z252" s="9">
        <f>Y252*X252</f>
        <v/>
      </c>
      <c r="AA252" s="10">
        <f>IF(W252&gt;$AE$34,1,0)</f>
        <v/>
      </c>
      <c r="AB252">
        <f>IF(AA252=C252,1,0)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$AE$12+D253*$AE$13+E253*$AE$14+F253*$AE$15+G253*$AE$16+H253*$AE$17+I253*$AE$18+J253*$AE$19+K253*$AE$20+L253*$AE$21+M253*$AE$22+N253*$AE$23+O253*$AE$24+P253*$AE$25+Q253*$AE$26+R253*$AE$27+S253*$AE$28+T253*$AE$29+U253*$AE$30</f>
        <v/>
      </c>
      <c r="W253" s="8">
        <f>1/(1+EXP(-V253))</f>
        <v/>
      </c>
      <c r="X253" s="9">
        <f>-IF(C253=1,LN(W253),LN(1-W253))</f>
        <v/>
      </c>
      <c r="Y253" s="8">
        <f>IF(C253=1,$AE$32,$AE$33)</f>
        <v/>
      </c>
      <c r="Z253" s="9">
        <f>Y253*X253</f>
        <v/>
      </c>
      <c r="AA253" s="10">
        <f>IF(W253&gt;$AE$34,1,0)</f>
        <v/>
      </c>
      <c r="AB253">
        <f>IF(AA253=C253,1,0)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$AE$12+D254*$AE$13+E254*$AE$14+F254*$AE$15+G254*$AE$16+H254*$AE$17+I254*$AE$18+J254*$AE$19+K254*$AE$20+L254*$AE$21+M254*$AE$22+N254*$AE$23+O254*$AE$24+P254*$AE$25+Q254*$AE$26+R254*$AE$27+S254*$AE$28+T254*$AE$29+U254*$AE$30</f>
        <v/>
      </c>
      <c r="W254" s="8">
        <f>1/(1+EXP(-V254))</f>
        <v/>
      </c>
      <c r="X254" s="9">
        <f>-IF(C254=1,LN(W254),LN(1-W254))</f>
        <v/>
      </c>
      <c r="Y254" s="8">
        <f>IF(C254=1,$AE$32,$AE$33)</f>
        <v/>
      </c>
      <c r="Z254" s="9">
        <f>Y254*X254</f>
        <v/>
      </c>
      <c r="AA254" s="10">
        <f>IF(W254&gt;$AE$34,1,0)</f>
        <v/>
      </c>
      <c r="AB254">
        <f>IF(AA254=C254,1,0)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$AE$12+D255*$AE$13+E255*$AE$14+F255*$AE$15+G255*$AE$16+H255*$AE$17+I255*$AE$18+J255*$AE$19+K255*$AE$20+L255*$AE$21+M255*$AE$22+N255*$AE$23+O255*$AE$24+P255*$AE$25+Q255*$AE$26+R255*$AE$27+S255*$AE$28+T255*$AE$29+U255*$AE$30</f>
        <v/>
      </c>
      <c r="W255" s="8">
        <f>1/(1+EXP(-V255))</f>
        <v/>
      </c>
      <c r="X255" s="9">
        <f>-IF(C255=1,LN(W255),LN(1-W255))</f>
        <v/>
      </c>
      <c r="Y255" s="8">
        <f>IF(C255=1,$AE$32,$AE$33)</f>
        <v/>
      </c>
      <c r="Z255" s="9">
        <f>Y255*X255</f>
        <v/>
      </c>
      <c r="AA255" s="10">
        <f>IF(W255&gt;$AE$34,1,0)</f>
        <v/>
      </c>
      <c r="AB255">
        <f>IF(AA255=C255,1,0)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$AE$12+D256*$AE$13+E256*$AE$14+F256*$AE$15+G256*$AE$16+H256*$AE$17+I256*$AE$18+J256*$AE$19+K256*$AE$20+L256*$AE$21+M256*$AE$22+N256*$AE$23+O256*$AE$24+P256*$AE$25+Q256*$AE$26+R256*$AE$27+S256*$AE$28+T256*$AE$29+U256*$AE$30</f>
        <v/>
      </c>
      <c r="W256" s="8">
        <f>1/(1+EXP(-V256))</f>
        <v/>
      </c>
      <c r="X256" s="9">
        <f>-IF(C256=1,LN(W256),LN(1-W256))</f>
        <v/>
      </c>
      <c r="Y256" s="8">
        <f>IF(C256=1,$AE$32,$AE$33)</f>
        <v/>
      </c>
      <c r="Z256" s="9">
        <f>Y256*X256</f>
        <v/>
      </c>
      <c r="AA256" s="10">
        <f>IF(W256&gt;$AE$34,1,0)</f>
        <v/>
      </c>
      <c r="AB256">
        <f>IF(AA256=C256,1,0)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$AE$12+D257*$AE$13+E257*$AE$14+F257*$AE$15+G257*$AE$16+H257*$AE$17+I257*$AE$18+J257*$AE$19+K257*$AE$20+L257*$AE$21+M257*$AE$22+N257*$AE$23+O257*$AE$24+P257*$AE$25+Q257*$AE$26+R257*$AE$27+S257*$AE$28+T257*$AE$29+U257*$AE$30</f>
        <v/>
      </c>
      <c r="W257" s="8">
        <f>1/(1+EXP(-V257))</f>
        <v/>
      </c>
      <c r="X257" s="9">
        <f>-IF(C257=1,LN(W257),LN(1-W257))</f>
        <v/>
      </c>
      <c r="Y257" s="8">
        <f>IF(C257=1,$AE$32,$AE$33)</f>
        <v/>
      </c>
      <c r="Z257" s="9">
        <f>Y257*X257</f>
        <v/>
      </c>
      <c r="AA257" s="10">
        <f>IF(W257&gt;$AE$34,1,0)</f>
        <v/>
      </c>
      <c r="AB257">
        <f>IF(AA257=C257,1,0)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$AE$12+D258*$AE$13+E258*$AE$14+F258*$AE$15+G258*$AE$16+H258*$AE$17+I258*$AE$18+J258*$AE$19+K258*$AE$20+L258*$AE$21+M258*$AE$22+N258*$AE$23+O258*$AE$24+P258*$AE$25+Q258*$AE$26+R258*$AE$27+S258*$AE$28+T258*$AE$29+U258*$AE$30</f>
        <v/>
      </c>
      <c r="W258" s="8">
        <f>1/(1+EXP(-V258))</f>
        <v/>
      </c>
      <c r="X258" s="9">
        <f>-IF(C258=1,LN(W258),LN(1-W258))</f>
        <v/>
      </c>
      <c r="Y258" s="8">
        <f>IF(C258=1,$AE$32,$AE$33)</f>
        <v/>
      </c>
      <c r="Z258" s="9">
        <f>Y258*X258</f>
        <v/>
      </c>
      <c r="AA258" s="10">
        <f>IF(W258&gt;$AE$34,1,0)</f>
        <v/>
      </c>
      <c r="AB258">
        <f>IF(AA258=C258,1,0)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$AE$12+D259*$AE$13+E259*$AE$14+F259*$AE$15+G259*$AE$16+H259*$AE$17+I259*$AE$18+J259*$AE$19+K259*$AE$20+L259*$AE$21+M259*$AE$22+N259*$AE$23+O259*$AE$24+P259*$AE$25+Q259*$AE$26+R259*$AE$27+S259*$AE$28+T259*$AE$29+U259*$AE$30</f>
        <v/>
      </c>
      <c r="W259" s="8">
        <f>1/(1+EXP(-V259))</f>
        <v/>
      </c>
      <c r="X259" s="9">
        <f>-IF(C259=1,LN(W259),LN(1-W259))</f>
        <v/>
      </c>
      <c r="Y259" s="8">
        <f>IF(C259=1,$AE$32,$AE$33)</f>
        <v/>
      </c>
      <c r="Z259" s="9">
        <f>Y259*X259</f>
        <v/>
      </c>
      <c r="AA259" s="10">
        <f>IF(W259&gt;$AE$34,1,0)</f>
        <v/>
      </c>
      <c r="AB259">
        <f>IF(AA259=C259,1,0)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$AE$12+D260*$AE$13+E260*$AE$14+F260*$AE$15+G260*$AE$16+H260*$AE$17+I260*$AE$18+J260*$AE$19+K260*$AE$20+L260*$AE$21+M260*$AE$22+N260*$AE$23+O260*$AE$24+P260*$AE$25+Q260*$AE$26+R260*$AE$27+S260*$AE$28+T260*$AE$29+U260*$AE$30</f>
        <v/>
      </c>
      <c r="W260" s="8">
        <f>1/(1+EXP(-V260))</f>
        <v/>
      </c>
      <c r="X260" s="9">
        <f>-IF(C260=1,LN(W260),LN(1-W260))</f>
        <v/>
      </c>
      <c r="Y260" s="8">
        <f>IF(C260=1,$AE$32,$AE$33)</f>
        <v/>
      </c>
      <c r="Z260" s="9">
        <f>Y260*X260</f>
        <v/>
      </c>
      <c r="AA260" s="10">
        <f>IF(W260&gt;$AE$34,1,0)</f>
        <v/>
      </c>
      <c r="AB260">
        <f>IF(AA260=C260,1,0)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$AE$12+D261*$AE$13+E261*$AE$14+F261*$AE$15+G261*$AE$16+H261*$AE$17+I261*$AE$18+J261*$AE$19+K261*$AE$20+L261*$AE$21+M261*$AE$22+N261*$AE$23+O261*$AE$24+P261*$AE$25+Q261*$AE$26+R261*$AE$27+S261*$AE$28+T261*$AE$29+U261*$AE$30</f>
        <v/>
      </c>
      <c r="W261" s="8">
        <f>1/(1+EXP(-V261))</f>
        <v/>
      </c>
      <c r="X261" s="9">
        <f>-IF(C261=1,LN(W261),LN(1-W261))</f>
        <v/>
      </c>
      <c r="Y261" s="8">
        <f>IF(C261=1,$AE$32,$AE$33)</f>
        <v/>
      </c>
      <c r="Z261" s="9">
        <f>Y261*X261</f>
        <v/>
      </c>
      <c r="AA261" s="10">
        <f>IF(W261&gt;$AE$34,1,0)</f>
        <v/>
      </c>
      <c r="AB261">
        <f>IF(AA261=C261,1,0)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$AE$12+D262*$AE$13+E262*$AE$14+F262*$AE$15+G262*$AE$16+H262*$AE$17+I262*$AE$18+J262*$AE$19+K262*$AE$20+L262*$AE$21+M262*$AE$22+N262*$AE$23+O262*$AE$24+P262*$AE$25+Q262*$AE$26+R262*$AE$27+S262*$AE$28+T262*$AE$29+U262*$AE$30</f>
        <v/>
      </c>
      <c r="W262" s="8">
        <f>1/(1+EXP(-V262))</f>
        <v/>
      </c>
      <c r="X262" s="9">
        <f>-IF(C262=1,LN(W262),LN(1-W262))</f>
        <v/>
      </c>
      <c r="Y262" s="8">
        <f>IF(C262=1,$AE$32,$AE$33)</f>
        <v/>
      </c>
      <c r="Z262" s="9">
        <f>Y262*X262</f>
        <v/>
      </c>
      <c r="AA262" s="10">
        <f>IF(W262&gt;$AE$34,1,0)</f>
        <v/>
      </c>
      <c r="AB262">
        <f>IF(AA262=C262,1,0)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$AE$12+D263*$AE$13+E263*$AE$14+F263*$AE$15+G263*$AE$16+H263*$AE$17+I263*$AE$18+J263*$AE$19+K263*$AE$20+L263*$AE$21+M263*$AE$22+N263*$AE$23+O263*$AE$24+P263*$AE$25+Q263*$AE$26+R263*$AE$27+S263*$AE$28+T263*$AE$29+U263*$AE$30</f>
        <v/>
      </c>
      <c r="W263" s="8">
        <f>1/(1+EXP(-V263))</f>
        <v/>
      </c>
      <c r="X263" s="9">
        <f>-IF(C263=1,LN(W263),LN(1-W263))</f>
        <v/>
      </c>
      <c r="Y263" s="8">
        <f>IF(C263=1,$AE$32,$AE$33)</f>
        <v/>
      </c>
      <c r="Z263" s="9">
        <f>Y263*X263</f>
        <v/>
      </c>
      <c r="AA263" s="10">
        <f>IF(W263&gt;$AE$34,1,0)</f>
        <v/>
      </c>
      <c r="AB263">
        <f>IF(AA263=C263,1,0)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$AE$12+D264*$AE$13+E264*$AE$14+F264*$AE$15+G264*$AE$16+H264*$AE$17+I264*$AE$18+J264*$AE$19+K264*$AE$20+L264*$AE$21+M264*$AE$22+N264*$AE$23+O264*$AE$24+P264*$AE$25+Q264*$AE$26+R264*$AE$27+S264*$AE$28+T264*$AE$29+U264*$AE$30</f>
        <v/>
      </c>
      <c r="W264" s="8">
        <f>1/(1+EXP(-V264))</f>
        <v/>
      </c>
      <c r="X264" s="9">
        <f>-IF(C264=1,LN(W264),LN(1-W264))</f>
        <v/>
      </c>
      <c r="Y264" s="8">
        <f>IF(C264=1,$AE$32,$AE$33)</f>
        <v/>
      </c>
      <c r="Z264" s="9">
        <f>Y264*X264</f>
        <v/>
      </c>
      <c r="AA264" s="10">
        <f>IF(W264&gt;$AE$34,1,0)</f>
        <v/>
      </c>
      <c r="AB264">
        <f>IF(AA264=C264,1,0)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$AE$12+D265*$AE$13+E265*$AE$14+F265*$AE$15+G265*$AE$16+H265*$AE$17+I265*$AE$18+J265*$AE$19+K265*$AE$20+L265*$AE$21+M265*$AE$22+N265*$AE$23+O265*$AE$24+P265*$AE$25+Q265*$AE$26+R265*$AE$27+S265*$AE$28+T265*$AE$29+U265*$AE$30</f>
        <v/>
      </c>
      <c r="W265" s="8">
        <f>1/(1+EXP(-V265))</f>
        <v/>
      </c>
      <c r="X265" s="9">
        <f>-IF(C265=1,LN(W265),LN(1-W265))</f>
        <v/>
      </c>
      <c r="Y265" s="8">
        <f>IF(C265=1,$AE$32,$AE$33)</f>
        <v/>
      </c>
      <c r="Z265" s="9">
        <f>Y265*X265</f>
        <v/>
      </c>
      <c r="AA265" s="10">
        <f>IF(W265&gt;$AE$34,1,0)</f>
        <v/>
      </c>
      <c r="AB265">
        <f>IF(AA265=C265,1,0)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$AE$12+D266*$AE$13+E266*$AE$14+F266*$AE$15+G266*$AE$16+H266*$AE$17+I266*$AE$18+J266*$AE$19+K266*$AE$20+L266*$AE$21+M266*$AE$22+N266*$AE$23+O266*$AE$24+P266*$AE$25+Q266*$AE$26+R266*$AE$27+S266*$AE$28+T266*$AE$29+U266*$AE$30</f>
        <v/>
      </c>
      <c r="W266" s="8">
        <f>1/(1+EXP(-V266))</f>
        <v/>
      </c>
      <c r="X266" s="9">
        <f>-IF(C266=1,LN(W266),LN(1-W266))</f>
        <v/>
      </c>
      <c r="Y266" s="8">
        <f>IF(C266=1,$AE$32,$AE$33)</f>
        <v/>
      </c>
      <c r="Z266" s="9">
        <f>Y266*X266</f>
        <v/>
      </c>
      <c r="AA266" s="10">
        <f>IF(W266&gt;$AE$34,1,0)</f>
        <v/>
      </c>
      <c r="AB266">
        <f>IF(AA266=C266,1,0)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$AE$12+D267*$AE$13+E267*$AE$14+F267*$AE$15+G267*$AE$16+H267*$AE$17+I267*$AE$18+J267*$AE$19+K267*$AE$20+L267*$AE$21+M267*$AE$22+N267*$AE$23+O267*$AE$24+P267*$AE$25+Q267*$AE$26+R267*$AE$27+S267*$AE$28+T267*$AE$29+U267*$AE$30</f>
        <v/>
      </c>
      <c r="W267" s="8">
        <f>1/(1+EXP(-V267))</f>
        <v/>
      </c>
      <c r="X267" s="9">
        <f>-IF(C267=1,LN(W267),LN(1-W267))</f>
        <v/>
      </c>
      <c r="Y267" s="8">
        <f>IF(C267=1,$AE$32,$AE$33)</f>
        <v/>
      </c>
      <c r="Z267" s="9">
        <f>Y267*X267</f>
        <v/>
      </c>
      <c r="AA267" s="10">
        <f>IF(W267&gt;$AE$34,1,0)</f>
        <v/>
      </c>
      <c r="AB267">
        <f>IF(AA267=C267,1,0)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$AE$12+D268*$AE$13+E268*$AE$14+F268*$AE$15+G268*$AE$16+H268*$AE$17+I268*$AE$18+J268*$AE$19+K268*$AE$20+L268*$AE$21+M268*$AE$22+N268*$AE$23+O268*$AE$24+P268*$AE$25+Q268*$AE$26+R268*$AE$27+S268*$AE$28+T268*$AE$29+U268*$AE$30</f>
        <v/>
      </c>
      <c r="W268" s="8">
        <f>1/(1+EXP(-V268))</f>
        <v/>
      </c>
      <c r="X268" s="9">
        <f>-IF(C268=1,LN(W268),LN(1-W268))</f>
        <v/>
      </c>
      <c r="Y268" s="8">
        <f>IF(C268=1,$AE$32,$AE$33)</f>
        <v/>
      </c>
      <c r="Z268" s="9">
        <f>Y268*X268</f>
        <v/>
      </c>
      <c r="AA268" s="10">
        <f>IF(W268&gt;$AE$34,1,0)</f>
        <v/>
      </c>
      <c r="AB268">
        <f>IF(AA268=C268,1,0)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$AE$12+D269*$AE$13+E269*$AE$14+F269*$AE$15+G269*$AE$16+H269*$AE$17+I269*$AE$18+J269*$AE$19+K269*$AE$20+L269*$AE$21+M269*$AE$22+N269*$AE$23+O269*$AE$24+P269*$AE$25+Q269*$AE$26+R269*$AE$27+S269*$AE$28+T269*$AE$29+U269*$AE$30</f>
        <v/>
      </c>
      <c r="W269" s="8">
        <f>1/(1+EXP(-V269))</f>
        <v/>
      </c>
      <c r="X269" s="9">
        <f>-IF(C269=1,LN(W269),LN(1-W269))</f>
        <v/>
      </c>
      <c r="Y269" s="8">
        <f>IF(C269=1,$AE$32,$AE$33)</f>
        <v/>
      </c>
      <c r="Z269" s="9">
        <f>Y269*X269</f>
        <v/>
      </c>
      <c r="AA269" s="10">
        <f>IF(W269&gt;$AE$34,1,0)</f>
        <v/>
      </c>
      <c r="AB269">
        <f>IF(AA269=C269,1,0)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$AE$12+D270*$AE$13+E270*$AE$14+F270*$AE$15+G270*$AE$16+H270*$AE$17+I270*$AE$18+J270*$AE$19+K270*$AE$20+L270*$AE$21+M270*$AE$22+N270*$AE$23+O270*$AE$24+P270*$AE$25+Q270*$AE$26+R270*$AE$27+S270*$AE$28+T270*$AE$29+U270*$AE$30</f>
        <v/>
      </c>
      <c r="W270" s="8">
        <f>1/(1+EXP(-V270))</f>
        <v/>
      </c>
      <c r="X270" s="9">
        <f>-IF(C270=1,LN(W270),LN(1-W270))</f>
        <v/>
      </c>
      <c r="Y270" s="8">
        <f>IF(C270=1,$AE$32,$AE$33)</f>
        <v/>
      </c>
      <c r="Z270" s="9">
        <f>Y270*X270</f>
        <v/>
      </c>
      <c r="AA270" s="10">
        <f>IF(W270&gt;$AE$34,1,0)</f>
        <v/>
      </c>
      <c r="AB270">
        <f>IF(AA270=C270,1,0)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$AE$12+D271*$AE$13+E271*$AE$14+F271*$AE$15+G271*$AE$16+H271*$AE$17+I271*$AE$18+J271*$AE$19+K271*$AE$20+L271*$AE$21+M271*$AE$22+N271*$AE$23+O271*$AE$24+P271*$AE$25+Q271*$AE$26+R271*$AE$27+S271*$AE$28+T271*$AE$29+U271*$AE$30</f>
        <v/>
      </c>
      <c r="W271" s="8">
        <f>1/(1+EXP(-V271))</f>
        <v/>
      </c>
      <c r="X271" s="9">
        <f>-IF(C271=1,LN(W271),LN(1-W271))</f>
        <v/>
      </c>
      <c r="Y271" s="8">
        <f>IF(C271=1,$AE$32,$AE$33)</f>
        <v/>
      </c>
      <c r="Z271" s="9">
        <f>Y271*X271</f>
        <v/>
      </c>
      <c r="AA271" s="10">
        <f>IF(W271&gt;$AE$34,1,0)</f>
        <v/>
      </c>
      <c r="AB271">
        <f>IF(AA271=C271,1,0)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$AE$12+D272*$AE$13+E272*$AE$14+F272*$AE$15+G272*$AE$16+H272*$AE$17+I272*$AE$18+J272*$AE$19+K272*$AE$20+L272*$AE$21+M272*$AE$22+N272*$AE$23+O272*$AE$24+P272*$AE$25+Q272*$AE$26+R272*$AE$27+S272*$AE$28+T272*$AE$29+U272*$AE$30</f>
        <v/>
      </c>
      <c r="W272" s="8">
        <f>1/(1+EXP(-V272))</f>
        <v/>
      </c>
      <c r="X272" s="9">
        <f>-IF(C272=1,LN(W272),LN(1-W272))</f>
        <v/>
      </c>
      <c r="Y272" s="8">
        <f>IF(C272=1,$AE$32,$AE$33)</f>
        <v/>
      </c>
      <c r="Z272" s="9">
        <f>Y272*X272</f>
        <v/>
      </c>
      <c r="AA272" s="10">
        <f>IF(W272&gt;$AE$34,1,0)</f>
        <v/>
      </c>
      <c r="AB272">
        <f>IF(AA272=C272,1,0)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$AE$12+D273*$AE$13+E273*$AE$14+F273*$AE$15+G273*$AE$16+H273*$AE$17+I273*$AE$18+J273*$AE$19+K273*$AE$20+L273*$AE$21+M273*$AE$22+N273*$AE$23+O273*$AE$24+P273*$AE$25+Q273*$AE$26+R273*$AE$27+S273*$AE$28+T273*$AE$29+U273*$AE$30</f>
        <v/>
      </c>
      <c r="W273" s="8">
        <f>1/(1+EXP(-V273))</f>
        <v/>
      </c>
      <c r="X273" s="9">
        <f>-IF(C273=1,LN(W273),LN(1-W273))</f>
        <v/>
      </c>
      <c r="Y273" s="8">
        <f>IF(C273=1,$AE$32,$AE$33)</f>
        <v/>
      </c>
      <c r="Z273" s="9">
        <f>Y273*X273</f>
        <v/>
      </c>
      <c r="AA273" s="10">
        <f>IF(W273&gt;$AE$34,1,0)</f>
        <v/>
      </c>
      <c r="AB273">
        <f>IF(AA273=C273,1,0)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$AE$12+D274*$AE$13+E274*$AE$14+F274*$AE$15+G274*$AE$16+H274*$AE$17+I274*$AE$18+J274*$AE$19+K274*$AE$20+L274*$AE$21+M274*$AE$22+N274*$AE$23+O274*$AE$24+P274*$AE$25+Q274*$AE$26+R274*$AE$27+S274*$AE$28+T274*$AE$29+U274*$AE$30</f>
        <v/>
      </c>
      <c r="W274" s="8">
        <f>1/(1+EXP(-V274))</f>
        <v/>
      </c>
      <c r="X274" s="9">
        <f>-IF(C274=1,LN(W274),LN(1-W274))</f>
        <v/>
      </c>
      <c r="Y274" s="8">
        <f>IF(C274=1,$AE$32,$AE$33)</f>
        <v/>
      </c>
      <c r="Z274" s="9">
        <f>Y274*X274</f>
        <v/>
      </c>
      <c r="AA274" s="10">
        <f>IF(W274&gt;$AE$34,1,0)</f>
        <v/>
      </c>
      <c r="AB274">
        <f>IF(AA274=C274,1,0)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$AE$12+D275*$AE$13+E275*$AE$14+F275*$AE$15+G275*$AE$16+H275*$AE$17+I275*$AE$18+J275*$AE$19+K275*$AE$20+L275*$AE$21+M275*$AE$22+N275*$AE$23+O275*$AE$24+P275*$AE$25+Q275*$AE$26+R275*$AE$27+S275*$AE$28+T275*$AE$29+U275*$AE$30</f>
        <v/>
      </c>
      <c r="W275" s="8">
        <f>1/(1+EXP(-V275))</f>
        <v/>
      </c>
      <c r="X275" s="9">
        <f>-IF(C275=1,LN(W275),LN(1-W275))</f>
        <v/>
      </c>
      <c r="Y275" s="8">
        <f>IF(C275=1,$AE$32,$AE$33)</f>
        <v/>
      </c>
      <c r="Z275" s="9">
        <f>Y275*X275</f>
        <v/>
      </c>
      <c r="AA275" s="10">
        <f>IF(W275&gt;$AE$34,1,0)</f>
        <v/>
      </c>
      <c r="AB275">
        <f>IF(AA275=C275,1,0)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$AE$12+D276*$AE$13+E276*$AE$14+F276*$AE$15+G276*$AE$16+H276*$AE$17+I276*$AE$18+J276*$AE$19+K276*$AE$20+L276*$AE$21+M276*$AE$22+N276*$AE$23+O276*$AE$24+P276*$AE$25+Q276*$AE$26+R276*$AE$27+S276*$AE$28+T276*$AE$29+U276*$AE$30</f>
        <v/>
      </c>
      <c r="W276" s="8">
        <f>1/(1+EXP(-V276))</f>
        <v/>
      </c>
      <c r="X276" s="9">
        <f>-IF(C276=1,LN(W276),LN(1-W276))</f>
        <v/>
      </c>
      <c r="Y276" s="8">
        <f>IF(C276=1,$AE$32,$AE$33)</f>
        <v/>
      </c>
      <c r="Z276" s="9">
        <f>Y276*X276</f>
        <v/>
      </c>
      <c r="AA276" s="10">
        <f>IF(W276&gt;$AE$34,1,0)</f>
        <v/>
      </c>
      <c r="AB276">
        <f>IF(AA276=C276,1,0)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$AE$12+D277*$AE$13+E277*$AE$14+F277*$AE$15+G277*$AE$16+H277*$AE$17+I277*$AE$18+J277*$AE$19+K277*$AE$20+L277*$AE$21+M277*$AE$22+N277*$AE$23+O277*$AE$24+P277*$AE$25+Q277*$AE$26+R277*$AE$27+S277*$AE$28+T277*$AE$29+U277*$AE$30</f>
        <v/>
      </c>
      <c r="W277" s="8">
        <f>1/(1+EXP(-V277))</f>
        <v/>
      </c>
      <c r="X277" s="9">
        <f>-IF(C277=1,LN(W277),LN(1-W277))</f>
        <v/>
      </c>
      <c r="Y277" s="8">
        <f>IF(C277=1,$AE$32,$AE$33)</f>
        <v/>
      </c>
      <c r="Z277" s="9">
        <f>Y277*X277</f>
        <v/>
      </c>
      <c r="AA277" s="10">
        <f>IF(W277&gt;$AE$34,1,0)</f>
        <v/>
      </c>
      <c r="AB277">
        <f>IF(AA277=C277,1,0)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$AE$12+D278*$AE$13+E278*$AE$14+F278*$AE$15+G278*$AE$16+H278*$AE$17+I278*$AE$18+J278*$AE$19+K278*$AE$20+L278*$AE$21+M278*$AE$22+N278*$AE$23+O278*$AE$24+P278*$AE$25+Q278*$AE$26+R278*$AE$27+S278*$AE$28+T278*$AE$29+U278*$AE$30</f>
        <v/>
      </c>
      <c r="W278" s="8">
        <f>1/(1+EXP(-V278))</f>
        <v/>
      </c>
      <c r="X278" s="9">
        <f>-IF(C278=1,LN(W278),LN(1-W278))</f>
        <v/>
      </c>
      <c r="Y278" s="8">
        <f>IF(C278=1,$AE$32,$AE$33)</f>
        <v/>
      </c>
      <c r="Z278" s="9">
        <f>Y278*X278</f>
        <v/>
      </c>
      <c r="AA278" s="10">
        <f>IF(W278&gt;$AE$34,1,0)</f>
        <v/>
      </c>
      <c r="AB278">
        <f>IF(AA278=C278,1,0)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$AE$12+D279*$AE$13+E279*$AE$14+F279*$AE$15+G279*$AE$16+H279*$AE$17+I279*$AE$18+J279*$AE$19+K279*$AE$20+L279*$AE$21+M279*$AE$22+N279*$AE$23+O279*$AE$24+P279*$AE$25+Q279*$AE$26+R279*$AE$27+S279*$AE$28+T279*$AE$29+U279*$AE$30</f>
        <v/>
      </c>
      <c r="W279" s="8">
        <f>1/(1+EXP(-V279))</f>
        <v/>
      </c>
      <c r="X279" s="9">
        <f>-IF(C279=1,LN(W279),LN(1-W279))</f>
        <v/>
      </c>
      <c r="Y279" s="8">
        <f>IF(C279=1,$AE$32,$AE$33)</f>
        <v/>
      </c>
      <c r="Z279" s="9">
        <f>Y279*X279</f>
        <v/>
      </c>
      <c r="AA279" s="10">
        <f>IF(W279&gt;$AE$34,1,0)</f>
        <v/>
      </c>
      <c r="AB279">
        <f>IF(AA279=C279,1,0)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$AE$12+D280*$AE$13+E280*$AE$14+F280*$AE$15+G280*$AE$16+H280*$AE$17+I280*$AE$18+J280*$AE$19+K280*$AE$20+L280*$AE$21+M280*$AE$22+N280*$AE$23+O280*$AE$24+P280*$AE$25+Q280*$AE$26+R280*$AE$27+S280*$AE$28+T280*$AE$29+U280*$AE$30</f>
        <v/>
      </c>
      <c r="W280" s="8">
        <f>1/(1+EXP(-V280))</f>
        <v/>
      </c>
      <c r="X280" s="9">
        <f>-IF(C280=1,LN(W280),LN(1-W280))</f>
        <v/>
      </c>
      <c r="Y280" s="8">
        <f>IF(C280=1,$AE$32,$AE$33)</f>
        <v/>
      </c>
      <c r="Z280" s="9">
        <f>Y280*X280</f>
        <v/>
      </c>
      <c r="AA280" s="10">
        <f>IF(W280&gt;$AE$34,1,0)</f>
        <v/>
      </c>
      <c r="AB280">
        <f>IF(AA280=C280,1,0)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$AE$12+D281*$AE$13+E281*$AE$14+F281*$AE$15+G281*$AE$16+H281*$AE$17+I281*$AE$18+J281*$AE$19+K281*$AE$20+L281*$AE$21+M281*$AE$22+N281*$AE$23+O281*$AE$24+P281*$AE$25+Q281*$AE$26+R281*$AE$27+S281*$AE$28+T281*$AE$29+U281*$AE$30</f>
        <v/>
      </c>
      <c r="W281" s="8">
        <f>1/(1+EXP(-V281))</f>
        <v/>
      </c>
      <c r="X281" s="9">
        <f>-IF(C281=1,LN(W281),LN(1-W281))</f>
        <v/>
      </c>
      <c r="Y281" s="8">
        <f>IF(C281=1,$AE$32,$AE$33)</f>
        <v/>
      </c>
      <c r="Z281" s="9">
        <f>Y281*X281</f>
        <v/>
      </c>
      <c r="AA281" s="10">
        <f>IF(W281&gt;$AE$34,1,0)</f>
        <v/>
      </c>
      <c r="AB281">
        <f>IF(AA281=C281,1,0)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$AE$12+D282*$AE$13+E282*$AE$14+F282*$AE$15+G282*$AE$16+H282*$AE$17+I282*$AE$18+J282*$AE$19+K282*$AE$20+L282*$AE$21+M282*$AE$22+N282*$AE$23+O282*$AE$24+P282*$AE$25+Q282*$AE$26+R282*$AE$27+S282*$AE$28+T282*$AE$29+U282*$AE$30</f>
        <v/>
      </c>
      <c r="W282" s="8">
        <f>1/(1+EXP(-V282))</f>
        <v/>
      </c>
      <c r="X282" s="9">
        <f>-IF(C282=1,LN(W282),LN(1-W282))</f>
        <v/>
      </c>
      <c r="Y282" s="8">
        <f>IF(C282=1,$AE$32,$AE$33)</f>
        <v/>
      </c>
      <c r="Z282" s="9">
        <f>Y282*X282</f>
        <v/>
      </c>
      <c r="AA282" s="10">
        <f>IF(W282&gt;$AE$34,1,0)</f>
        <v/>
      </c>
      <c r="AB282">
        <f>IF(AA282=C282,1,0)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$AE$12+D283*$AE$13+E283*$AE$14+F283*$AE$15+G283*$AE$16+H283*$AE$17+I283*$AE$18+J283*$AE$19+K283*$AE$20+L283*$AE$21+M283*$AE$22+N283*$AE$23+O283*$AE$24+P283*$AE$25+Q283*$AE$26+R283*$AE$27+S283*$AE$28+T283*$AE$29+U283*$AE$30</f>
        <v/>
      </c>
      <c r="W283" s="8">
        <f>1/(1+EXP(-V283))</f>
        <v/>
      </c>
      <c r="X283" s="9">
        <f>-IF(C283=1,LN(W283),LN(1-W283))</f>
        <v/>
      </c>
      <c r="Y283" s="8">
        <f>IF(C283=1,$AE$32,$AE$33)</f>
        <v/>
      </c>
      <c r="Z283" s="9">
        <f>Y283*X283</f>
        <v/>
      </c>
      <c r="AA283" s="10">
        <f>IF(W283&gt;$AE$34,1,0)</f>
        <v/>
      </c>
      <c r="AB283">
        <f>IF(AA283=C283,1,0)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$AE$12+D284*$AE$13+E284*$AE$14+F284*$AE$15+G284*$AE$16+H284*$AE$17+I284*$AE$18+J284*$AE$19+K284*$AE$20+L284*$AE$21+M284*$AE$22+N284*$AE$23+O284*$AE$24+P284*$AE$25+Q284*$AE$26+R284*$AE$27+S284*$AE$28+T284*$AE$29+U284*$AE$30</f>
        <v/>
      </c>
      <c r="W284" s="8">
        <f>1/(1+EXP(-V284))</f>
        <v/>
      </c>
      <c r="X284" s="9">
        <f>-IF(C284=1,LN(W284),LN(1-W284))</f>
        <v/>
      </c>
      <c r="Y284" s="8">
        <f>IF(C284=1,$AE$32,$AE$33)</f>
        <v/>
      </c>
      <c r="Z284" s="9">
        <f>Y284*X284</f>
        <v/>
      </c>
      <c r="AA284" s="10">
        <f>IF(W284&gt;$AE$34,1,0)</f>
        <v/>
      </c>
      <c r="AB284">
        <f>IF(AA284=C284,1,0)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$AE$12+D285*$AE$13+E285*$AE$14+F285*$AE$15+G285*$AE$16+H285*$AE$17+I285*$AE$18+J285*$AE$19+K285*$AE$20+L285*$AE$21+M285*$AE$22+N285*$AE$23+O285*$AE$24+P285*$AE$25+Q285*$AE$26+R285*$AE$27+S285*$AE$28+T285*$AE$29+U285*$AE$30</f>
        <v/>
      </c>
      <c r="W285" s="8">
        <f>1/(1+EXP(-V285))</f>
        <v/>
      </c>
      <c r="X285" s="9">
        <f>-IF(C285=1,LN(W285),LN(1-W285))</f>
        <v/>
      </c>
      <c r="Y285" s="8">
        <f>IF(C285=1,$AE$32,$AE$33)</f>
        <v/>
      </c>
      <c r="Z285" s="9">
        <f>Y285*X285</f>
        <v/>
      </c>
      <c r="AA285" s="10">
        <f>IF(W285&gt;$AE$34,1,0)</f>
        <v/>
      </c>
      <c r="AB285">
        <f>IF(AA285=C285,1,0)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$AE$12+D286*$AE$13+E286*$AE$14+F286*$AE$15+G286*$AE$16+H286*$AE$17+I286*$AE$18+J286*$AE$19+K286*$AE$20+L286*$AE$21+M286*$AE$22+N286*$AE$23+O286*$AE$24+P286*$AE$25+Q286*$AE$26+R286*$AE$27+S286*$AE$28+T286*$AE$29+U286*$AE$30</f>
        <v/>
      </c>
      <c r="W286" s="8">
        <f>1/(1+EXP(-V286))</f>
        <v/>
      </c>
      <c r="X286" s="9">
        <f>-IF(C286=1,LN(W286),LN(1-W286))</f>
        <v/>
      </c>
      <c r="Y286" s="8">
        <f>IF(C286=1,$AE$32,$AE$33)</f>
        <v/>
      </c>
      <c r="Z286" s="9">
        <f>Y286*X286</f>
        <v/>
      </c>
      <c r="AA286" s="10">
        <f>IF(W286&gt;$AE$34,1,0)</f>
        <v/>
      </c>
      <c r="AB286">
        <f>IF(AA286=C286,1,0)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$AE$12+D287*$AE$13+E287*$AE$14+F287*$AE$15+G287*$AE$16+H287*$AE$17+I287*$AE$18+J287*$AE$19+K287*$AE$20+L287*$AE$21+M287*$AE$22+N287*$AE$23+O287*$AE$24+P287*$AE$25+Q287*$AE$26+R287*$AE$27+S287*$AE$28+T287*$AE$29+U287*$AE$30</f>
        <v/>
      </c>
      <c r="W287" s="8">
        <f>1/(1+EXP(-V287))</f>
        <v/>
      </c>
      <c r="X287" s="9">
        <f>-IF(C287=1,LN(W287),LN(1-W287))</f>
        <v/>
      </c>
      <c r="Y287" s="8">
        <f>IF(C287=1,$AE$32,$AE$33)</f>
        <v/>
      </c>
      <c r="Z287" s="9">
        <f>Y287*X287</f>
        <v/>
      </c>
      <c r="AA287" s="10">
        <f>IF(W287&gt;$AE$34,1,0)</f>
        <v/>
      </c>
      <c r="AB287">
        <f>IF(AA287=C287,1,0)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$AE$12+D288*$AE$13+E288*$AE$14+F288*$AE$15+G288*$AE$16+H288*$AE$17+I288*$AE$18+J288*$AE$19+K288*$AE$20+L288*$AE$21+M288*$AE$22+N288*$AE$23+O288*$AE$24+P288*$AE$25+Q288*$AE$26+R288*$AE$27+S288*$AE$28+T288*$AE$29+U288*$AE$30</f>
        <v/>
      </c>
      <c r="W288" s="8">
        <f>1/(1+EXP(-V288))</f>
        <v/>
      </c>
      <c r="X288" s="9">
        <f>-IF(C288=1,LN(W288),LN(1-W288))</f>
        <v/>
      </c>
      <c r="Y288" s="8">
        <f>IF(C288=1,$AE$32,$AE$33)</f>
        <v/>
      </c>
      <c r="Z288" s="9">
        <f>Y288*X288</f>
        <v/>
      </c>
      <c r="AA288" s="10">
        <f>IF(W288&gt;$AE$34,1,0)</f>
        <v/>
      </c>
      <c r="AB288">
        <f>IF(AA288=C288,1,0)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$AE$12+D289*$AE$13+E289*$AE$14+F289*$AE$15+G289*$AE$16+H289*$AE$17+I289*$AE$18+J289*$AE$19+K289*$AE$20+L289*$AE$21+M289*$AE$22+N289*$AE$23+O289*$AE$24+P289*$AE$25+Q289*$AE$26+R289*$AE$27+S289*$AE$28+T289*$AE$29+U289*$AE$30</f>
        <v/>
      </c>
      <c r="W289" s="8">
        <f>1/(1+EXP(-V289))</f>
        <v/>
      </c>
      <c r="X289" s="9">
        <f>-IF(C289=1,LN(W289),LN(1-W289))</f>
        <v/>
      </c>
      <c r="Y289" s="8">
        <f>IF(C289=1,$AE$32,$AE$33)</f>
        <v/>
      </c>
      <c r="Z289" s="9">
        <f>Y289*X289</f>
        <v/>
      </c>
      <c r="AA289" s="10">
        <f>IF(W289&gt;$AE$34,1,0)</f>
        <v/>
      </c>
      <c r="AB289">
        <f>IF(AA289=C289,1,0)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$AE$12+D290*$AE$13+E290*$AE$14+F290*$AE$15+G290*$AE$16+H290*$AE$17+I290*$AE$18+J290*$AE$19+K290*$AE$20+L290*$AE$21+M290*$AE$22+N290*$AE$23+O290*$AE$24+P290*$AE$25+Q290*$AE$26+R290*$AE$27+S290*$AE$28+T290*$AE$29+U290*$AE$30</f>
        <v/>
      </c>
      <c r="W290" s="8">
        <f>1/(1+EXP(-V290))</f>
        <v/>
      </c>
      <c r="X290" s="9">
        <f>-IF(C290=1,LN(W290),LN(1-W290))</f>
        <v/>
      </c>
      <c r="Y290" s="8">
        <f>IF(C290=1,$AE$32,$AE$33)</f>
        <v/>
      </c>
      <c r="Z290" s="9">
        <f>Y290*X290</f>
        <v/>
      </c>
      <c r="AA290" s="10">
        <f>IF(W290&gt;$AE$34,1,0)</f>
        <v/>
      </c>
      <c r="AB290">
        <f>IF(AA290=C290,1,0)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$AE$12+D291*$AE$13+E291*$AE$14+F291*$AE$15+G291*$AE$16+H291*$AE$17+I291*$AE$18+J291*$AE$19+K291*$AE$20+L291*$AE$21+M291*$AE$22+N291*$AE$23+O291*$AE$24+P291*$AE$25+Q291*$AE$26+R291*$AE$27+S291*$AE$28+T291*$AE$29+U291*$AE$30</f>
        <v/>
      </c>
      <c r="W291" s="8">
        <f>1/(1+EXP(-V291))</f>
        <v/>
      </c>
      <c r="X291" s="9">
        <f>-IF(C291=1,LN(W291),LN(1-W291))</f>
        <v/>
      </c>
      <c r="Y291" s="8">
        <f>IF(C291=1,$AE$32,$AE$33)</f>
        <v/>
      </c>
      <c r="Z291" s="9">
        <f>Y291*X291</f>
        <v/>
      </c>
      <c r="AA291" s="10">
        <f>IF(W291&gt;$AE$34,1,0)</f>
        <v/>
      </c>
      <c r="AB291">
        <f>IF(AA291=C291,1,0)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$AE$12+D292*$AE$13+E292*$AE$14+F292*$AE$15+G292*$AE$16+H292*$AE$17+I292*$AE$18+J292*$AE$19+K292*$AE$20+L292*$AE$21+M292*$AE$22+N292*$AE$23+O292*$AE$24+P292*$AE$25+Q292*$AE$26+R292*$AE$27+S292*$AE$28+T292*$AE$29+U292*$AE$30</f>
        <v/>
      </c>
      <c r="W292" s="8">
        <f>1/(1+EXP(-V292))</f>
        <v/>
      </c>
      <c r="X292" s="9">
        <f>-IF(C292=1,LN(W292),LN(1-W292))</f>
        <v/>
      </c>
      <c r="Y292" s="8">
        <f>IF(C292=1,$AE$32,$AE$33)</f>
        <v/>
      </c>
      <c r="Z292" s="9">
        <f>Y292*X292</f>
        <v/>
      </c>
      <c r="AA292" s="10">
        <f>IF(W292&gt;$AE$34,1,0)</f>
        <v/>
      </c>
      <c r="AB292">
        <f>IF(AA292=C292,1,0)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$AE$12+D293*$AE$13+E293*$AE$14+F293*$AE$15+G293*$AE$16+H293*$AE$17+I293*$AE$18+J293*$AE$19+K293*$AE$20+L293*$AE$21+M293*$AE$22+N293*$AE$23+O293*$AE$24+P293*$AE$25+Q293*$AE$26+R293*$AE$27+S293*$AE$28+T293*$AE$29+U293*$AE$30</f>
        <v/>
      </c>
      <c r="W293" s="8">
        <f>1/(1+EXP(-V293))</f>
        <v/>
      </c>
      <c r="X293" s="9">
        <f>-IF(C293=1,LN(W293),LN(1-W293))</f>
        <v/>
      </c>
      <c r="Y293" s="8">
        <f>IF(C293=1,$AE$32,$AE$33)</f>
        <v/>
      </c>
      <c r="Z293" s="9">
        <f>Y293*X293</f>
        <v/>
      </c>
      <c r="AA293" s="10">
        <f>IF(W293&gt;$AE$34,1,0)</f>
        <v/>
      </c>
      <c r="AB293">
        <f>IF(AA293=C293,1,0)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$AE$12+D294*$AE$13+E294*$AE$14+F294*$AE$15+G294*$AE$16+H294*$AE$17+I294*$AE$18+J294*$AE$19+K294*$AE$20+L294*$AE$21+M294*$AE$22+N294*$AE$23+O294*$AE$24+P294*$AE$25+Q294*$AE$26+R294*$AE$27+S294*$AE$28+T294*$AE$29+U294*$AE$30</f>
        <v/>
      </c>
      <c r="W294" s="8">
        <f>1/(1+EXP(-V294))</f>
        <v/>
      </c>
      <c r="X294" s="9">
        <f>-IF(C294=1,LN(W294),LN(1-W294))</f>
        <v/>
      </c>
      <c r="Y294" s="8">
        <f>IF(C294=1,$AE$32,$AE$33)</f>
        <v/>
      </c>
      <c r="Z294" s="9">
        <f>Y294*X294</f>
        <v/>
      </c>
      <c r="AA294" s="10">
        <f>IF(W294&gt;$AE$34,1,0)</f>
        <v/>
      </c>
      <c r="AB294">
        <f>IF(AA294=C294,1,0)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$AE$12+D295*$AE$13+E295*$AE$14+F295*$AE$15+G295*$AE$16+H295*$AE$17+I295*$AE$18+J295*$AE$19+K295*$AE$20+L295*$AE$21+M295*$AE$22+N295*$AE$23+O295*$AE$24+P295*$AE$25+Q295*$AE$26+R295*$AE$27+S295*$AE$28+T295*$AE$29+U295*$AE$30</f>
        <v/>
      </c>
      <c r="W295" s="8">
        <f>1/(1+EXP(-V295))</f>
        <v/>
      </c>
      <c r="X295" s="9">
        <f>-IF(C295=1,LN(W295),LN(1-W295))</f>
        <v/>
      </c>
      <c r="Y295" s="8">
        <f>IF(C295=1,$AE$32,$AE$33)</f>
        <v/>
      </c>
      <c r="Z295" s="9">
        <f>Y295*X295</f>
        <v/>
      </c>
      <c r="AA295" s="10">
        <f>IF(W295&gt;$AE$34,1,0)</f>
        <v/>
      </c>
      <c r="AB295">
        <f>IF(AA295=C295,1,0)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$AE$12+D296*$AE$13+E296*$AE$14+F296*$AE$15+G296*$AE$16+H296*$AE$17+I296*$AE$18+J296*$AE$19+K296*$AE$20+L296*$AE$21+M296*$AE$22+N296*$AE$23+O296*$AE$24+P296*$AE$25+Q296*$AE$26+R296*$AE$27+S296*$AE$28+T296*$AE$29+U296*$AE$30</f>
        <v/>
      </c>
      <c r="W296" s="8">
        <f>1/(1+EXP(-V296))</f>
        <v/>
      </c>
      <c r="X296" s="9">
        <f>-IF(C296=1,LN(W296),LN(1-W296))</f>
        <v/>
      </c>
      <c r="Y296" s="8">
        <f>IF(C296=1,$AE$32,$AE$33)</f>
        <v/>
      </c>
      <c r="Z296" s="9">
        <f>Y296*X296</f>
        <v/>
      </c>
      <c r="AA296" s="10">
        <f>IF(W296&gt;$AE$34,1,0)</f>
        <v/>
      </c>
      <c r="AB296">
        <f>IF(AA296=C296,1,0)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$AE$12+D297*$AE$13+E297*$AE$14+F297*$AE$15+G297*$AE$16+H297*$AE$17+I297*$AE$18+J297*$AE$19+K297*$AE$20+L297*$AE$21+M297*$AE$22+N297*$AE$23+O297*$AE$24+P297*$AE$25+Q297*$AE$26+R297*$AE$27+S297*$AE$28+T297*$AE$29+U297*$AE$30</f>
        <v/>
      </c>
      <c r="W297" s="8">
        <f>1/(1+EXP(-V297))</f>
        <v/>
      </c>
      <c r="X297" s="9">
        <f>-IF(C297=1,LN(W297),LN(1-W297))</f>
        <v/>
      </c>
      <c r="Y297" s="8">
        <f>IF(C297=1,$AE$32,$AE$33)</f>
        <v/>
      </c>
      <c r="Z297" s="9">
        <f>Y297*X297</f>
        <v/>
      </c>
      <c r="AA297" s="10">
        <f>IF(W297&gt;$AE$34,1,0)</f>
        <v/>
      </c>
      <c r="AB297">
        <f>IF(AA297=C297,1,0)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$AE$12+D298*$AE$13+E298*$AE$14+F298*$AE$15+G298*$AE$16+H298*$AE$17+I298*$AE$18+J298*$AE$19+K298*$AE$20+L298*$AE$21+M298*$AE$22+N298*$AE$23+O298*$AE$24+P298*$AE$25+Q298*$AE$26+R298*$AE$27+S298*$AE$28+T298*$AE$29+U298*$AE$30</f>
        <v/>
      </c>
      <c r="W298" s="8">
        <f>1/(1+EXP(-V298))</f>
        <v/>
      </c>
      <c r="X298" s="9">
        <f>-IF(C298=1,LN(W298),LN(1-W298))</f>
        <v/>
      </c>
      <c r="Y298" s="8">
        <f>IF(C298=1,$AE$32,$AE$33)</f>
        <v/>
      </c>
      <c r="Z298" s="9">
        <f>Y298*X298</f>
        <v/>
      </c>
      <c r="AA298" s="10">
        <f>IF(W298&gt;$AE$34,1,0)</f>
        <v/>
      </c>
      <c r="AB298">
        <f>IF(AA298=C298,1,0)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$AE$12+D299*$AE$13+E299*$AE$14+F299*$AE$15+G299*$AE$16+H299*$AE$17+I299*$AE$18+J299*$AE$19+K299*$AE$20+L299*$AE$21+M299*$AE$22+N299*$AE$23+O299*$AE$24+P299*$AE$25+Q299*$AE$26+R299*$AE$27+S299*$AE$28+T299*$AE$29+U299*$AE$30</f>
        <v/>
      </c>
      <c r="W299" s="8">
        <f>1/(1+EXP(-V299))</f>
        <v/>
      </c>
      <c r="X299" s="9">
        <f>-IF(C299=1,LN(W299),LN(1-W299))</f>
        <v/>
      </c>
      <c r="Y299" s="8">
        <f>IF(C299=1,$AE$32,$AE$33)</f>
        <v/>
      </c>
      <c r="Z299" s="9">
        <f>Y299*X299</f>
        <v/>
      </c>
      <c r="AA299" s="10">
        <f>IF(W299&gt;$AE$34,1,0)</f>
        <v/>
      </c>
      <c r="AB299">
        <f>IF(AA299=C299,1,0)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$AE$12+D300*$AE$13+E300*$AE$14+F300*$AE$15+G300*$AE$16+H300*$AE$17+I300*$AE$18+J300*$AE$19+K300*$AE$20+L300*$AE$21+M300*$AE$22+N300*$AE$23+O300*$AE$24+P300*$AE$25+Q300*$AE$26+R300*$AE$27+S300*$AE$28+T300*$AE$29+U300*$AE$30</f>
        <v/>
      </c>
      <c r="W300" s="8">
        <f>1/(1+EXP(-V300))</f>
        <v/>
      </c>
      <c r="X300" s="9">
        <f>-IF(C300=1,LN(W300),LN(1-W300))</f>
        <v/>
      </c>
      <c r="Y300" s="8">
        <f>IF(C300=1,$AE$32,$AE$33)</f>
        <v/>
      </c>
      <c r="Z300" s="9">
        <f>Y300*X300</f>
        <v/>
      </c>
      <c r="AA300" s="10">
        <f>IF(W300&gt;$AE$34,1,0)</f>
        <v/>
      </c>
      <c r="AB300">
        <f>IF(AA300=C300,1,0)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$AE$12+D301*$AE$13+E301*$AE$14+F301*$AE$15+G301*$AE$16+H301*$AE$17+I301*$AE$18+J301*$AE$19+K301*$AE$20+L301*$AE$21+M301*$AE$22+N301*$AE$23+O301*$AE$24+P301*$AE$25+Q301*$AE$26+R301*$AE$27+S301*$AE$28+T301*$AE$29+U301*$AE$30</f>
        <v/>
      </c>
      <c r="W301" s="8">
        <f>1/(1+EXP(-V301))</f>
        <v/>
      </c>
      <c r="X301" s="9">
        <f>-IF(C301=1,LN(W301),LN(1-W301))</f>
        <v/>
      </c>
      <c r="Y301" s="8">
        <f>IF(C301=1,$AE$32,$AE$33)</f>
        <v/>
      </c>
      <c r="Z301" s="9">
        <f>Y301*X301</f>
        <v/>
      </c>
      <c r="AA301" s="10">
        <f>IF(W301&gt;$AE$34,1,0)</f>
        <v/>
      </c>
      <c r="AB301">
        <f>IF(AA301=C301,1,0)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$AE$12+D302*$AE$13+E302*$AE$14+F302*$AE$15+G302*$AE$16+H302*$AE$17+I302*$AE$18+J302*$AE$19+K302*$AE$20+L302*$AE$21+M302*$AE$22+N302*$AE$23+O302*$AE$24+P302*$AE$25+Q302*$AE$26+R302*$AE$27+S302*$AE$28+T302*$AE$29+U302*$AE$30</f>
        <v/>
      </c>
      <c r="W302" s="8">
        <f>1/(1+EXP(-V302))</f>
        <v/>
      </c>
      <c r="X302" s="9">
        <f>-IF(C302=1,LN(W302),LN(1-W302))</f>
        <v/>
      </c>
      <c r="Y302" s="8">
        <f>IF(C302=1,$AE$32,$AE$33)</f>
        <v/>
      </c>
      <c r="Z302" s="9">
        <f>Y302*X302</f>
        <v/>
      </c>
      <c r="AA302" s="10">
        <f>IF(W302&gt;$AE$34,1,0)</f>
        <v/>
      </c>
      <c r="AB302">
        <f>IF(AA302=C302,1,0)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$AE$12+D303*$AE$13+E303*$AE$14+F303*$AE$15+G303*$AE$16+H303*$AE$17+I303*$AE$18+J303*$AE$19+K303*$AE$20+L303*$AE$21+M303*$AE$22+N303*$AE$23+O303*$AE$24+P303*$AE$25+Q303*$AE$26+R303*$AE$27+S303*$AE$28+T303*$AE$29+U303*$AE$30</f>
        <v/>
      </c>
      <c r="W303" s="8">
        <f>1/(1+EXP(-V303))</f>
        <v/>
      </c>
      <c r="X303" s="9">
        <f>-IF(C303=1,LN(W303),LN(1-W303))</f>
        <v/>
      </c>
      <c r="Y303" s="8">
        <f>IF(C303=1,$AE$32,$AE$33)</f>
        <v/>
      </c>
      <c r="Z303" s="9">
        <f>Y303*X303</f>
        <v/>
      </c>
      <c r="AA303" s="10">
        <f>IF(W303&gt;$AE$34,1,0)</f>
        <v/>
      </c>
      <c r="AB303">
        <f>IF(AA303=C303,1,0)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$AE$12+D304*$AE$13+E304*$AE$14+F304*$AE$15+G304*$AE$16+H304*$AE$17+I304*$AE$18+J304*$AE$19+K304*$AE$20+L304*$AE$21+M304*$AE$22+N304*$AE$23+O304*$AE$24+P304*$AE$25+Q304*$AE$26+R304*$AE$27+S304*$AE$28+T304*$AE$29+U304*$AE$30</f>
        <v/>
      </c>
      <c r="W304" s="8">
        <f>1/(1+EXP(-V304))</f>
        <v/>
      </c>
      <c r="X304" s="9">
        <f>-IF(C304=1,LN(W304),LN(1-W304))</f>
        <v/>
      </c>
      <c r="Y304" s="8">
        <f>IF(C304=1,$AE$32,$AE$33)</f>
        <v/>
      </c>
      <c r="Z304" s="9">
        <f>Y304*X304</f>
        <v/>
      </c>
      <c r="AA304" s="10">
        <f>IF(W304&gt;$AE$34,1,0)</f>
        <v/>
      </c>
      <c r="AB304">
        <f>IF(AA304=C304,1,0)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$AE$12+D305*$AE$13+E305*$AE$14+F305*$AE$15+G305*$AE$16+H305*$AE$17+I305*$AE$18+J305*$AE$19+K305*$AE$20+L305*$AE$21+M305*$AE$22+N305*$AE$23+O305*$AE$24+P305*$AE$25+Q305*$AE$26+R305*$AE$27+S305*$AE$28+T305*$AE$29+U305*$AE$30</f>
        <v/>
      </c>
      <c r="W305" s="8">
        <f>1/(1+EXP(-V305))</f>
        <v/>
      </c>
      <c r="X305" s="9">
        <f>-IF(C305=1,LN(W305),LN(1-W305))</f>
        <v/>
      </c>
      <c r="Y305" s="8">
        <f>IF(C305=1,$AE$32,$AE$33)</f>
        <v/>
      </c>
      <c r="Z305" s="9">
        <f>Y305*X305</f>
        <v/>
      </c>
      <c r="AA305" s="10">
        <f>IF(W305&gt;$AE$34,1,0)</f>
        <v/>
      </c>
      <c r="AB305">
        <f>IF(AA305=C305,1,0)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$AE$12+D306*$AE$13+E306*$AE$14+F306*$AE$15+G306*$AE$16+H306*$AE$17+I306*$AE$18+J306*$AE$19+K306*$AE$20+L306*$AE$21+M306*$AE$22+N306*$AE$23+O306*$AE$24+P306*$AE$25+Q306*$AE$26+R306*$AE$27+S306*$AE$28+T306*$AE$29+U306*$AE$30</f>
        <v/>
      </c>
      <c r="W306" s="8">
        <f>1/(1+EXP(-V306))</f>
        <v/>
      </c>
      <c r="X306" s="9">
        <f>-IF(C306=1,LN(W306),LN(1-W306))</f>
        <v/>
      </c>
      <c r="Y306" s="8">
        <f>IF(C306=1,$AE$32,$AE$33)</f>
        <v/>
      </c>
      <c r="Z306" s="9">
        <f>Y306*X306</f>
        <v/>
      </c>
      <c r="AA306" s="10">
        <f>IF(W306&gt;$AE$34,1,0)</f>
        <v/>
      </c>
      <c r="AB306">
        <f>IF(AA306=C306,1,0)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$AE$12+D307*$AE$13+E307*$AE$14+F307*$AE$15+G307*$AE$16+H307*$AE$17+I307*$AE$18+J307*$AE$19+K307*$AE$20+L307*$AE$21+M307*$AE$22+N307*$AE$23+O307*$AE$24+P307*$AE$25+Q307*$AE$26+R307*$AE$27+S307*$AE$28+T307*$AE$29+U307*$AE$30</f>
        <v/>
      </c>
      <c r="W307" s="8">
        <f>1/(1+EXP(-V307))</f>
        <v/>
      </c>
      <c r="X307" s="9">
        <f>-IF(C307=1,LN(W307),LN(1-W307))</f>
        <v/>
      </c>
      <c r="Y307" s="8">
        <f>IF(C307=1,$AE$32,$AE$33)</f>
        <v/>
      </c>
      <c r="Z307" s="9">
        <f>Y307*X307</f>
        <v/>
      </c>
      <c r="AA307" s="10">
        <f>IF(W307&gt;$AE$34,1,0)</f>
        <v/>
      </c>
      <c r="AB307">
        <f>IF(AA307=C307,1,0)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$AE$12+D308*$AE$13+E308*$AE$14+F308*$AE$15+G308*$AE$16+H308*$AE$17+I308*$AE$18+J308*$AE$19+K308*$AE$20+L308*$AE$21+M308*$AE$22+N308*$AE$23+O308*$AE$24+P308*$AE$25+Q308*$AE$26+R308*$AE$27+S308*$AE$28+T308*$AE$29+U308*$AE$30</f>
        <v/>
      </c>
      <c r="W308" s="8">
        <f>1/(1+EXP(-V308))</f>
        <v/>
      </c>
      <c r="X308" s="9">
        <f>-IF(C308=1,LN(W308),LN(1-W308))</f>
        <v/>
      </c>
      <c r="Y308" s="8">
        <f>IF(C308=1,$AE$32,$AE$33)</f>
        <v/>
      </c>
      <c r="Z308" s="9">
        <f>Y308*X308</f>
        <v/>
      </c>
      <c r="AA308" s="10">
        <f>IF(W308&gt;$AE$34,1,0)</f>
        <v/>
      </c>
      <c r="AB308">
        <f>IF(AA308=C308,1,0)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$AE$12+D309*$AE$13+E309*$AE$14+F309*$AE$15+G309*$AE$16+H309*$AE$17+I309*$AE$18+J309*$AE$19+K309*$AE$20+L309*$AE$21+M309*$AE$22+N309*$AE$23+O309*$AE$24+P309*$AE$25+Q309*$AE$26+R309*$AE$27+S309*$AE$28+T309*$AE$29+U309*$AE$30</f>
        <v/>
      </c>
      <c r="W309" s="8">
        <f>1/(1+EXP(-V309))</f>
        <v/>
      </c>
      <c r="X309" s="9">
        <f>-IF(C309=1,LN(W309),LN(1-W309))</f>
        <v/>
      </c>
      <c r="Y309" s="8">
        <f>IF(C309=1,$AE$32,$AE$33)</f>
        <v/>
      </c>
      <c r="Z309" s="9">
        <f>Y309*X309</f>
        <v/>
      </c>
      <c r="AA309" s="10">
        <f>IF(W309&gt;$AE$34,1,0)</f>
        <v/>
      </c>
      <c r="AB309">
        <f>IF(AA309=C309,1,0)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$AE$12+D310*$AE$13+E310*$AE$14+F310*$AE$15+G310*$AE$16+H310*$AE$17+I310*$AE$18+J310*$AE$19+K310*$AE$20+L310*$AE$21+M310*$AE$22+N310*$AE$23+O310*$AE$24+P310*$AE$25+Q310*$AE$26+R310*$AE$27+S310*$AE$28+T310*$AE$29+U310*$AE$30</f>
        <v/>
      </c>
      <c r="W310" s="8">
        <f>1/(1+EXP(-V310))</f>
        <v/>
      </c>
      <c r="X310" s="9">
        <f>-IF(C310=1,LN(W310),LN(1-W310))</f>
        <v/>
      </c>
      <c r="Y310" s="8">
        <f>IF(C310=1,$AE$32,$AE$33)</f>
        <v/>
      </c>
      <c r="Z310" s="9">
        <f>Y310*X310</f>
        <v/>
      </c>
      <c r="AA310" s="10">
        <f>IF(W310&gt;$AE$34,1,0)</f>
        <v/>
      </c>
      <c r="AB310">
        <f>IF(AA310=C310,1,0)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$AE$12+D311*$AE$13+E311*$AE$14+F311*$AE$15+G311*$AE$16+H311*$AE$17+I311*$AE$18+J311*$AE$19+K311*$AE$20+L311*$AE$21+M311*$AE$22+N311*$AE$23+O311*$AE$24+P311*$AE$25+Q311*$AE$26+R311*$AE$27+S311*$AE$28+T311*$AE$29+U311*$AE$30</f>
        <v/>
      </c>
      <c r="W311" s="8">
        <f>1/(1+EXP(-V311))</f>
        <v/>
      </c>
      <c r="X311" s="9">
        <f>-IF(C311=1,LN(W311),LN(1-W311))</f>
        <v/>
      </c>
      <c r="Y311" s="8">
        <f>IF(C311=1,$AE$32,$AE$33)</f>
        <v/>
      </c>
      <c r="Z311" s="9">
        <f>Y311*X311</f>
        <v/>
      </c>
      <c r="AA311" s="10">
        <f>IF(W311&gt;$AE$34,1,0)</f>
        <v/>
      </c>
      <c r="AB311">
        <f>IF(AA311=C311,1,0)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$AE$12+D312*$AE$13+E312*$AE$14+F312*$AE$15+G312*$AE$16+H312*$AE$17+I312*$AE$18+J312*$AE$19+K312*$AE$20+L312*$AE$21+M312*$AE$22+N312*$AE$23+O312*$AE$24+P312*$AE$25+Q312*$AE$26+R312*$AE$27+S312*$AE$28+T312*$AE$29+U312*$AE$30</f>
        <v/>
      </c>
      <c r="W312" s="8">
        <f>1/(1+EXP(-V312))</f>
        <v/>
      </c>
      <c r="X312" s="9">
        <f>-IF(C312=1,LN(W312),LN(1-W312))</f>
        <v/>
      </c>
      <c r="Y312" s="8">
        <f>IF(C312=1,$AE$32,$AE$33)</f>
        <v/>
      </c>
      <c r="Z312" s="9">
        <f>Y312*X312</f>
        <v/>
      </c>
      <c r="AA312" s="10">
        <f>IF(W312&gt;$AE$34,1,0)</f>
        <v/>
      </c>
      <c r="AB312">
        <f>IF(AA312=C312,1,0)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$AE$12+D313*$AE$13+E313*$AE$14+F313*$AE$15+G313*$AE$16+H313*$AE$17+I313*$AE$18+J313*$AE$19+K313*$AE$20+L313*$AE$21+M313*$AE$22+N313*$AE$23+O313*$AE$24+P313*$AE$25+Q313*$AE$26+R313*$AE$27+S313*$AE$28+T313*$AE$29+U313*$AE$30</f>
        <v/>
      </c>
      <c r="W313" s="8">
        <f>1/(1+EXP(-V313))</f>
        <v/>
      </c>
      <c r="X313" s="9">
        <f>-IF(C313=1,LN(W313),LN(1-W313))</f>
        <v/>
      </c>
      <c r="Y313" s="8">
        <f>IF(C313=1,$AE$32,$AE$33)</f>
        <v/>
      </c>
      <c r="Z313" s="9">
        <f>Y313*X313</f>
        <v/>
      </c>
      <c r="AA313" s="10">
        <f>IF(W313&gt;$AE$34,1,0)</f>
        <v/>
      </c>
      <c r="AB313">
        <f>IF(AA313=C313,1,0)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$AE$12+D314*$AE$13+E314*$AE$14+F314*$AE$15+G314*$AE$16+H314*$AE$17+I314*$AE$18+J314*$AE$19+K314*$AE$20+L314*$AE$21+M314*$AE$22+N314*$AE$23+O314*$AE$24+P314*$AE$25+Q314*$AE$26+R314*$AE$27+S314*$AE$28+T314*$AE$29+U314*$AE$30</f>
        <v/>
      </c>
      <c r="W314" s="8">
        <f>1/(1+EXP(-V314))</f>
        <v/>
      </c>
      <c r="X314" s="9">
        <f>-IF(C314=1,LN(W314),LN(1-W314))</f>
        <v/>
      </c>
      <c r="Y314" s="8">
        <f>IF(C314=1,$AE$32,$AE$33)</f>
        <v/>
      </c>
      <c r="Z314" s="9">
        <f>Y314*X314</f>
        <v/>
      </c>
      <c r="AA314" s="10">
        <f>IF(W314&gt;$AE$34,1,0)</f>
        <v/>
      </c>
      <c r="AB314">
        <f>IF(AA314=C314,1,0)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$AE$12+D315*$AE$13+E315*$AE$14+F315*$AE$15+G315*$AE$16+H315*$AE$17+I315*$AE$18+J315*$AE$19+K315*$AE$20+L315*$AE$21+M315*$AE$22+N315*$AE$23+O315*$AE$24+P315*$AE$25+Q315*$AE$26+R315*$AE$27+S315*$AE$28+T315*$AE$29+U315*$AE$30</f>
        <v/>
      </c>
      <c r="W315" s="8">
        <f>1/(1+EXP(-V315))</f>
        <v/>
      </c>
      <c r="X315" s="9">
        <f>-IF(C315=1,LN(W315),LN(1-W315))</f>
        <v/>
      </c>
      <c r="Y315" s="8">
        <f>IF(C315=1,$AE$32,$AE$33)</f>
        <v/>
      </c>
      <c r="Z315" s="9">
        <f>Y315*X315</f>
        <v/>
      </c>
      <c r="AA315" s="10">
        <f>IF(W315&gt;$AE$34,1,0)</f>
        <v/>
      </c>
      <c r="AB315">
        <f>IF(AA315=C315,1,0)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$AE$12+D316*$AE$13+E316*$AE$14+F316*$AE$15+G316*$AE$16+H316*$AE$17+I316*$AE$18+J316*$AE$19+K316*$AE$20+L316*$AE$21+M316*$AE$22+N316*$AE$23+O316*$AE$24+P316*$AE$25+Q316*$AE$26+R316*$AE$27+S316*$AE$28+T316*$AE$29+U316*$AE$30</f>
        <v/>
      </c>
      <c r="W316" s="8">
        <f>1/(1+EXP(-V316))</f>
        <v/>
      </c>
      <c r="X316" s="9">
        <f>-IF(C316=1,LN(W316),LN(1-W316))</f>
        <v/>
      </c>
      <c r="Y316" s="8">
        <f>IF(C316=1,$AE$32,$AE$33)</f>
        <v/>
      </c>
      <c r="Z316" s="9">
        <f>Y316*X316</f>
        <v/>
      </c>
      <c r="AA316" s="10">
        <f>IF(W316&gt;$AE$34,1,0)</f>
        <v/>
      </c>
      <c r="AB316">
        <f>IF(AA316=C316,1,0)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$AE$12+D317*$AE$13+E317*$AE$14+F317*$AE$15+G317*$AE$16+H317*$AE$17+I317*$AE$18+J317*$AE$19+K317*$AE$20+L317*$AE$21+M317*$AE$22+N317*$AE$23+O317*$AE$24+P317*$AE$25+Q317*$AE$26+R317*$AE$27+S317*$AE$28+T317*$AE$29+U317*$AE$30</f>
        <v/>
      </c>
      <c r="W317" s="8">
        <f>1/(1+EXP(-V317))</f>
        <v/>
      </c>
      <c r="X317" s="9">
        <f>-IF(C317=1,LN(W317),LN(1-W317))</f>
        <v/>
      </c>
      <c r="Y317" s="8">
        <f>IF(C317=1,$AE$32,$AE$33)</f>
        <v/>
      </c>
      <c r="Z317" s="9">
        <f>Y317*X317</f>
        <v/>
      </c>
      <c r="AA317" s="10">
        <f>IF(W317&gt;$AE$34,1,0)</f>
        <v/>
      </c>
      <c r="AB317">
        <f>IF(AA317=C317,1,0)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$AE$12+D318*$AE$13+E318*$AE$14+F318*$AE$15+G318*$AE$16+H318*$AE$17+I318*$AE$18+J318*$AE$19+K318*$AE$20+L318*$AE$21+M318*$AE$22+N318*$AE$23+O318*$AE$24+P318*$AE$25+Q318*$AE$26+R318*$AE$27+S318*$AE$28+T318*$AE$29+U318*$AE$30</f>
        <v/>
      </c>
      <c r="W318" s="8">
        <f>1/(1+EXP(-V318))</f>
        <v/>
      </c>
      <c r="X318" s="9">
        <f>-IF(C318=1,LN(W318),LN(1-W318))</f>
        <v/>
      </c>
      <c r="Y318" s="8">
        <f>IF(C318=1,$AE$32,$AE$33)</f>
        <v/>
      </c>
      <c r="Z318" s="9">
        <f>Y318*X318</f>
        <v/>
      </c>
      <c r="AA318" s="10">
        <f>IF(W318&gt;$AE$34,1,0)</f>
        <v/>
      </c>
      <c r="AB318">
        <f>IF(AA318=C318,1,0)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$AE$12+D319*$AE$13+E319*$AE$14+F319*$AE$15+G319*$AE$16+H319*$AE$17+I319*$AE$18+J319*$AE$19+K319*$AE$20+L319*$AE$21+M319*$AE$22+N319*$AE$23+O319*$AE$24+P319*$AE$25+Q319*$AE$26+R319*$AE$27+S319*$AE$28+T319*$AE$29+U319*$AE$30</f>
        <v/>
      </c>
      <c r="W319" s="8">
        <f>1/(1+EXP(-V319))</f>
        <v/>
      </c>
      <c r="X319" s="9">
        <f>-IF(C319=1,LN(W319),LN(1-W319))</f>
        <v/>
      </c>
      <c r="Y319" s="8">
        <f>IF(C319=1,$AE$32,$AE$33)</f>
        <v/>
      </c>
      <c r="Z319" s="9">
        <f>Y319*X319</f>
        <v/>
      </c>
      <c r="AA319" s="10">
        <f>IF(W319&gt;$AE$34,1,0)</f>
        <v/>
      </c>
      <c r="AB319">
        <f>IF(AA319=C319,1,0)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$AE$12+D320*$AE$13+E320*$AE$14+F320*$AE$15+G320*$AE$16+H320*$AE$17+I320*$AE$18+J320*$AE$19+K320*$AE$20+L320*$AE$21+M320*$AE$22+N320*$AE$23+O320*$AE$24+P320*$AE$25+Q320*$AE$26+R320*$AE$27+S320*$AE$28+T320*$AE$29+U320*$AE$30</f>
        <v/>
      </c>
      <c r="W320" s="8">
        <f>1/(1+EXP(-V320))</f>
        <v/>
      </c>
      <c r="X320" s="9">
        <f>-IF(C320=1,LN(W320),LN(1-W320))</f>
        <v/>
      </c>
      <c r="Y320" s="8">
        <f>IF(C320=1,$AE$32,$AE$33)</f>
        <v/>
      </c>
      <c r="Z320" s="9">
        <f>Y320*X320</f>
        <v/>
      </c>
      <c r="AA320" s="10">
        <f>IF(W320&gt;$AE$34,1,0)</f>
        <v/>
      </c>
      <c r="AB320">
        <f>IF(AA320=C320,1,0)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$AE$12+D321*$AE$13+E321*$AE$14+F321*$AE$15+G321*$AE$16+H321*$AE$17+I321*$AE$18+J321*$AE$19+K321*$AE$20+L321*$AE$21+M321*$AE$22+N321*$AE$23+O321*$AE$24+P321*$AE$25+Q321*$AE$26+R321*$AE$27+S321*$AE$28+T321*$AE$29+U321*$AE$30</f>
        <v/>
      </c>
      <c r="W321" s="8">
        <f>1/(1+EXP(-V321))</f>
        <v/>
      </c>
      <c r="X321" s="9">
        <f>-IF(C321=1,LN(W321),LN(1-W321))</f>
        <v/>
      </c>
      <c r="Y321" s="8">
        <f>IF(C321=1,$AE$32,$AE$33)</f>
        <v/>
      </c>
      <c r="Z321" s="9">
        <f>Y321*X321</f>
        <v/>
      </c>
      <c r="AA321" s="10">
        <f>IF(W321&gt;$AE$34,1,0)</f>
        <v/>
      </c>
      <c r="AB321">
        <f>IF(AA321=C321,1,0)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$AE$12+D322*$AE$13+E322*$AE$14+F322*$AE$15+G322*$AE$16+H322*$AE$17+I322*$AE$18+J322*$AE$19+K322*$AE$20+L322*$AE$21+M322*$AE$22+N322*$AE$23+O322*$AE$24+P322*$AE$25+Q322*$AE$26+R322*$AE$27+S322*$AE$28+T322*$AE$29+U322*$AE$30</f>
        <v/>
      </c>
      <c r="W322" s="8">
        <f>1/(1+EXP(-V322))</f>
        <v/>
      </c>
      <c r="X322" s="9">
        <f>-IF(C322=1,LN(W322),LN(1-W322))</f>
        <v/>
      </c>
      <c r="Y322" s="8">
        <f>IF(C322=1,$AE$32,$AE$33)</f>
        <v/>
      </c>
      <c r="Z322" s="9">
        <f>Y322*X322</f>
        <v/>
      </c>
      <c r="AA322" s="10">
        <f>IF(W322&gt;$AE$34,1,0)</f>
        <v/>
      </c>
      <c r="AB322">
        <f>IF(AA322=C322,1,0)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$AE$12+D323*$AE$13+E323*$AE$14+F323*$AE$15+G323*$AE$16+H323*$AE$17+I323*$AE$18+J323*$AE$19+K323*$AE$20+L323*$AE$21+M323*$AE$22+N323*$AE$23+O323*$AE$24+P323*$AE$25+Q323*$AE$26+R323*$AE$27+S323*$AE$28+T323*$AE$29+U323*$AE$30</f>
        <v/>
      </c>
      <c r="W323" s="8">
        <f>1/(1+EXP(-V323))</f>
        <v/>
      </c>
      <c r="X323" s="9">
        <f>-IF(C323=1,LN(W323),LN(1-W323))</f>
        <v/>
      </c>
      <c r="Y323" s="8">
        <f>IF(C323=1,$AE$32,$AE$33)</f>
        <v/>
      </c>
      <c r="Z323" s="9">
        <f>Y323*X323</f>
        <v/>
      </c>
      <c r="AA323" s="10">
        <f>IF(W323&gt;$AE$34,1,0)</f>
        <v/>
      </c>
      <c r="AB323">
        <f>IF(AA323=C323,1,0)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$AE$12+D324*$AE$13+E324*$AE$14+F324*$AE$15+G324*$AE$16+H324*$AE$17+I324*$AE$18+J324*$AE$19+K324*$AE$20+L324*$AE$21+M324*$AE$22+N324*$AE$23+O324*$AE$24+P324*$AE$25+Q324*$AE$26+R324*$AE$27+S324*$AE$28+T324*$AE$29+U324*$AE$30</f>
        <v/>
      </c>
      <c r="W324" s="8">
        <f>1/(1+EXP(-V324))</f>
        <v/>
      </c>
      <c r="X324" s="9">
        <f>-IF(C324=1,LN(W324),LN(1-W324))</f>
        <v/>
      </c>
      <c r="Y324" s="8">
        <f>IF(C324=1,$AE$32,$AE$33)</f>
        <v/>
      </c>
      <c r="Z324" s="9">
        <f>Y324*X324</f>
        <v/>
      </c>
      <c r="AA324" s="10">
        <f>IF(W324&gt;$AE$34,1,0)</f>
        <v/>
      </c>
      <c r="AB324">
        <f>IF(AA324=C324,1,0)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$AE$12+D325*$AE$13+E325*$AE$14+F325*$AE$15+G325*$AE$16+H325*$AE$17+I325*$AE$18+J325*$AE$19+K325*$AE$20+L325*$AE$21+M325*$AE$22+N325*$AE$23+O325*$AE$24+P325*$AE$25+Q325*$AE$26+R325*$AE$27+S325*$AE$28+T325*$AE$29+U325*$AE$30</f>
        <v/>
      </c>
      <c r="W325" s="8">
        <f>1/(1+EXP(-V325))</f>
        <v/>
      </c>
      <c r="X325" s="9">
        <f>-IF(C325=1,LN(W325),LN(1-W325))</f>
        <v/>
      </c>
      <c r="Y325" s="8">
        <f>IF(C325=1,$AE$32,$AE$33)</f>
        <v/>
      </c>
      <c r="Z325" s="9">
        <f>Y325*X325</f>
        <v/>
      </c>
      <c r="AA325" s="10">
        <f>IF(W325&gt;$AE$34,1,0)</f>
        <v/>
      </c>
      <c r="AB325">
        <f>IF(AA325=C325,1,0)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$AE$12+D326*$AE$13+E326*$AE$14+F326*$AE$15+G326*$AE$16+H326*$AE$17+I326*$AE$18+J326*$AE$19+K326*$AE$20+L326*$AE$21+M326*$AE$22+N326*$AE$23+O326*$AE$24+P326*$AE$25+Q326*$AE$26+R326*$AE$27+S326*$AE$28+T326*$AE$29+U326*$AE$30</f>
        <v/>
      </c>
      <c r="W326" s="8">
        <f>1/(1+EXP(-V326))</f>
        <v/>
      </c>
      <c r="X326" s="9">
        <f>-IF(C326=1,LN(W326),LN(1-W326))</f>
        <v/>
      </c>
      <c r="Y326" s="8">
        <f>IF(C326=1,$AE$32,$AE$33)</f>
        <v/>
      </c>
      <c r="Z326" s="9">
        <f>Y326*X326</f>
        <v/>
      </c>
      <c r="AA326" s="10">
        <f>IF(W326&gt;$AE$34,1,0)</f>
        <v/>
      </c>
      <c r="AB326">
        <f>IF(AA326=C326,1,0)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$AE$12+D327*$AE$13+E327*$AE$14+F327*$AE$15+G327*$AE$16+H327*$AE$17+I327*$AE$18+J327*$AE$19+K327*$AE$20+L327*$AE$21+M327*$AE$22+N327*$AE$23+O327*$AE$24+P327*$AE$25+Q327*$AE$26+R327*$AE$27+S327*$AE$28+T327*$AE$29+U327*$AE$30</f>
        <v/>
      </c>
      <c r="W327" s="8">
        <f>1/(1+EXP(-V327))</f>
        <v/>
      </c>
      <c r="X327" s="9">
        <f>-IF(C327=1,LN(W327),LN(1-W327))</f>
        <v/>
      </c>
      <c r="Y327" s="8">
        <f>IF(C327=1,$AE$32,$AE$33)</f>
        <v/>
      </c>
      <c r="Z327" s="9">
        <f>Y327*X327</f>
        <v/>
      </c>
      <c r="AA327" s="10">
        <f>IF(W327&gt;$AE$34,1,0)</f>
        <v/>
      </c>
      <c r="AB327">
        <f>IF(AA327=C327,1,0)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$AE$12+D328*$AE$13+E328*$AE$14+F328*$AE$15+G328*$AE$16+H328*$AE$17+I328*$AE$18+J328*$AE$19+K328*$AE$20+L328*$AE$21+M328*$AE$22+N328*$AE$23+O328*$AE$24+P328*$AE$25+Q328*$AE$26+R328*$AE$27+S328*$AE$28+T328*$AE$29+U328*$AE$30</f>
        <v/>
      </c>
      <c r="W328" s="8">
        <f>1/(1+EXP(-V328))</f>
        <v/>
      </c>
      <c r="X328" s="9">
        <f>-IF(C328=1,LN(W328),LN(1-W328))</f>
        <v/>
      </c>
      <c r="Y328" s="8">
        <f>IF(C328=1,$AE$32,$AE$33)</f>
        <v/>
      </c>
      <c r="Z328" s="9">
        <f>Y328*X328</f>
        <v/>
      </c>
      <c r="AA328" s="10">
        <f>IF(W328&gt;$AE$34,1,0)</f>
        <v/>
      </c>
      <c r="AB328">
        <f>IF(AA328=C328,1,0)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$AE$12+D329*$AE$13+E329*$AE$14+F329*$AE$15+G329*$AE$16+H329*$AE$17+I329*$AE$18+J329*$AE$19+K329*$AE$20+L329*$AE$21+M329*$AE$22+N329*$AE$23+O329*$AE$24+P329*$AE$25+Q329*$AE$26+R329*$AE$27+S329*$AE$28+T329*$AE$29+U329*$AE$30</f>
        <v/>
      </c>
      <c r="W329" s="8">
        <f>1/(1+EXP(-V329))</f>
        <v/>
      </c>
      <c r="X329" s="9">
        <f>-IF(C329=1,LN(W329),LN(1-W329))</f>
        <v/>
      </c>
      <c r="Y329" s="8">
        <f>IF(C329=1,$AE$32,$AE$33)</f>
        <v/>
      </c>
      <c r="Z329" s="9">
        <f>Y329*X329</f>
        <v/>
      </c>
      <c r="AA329" s="10">
        <f>IF(W329&gt;$AE$34,1,0)</f>
        <v/>
      </c>
      <c r="AB329">
        <f>IF(AA329=C329,1,0)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$AE$12+D330*$AE$13+E330*$AE$14+F330*$AE$15+G330*$AE$16+H330*$AE$17+I330*$AE$18+J330*$AE$19+K330*$AE$20+L330*$AE$21+M330*$AE$22+N330*$AE$23+O330*$AE$24+P330*$AE$25+Q330*$AE$26+R330*$AE$27+S330*$AE$28+T330*$AE$29+U330*$AE$30</f>
        <v/>
      </c>
      <c r="W330" s="8">
        <f>1/(1+EXP(-V330))</f>
        <v/>
      </c>
      <c r="X330" s="9">
        <f>-IF(C330=1,LN(W330),LN(1-W330))</f>
        <v/>
      </c>
      <c r="Y330" s="8">
        <f>IF(C330=1,$AE$32,$AE$33)</f>
        <v/>
      </c>
      <c r="Z330" s="9">
        <f>Y330*X330</f>
        <v/>
      </c>
      <c r="AA330" s="10">
        <f>IF(W330&gt;$AE$34,1,0)</f>
        <v/>
      </c>
      <c r="AB330">
        <f>IF(AA330=C330,1,0)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$AE$12+D331*$AE$13+E331*$AE$14+F331*$AE$15+G331*$AE$16+H331*$AE$17+I331*$AE$18+J331*$AE$19+K331*$AE$20+L331*$AE$21+M331*$AE$22+N331*$AE$23+O331*$AE$24+P331*$AE$25+Q331*$AE$26+R331*$AE$27+S331*$AE$28+T331*$AE$29+U331*$AE$30</f>
        <v/>
      </c>
      <c r="W331" s="8">
        <f>1/(1+EXP(-V331))</f>
        <v/>
      </c>
      <c r="X331" s="9">
        <f>-IF(C331=1,LN(W331),LN(1-W331))</f>
        <v/>
      </c>
      <c r="Y331" s="8">
        <f>IF(C331=1,$AE$32,$AE$33)</f>
        <v/>
      </c>
      <c r="Z331" s="9">
        <f>Y331*X331</f>
        <v/>
      </c>
      <c r="AA331" s="10">
        <f>IF(W331&gt;$AE$34,1,0)</f>
        <v/>
      </c>
      <c r="AB331">
        <f>IF(AA331=C331,1,0)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$AE$12+D332*$AE$13+E332*$AE$14+F332*$AE$15+G332*$AE$16+H332*$AE$17+I332*$AE$18+J332*$AE$19+K332*$AE$20+L332*$AE$21+M332*$AE$22+N332*$AE$23+O332*$AE$24+P332*$AE$25+Q332*$AE$26+R332*$AE$27+S332*$AE$28+T332*$AE$29+U332*$AE$30</f>
        <v/>
      </c>
      <c r="W332" s="8">
        <f>1/(1+EXP(-V332))</f>
        <v/>
      </c>
      <c r="X332" s="9">
        <f>-IF(C332=1,LN(W332),LN(1-W332))</f>
        <v/>
      </c>
      <c r="Y332" s="8">
        <f>IF(C332=1,$AE$32,$AE$33)</f>
        <v/>
      </c>
      <c r="Z332" s="9">
        <f>Y332*X332</f>
        <v/>
      </c>
      <c r="AA332" s="10">
        <f>IF(W332&gt;$AE$34,1,0)</f>
        <v/>
      </c>
      <c r="AB332">
        <f>IF(AA332=C332,1,0)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$AE$12+D333*$AE$13+E333*$AE$14+F333*$AE$15+G333*$AE$16+H333*$AE$17+I333*$AE$18+J333*$AE$19+K333*$AE$20+L333*$AE$21+M333*$AE$22+N333*$AE$23+O333*$AE$24+P333*$AE$25+Q333*$AE$26+R333*$AE$27+S333*$AE$28+T333*$AE$29+U333*$AE$30</f>
        <v/>
      </c>
      <c r="W333" s="8">
        <f>1/(1+EXP(-V333))</f>
        <v/>
      </c>
      <c r="X333" s="9">
        <f>-IF(C333=1,LN(W333),LN(1-W333))</f>
        <v/>
      </c>
      <c r="Y333" s="8">
        <f>IF(C333=1,$AE$32,$AE$33)</f>
        <v/>
      </c>
      <c r="Z333" s="9">
        <f>Y333*X333</f>
        <v/>
      </c>
      <c r="AA333" s="10">
        <f>IF(W333&gt;$AE$34,1,0)</f>
        <v/>
      </c>
      <c r="AB333">
        <f>IF(AA333=C333,1,0)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$AE$12+D334*$AE$13+E334*$AE$14+F334*$AE$15+G334*$AE$16+H334*$AE$17+I334*$AE$18+J334*$AE$19+K334*$AE$20+L334*$AE$21+M334*$AE$22+N334*$AE$23+O334*$AE$24+P334*$AE$25+Q334*$AE$26+R334*$AE$27+S334*$AE$28+T334*$AE$29+U334*$AE$30</f>
        <v/>
      </c>
      <c r="W334" s="8">
        <f>1/(1+EXP(-V334))</f>
        <v/>
      </c>
      <c r="X334" s="9">
        <f>-IF(C334=1,LN(W334),LN(1-W334))</f>
        <v/>
      </c>
      <c r="Y334" s="8">
        <f>IF(C334=1,$AE$32,$AE$33)</f>
        <v/>
      </c>
      <c r="Z334" s="9">
        <f>Y334*X334</f>
        <v/>
      </c>
      <c r="AA334" s="10">
        <f>IF(W334&gt;$AE$34,1,0)</f>
        <v/>
      </c>
      <c r="AB334">
        <f>IF(AA334=C334,1,0)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$AE$12+D335*$AE$13+E335*$AE$14+F335*$AE$15+G335*$AE$16+H335*$AE$17+I335*$AE$18+J335*$AE$19+K335*$AE$20+L335*$AE$21+M335*$AE$22+N335*$AE$23+O335*$AE$24+P335*$AE$25+Q335*$AE$26+R335*$AE$27+S335*$AE$28+T335*$AE$29+U335*$AE$30</f>
        <v/>
      </c>
      <c r="W335" s="8">
        <f>1/(1+EXP(-V335))</f>
        <v/>
      </c>
      <c r="X335" s="9">
        <f>-IF(C335=1,LN(W335),LN(1-W335))</f>
        <v/>
      </c>
      <c r="Y335" s="8">
        <f>IF(C335=1,$AE$32,$AE$33)</f>
        <v/>
      </c>
      <c r="Z335" s="9">
        <f>Y335*X335</f>
        <v/>
      </c>
      <c r="AA335" s="10">
        <f>IF(W335&gt;$AE$34,1,0)</f>
        <v/>
      </c>
      <c r="AB335">
        <f>IF(AA335=C335,1,0)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$AE$12+D336*$AE$13+E336*$AE$14+F336*$AE$15+G336*$AE$16+H336*$AE$17+I336*$AE$18+J336*$AE$19+K336*$AE$20+L336*$AE$21+M336*$AE$22+N336*$AE$23+O336*$AE$24+P336*$AE$25+Q336*$AE$26+R336*$AE$27+S336*$AE$28+T336*$AE$29+U336*$AE$30</f>
        <v/>
      </c>
      <c r="W336" s="8">
        <f>1/(1+EXP(-V336))</f>
        <v/>
      </c>
      <c r="X336" s="9">
        <f>-IF(C336=1,LN(W336),LN(1-W336))</f>
        <v/>
      </c>
      <c r="Y336" s="8">
        <f>IF(C336=1,$AE$32,$AE$33)</f>
        <v/>
      </c>
      <c r="Z336" s="9">
        <f>Y336*X336</f>
        <v/>
      </c>
      <c r="AA336" s="10">
        <f>IF(W336&gt;$AE$34,1,0)</f>
        <v/>
      </c>
      <c r="AB336">
        <f>IF(AA336=C336,1,0)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$AE$12+D337*$AE$13+E337*$AE$14+F337*$AE$15+G337*$AE$16+H337*$AE$17+I337*$AE$18+J337*$AE$19+K337*$AE$20+L337*$AE$21+M337*$AE$22+N337*$AE$23+O337*$AE$24+P337*$AE$25+Q337*$AE$26+R337*$AE$27+S337*$AE$28+T337*$AE$29+U337*$AE$30</f>
        <v/>
      </c>
      <c r="W337" s="8">
        <f>1/(1+EXP(-V337))</f>
        <v/>
      </c>
      <c r="X337" s="9">
        <f>-IF(C337=1,LN(W337),LN(1-W337))</f>
        <v/>
      </c>
      <c r="Y337" s="8">
        <f>IF(C337=1,$AE$32,$AE$33)</f>
        <v/>
      </c>
      <c r="Z337" s="9">
        <f>Y337*X337</f>
        <v/>
      </c>
      <c r="AA337" s="10">
        <f>IF(W337&gt;$AE$34,1,0)</f>
        <v/>
      </c>
      <c r="AB337">
        <f>IF(AA337=C337,1,0)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$AE$12+D338*$AE$13+E338*$AE$14+F338*$AE$15+G338*$AE$16+H338*$AE$17+I338*$AE$18+J338*$AE$19+K338*$AE$20+L338*$AE$21+M338*$AE$22+N338*$AE$23+O338*$AE$24+P338*$AE$25+Q338*$AE$26+R338*$AE$27+S338*$AE$28+T338*$AE$29+U338*$AE$30</f>
        <v/>
      </c>
      <c r="W338" s="8">
        <f>1/(1+EXP(-V338))</f>
        <v/>
      </c>
      <c r="X338" s="9">
        <f>-IF(C338=1,LN(W338),LN(1-W338))</f>
        <v/>
      </c>
      <c r="Y338" s="8">
        <f>IF(C338=1,$AE$32,$AE$33)</f>
        <v/>
      </c>
      <c r="Z338" s="9">
        <f>Y338*X338</f>
        <v/>
      </c>
      <c r="AA338" s="10">
        <f>IF(W338&gt;$AE$34,1,0)</f>
        <v/>
      </c>
      <c r="AB338">
        <f>IF(AA338=C338,1,0)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$AE$12+D339*$AE$13+E339*$AE$14+F339*$AE$15+G339*$AE$16+H339*$AE$17+I339*$AE$18+J339*$AE$19+K339*$AE$20+L339*$AE$21+M339*$AE$22+N339*$AE$23+O339*$AE$24+P339*$AE$25+Q339*$AE$26+R339*$AE$27+S339*$AE$28+T339*$AE$29+U339*$AE$30</f>
        <v/>
      </c>
      <c r="W339" s="8">
        <f>1/(1+EXP(-V339))</f>
        <v/>
      </c>
      <c r="X339" s="9">
        <f>-IF(C339=1,LN(W339),LN(1-W339))</f>
        <v/>
      </c>
      <c r="Y339" s="8">
        <f>IF(C339=1,$AE$32,$AE$33)</f>
        <v/>
      </c>
      <c r="Z339" s="9">
        <f>Y339*X339</f>
        <v/>
      </c>
      <c r="AA339" s="10">
        <f>IF(W339&gt;$AE$34,1,0)</f>
        <v/>
      </c>
      <c r="AB339">
        <f>IF(AA339=C339,1,0)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$AE$12+D340*$AE$13+E340*$AE$14+F340*$AE$15+G340*$AE$16+H340*$AE$17+I340*$AE$18+J340*$AE$19+K340*$AE$20+L340*$AE$21+M340*$AE$22+N340*$AE$23+O340*$AE$24+P340*$AE$25+Q340*$AE$26+R340*$AE$27+S340*$AE$28+T340*$AE$29+U340*$AE$30</f>
        <v/>
      </c>
      <c r="W340" s="8">
        <f>1/(1+EXP(-V340))</f>
        <v/>
      </c>
      <c r="X340" s="9">
        <f>-IF(C340=1,LN(W340),LN(1-W340))</f>
        <v/>
      </c>
      <c r="Y340" s="8">
        <f>IF(C340=1,$AE$32,$AE$33)</f>
        <v/>
      </c>
      <c r="Z340" s="9">
        <f>Y340*X340</f>
        <v/>
      </c>
      <c r="AA340" s="10">
        <f>IF(W340&gt;$AE$34,1,0)</f>
        <v/>
      </c>
      <c r="AB340">
        <f>IF(AA340=C340,1,0)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$AE$12+D341*$AE$13+E341*$AE$14+F341*$AE$15+G341*$AE$16+H341*$AE$17+I341*$AE$18+J341*$AE$19+K341*$AE$20+L341*$AE$21+M341*$AE$22+N341*$AE$23+O341*$AE$24+P341*$AE$25+Q341*$AE$26+R341*$AE$27+S341*$AE$28+T341*$AE$29+U341*$AE$30</f>
        <v/>
      </c>
      <c r="W341" s="8">
        <f>1/(1+EXP(-V341))</f>
        <v/>
      </c>
      <c r="X341" s="9">
        <f>-IF(C341=1,LN(W341),LN(1-W341))</f>
        <v/>
      </c>
      <c r="Y341" s="8">
        <f>IF(C341=1,$AE$32,$AE$33)</f>
        <v/>
      </c>
      <c r="Z341" s="9">
        <f>Y341*X341</f>
        <v/>
      </c>
      <c r="AA341" s="10">
        <f>IF(W341&gt;$AE$34,1,0)</f>
        <v/>
      </c>
      <c r="AB341">
        <f>IF(AA341=C341,1,0)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$AE$12+D342*$AE$13+E342*$AE$14+F342*$AE$15+G342*$AE$16+H342*$AE$17+I342*$AE$18+J342*$AE$19+K342*$AE$20+L342*$AE$21+M342*$AE$22+N342*$AE$23+O342*$AE$24+P342*$AE$25+Q342*$AE$26+R342*$AE$27+S342*$AE$28+T342*$AE$29+U342*$AE$30</f>
        <v/>
      </c>
      <c r="W342" s="8">
        <f>1/(1+EXP(-V342))</f>
        <v/>
      </c>
      <c r="X342" s="9">
        <f>-IF(C342=1,LN(W342),LN(1-W342))</f>
        <v/>
      </c>
      <c r="Y342" s="8">
        <f>IF(C342=1,$AE$32,$AE$33)</f>
        <v/>
      </c>
      <c r="Z342" s="9">
        <f>Y342*X342</f>
        <v/>
      </c>
      <c r="AA342" s="10">
        <f>IF(W342&gt;$AE$34,1,0)</f>
        <v/>
      </c>
      <c r="AB342">
        <f>IF(AA342=C342,1,0)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$AE$12+D343*$AE$13+E343*$AE$14+F343*$AE$15+G343*$AE$16+H343*$AE$17+I343*$AE$18+J343*$AE$19+K343*$AE$20+L343*$AE$21+M343*$AE$22+N343*$AE$23+O343*$AE$24+P343*$AE$25+Q343*$AE$26+R343*$AE$27+S343*$AE$28+T343*$AE$29+U343*$AE$30</f>
        <v/>
      </c>
      <c r="W343" s="8">
        <f>1/(1+EXP(-V343))</f>
        <v/>
      </c>
      <c r="X343" s="9">
        <f>-IF(C343=1,LN(W343),LN(1-W343))</f>
        <v/>
      </c>
      <c r="Y343" s="8">
        <f>IF(C343=1,$AE$32,$AE$33)</f>
        <v/>
      </c>
      <c r="Z343" s="9">
        <f>Y343*X343</f>
        <v/>
      </c>
      <c r="AA343" s="10">
        <f>IF(W343&gt;$AE$34,1,0)</f>
        <v/>
      </c>
      <c r="AB343">
        <f>IF(AA343=C343,1,0)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$AE$12+D344*$AE$13+E344*$AE$14+F344*$AE$15+G344*$AE$16+H344*$AE$17+I344*$AE$18+J344*$AE$19+K344*$AE$20+L344*$AE$21+M344*$AE$22+N344*$AE$23+O344*$AE$24+P344*$AE$25+Q344*$AE$26+R344*$AE$27+S344*$AE$28+T344*$AE$29+U344*$AE$30</f>
        <v/>
      </c>
      <c r="W344" s="8">
        <f>1/(1+EXP(-V344))</f>
        <v/>
      </c>
      <c r="X344" s="9">
        <f>-IF(C344=1,LN(W344),LN(1-W344))</f>
        <v/>
      </c>
      <c r="Y344" s="8">
        <f>IF(C344=1,$AE$32,$AE$33)</f>
        <v/>
      </c>
      <c r="Z344" s="9">
        <f>Y344*X344</f>
        <v/>
      </c>
      <c r="AA344" s="10">
        <f>IF(W344&gt;$AE$34,1,0)</f>
        <v/>
      </c>
      <c r="AB344">
        <f>IF(AA344=C344,1,0)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$AE$12+D345*$AE$13+E345*$AE$14+F345*$AE$15+G345*$AE$16+H345*$AE$17+I345*$AE$18+J345*$AE$19+K345*$AE$20+L345*$AE$21+M345*$AE$22+N345*$AE$23+O345*$AE$24+P345*$AE$25+Q345*$AE$26+R345*$AE$27+S345*$AE$28+T345*$AE$29+U345*$AE$30</f>
        <v/>
      </c>
      <c r="W345" s="8">
        <f>1/(1+EXP(-V345))</f>
        <v/>
      </c>
      <c r="X345" s="9">
        <f>-IF(C345=1,LN(W345),LN(1-W345))</f>
        <v/>
      </c>
      <c r="Y345" s="8">
        <f>IF(C345=1,$AE$32,$AE$33)</f>
        <v/>
      </c>
      <c r="Z345" s="9">
        <f>Y345*X345</f>
        <v/>
      </c>
      <c r="AA345" s="10">
        <f>IF(W345&gt;$AE$34,1,0)</f>
        <v/>
      </c>
      <c r="AB345">
        <f>IF(AA345=C345,1,0)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$AE$12+D346*$AE$13+E346*$AE$14+F346*$AE$15+G346*$AE$16+H346*$AE$17+I346*$AE$18+J346*$AE$19+K346*$AE$20+L346*$AE$21+M346*$AE$22+N346*$AE$23+O346*$AE$24+P346*$AE$25+Q346*$AE$26+R346*$AE$27+S346*$AE$28+T346*$AE$29+U346*$AE$30</f>
        <v/>
      </c>
      <c r="W346" s="8">
        <f>1/(1+EXP(-V346))</f>
        <v/>
      </c>
      <c r="X346" s="9">
        <f>-IF(C346=1,LN(W346),LN(1-W346))</f>
        <v/>
      </c>
      <c r="Y346" s="8">
        <f>IF(C346=1,$AE$32,$AE$33)</f>
        <v/>
      </c>
      <c r="Z346" s="9">
        <f>Y346*X346</f>
        <v/>
      </c>
      <c r="AA346" s="10">
        <f>IF(W346&gt;$AE$34,1,0)</f>
        <v/>
      </c>
      <c r="AB346">
        <f>IF(AA346=C346,1,0)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$AE$12+D347*$AE$13+E347*$AE$14+F347*$AE$15+G347*$AE$16+H347*$AE$17+I347*$AE$18+J347*$AE$19+K347*$AE$20+L347*$AE$21+M347*$AE$22+N347*$AE$23+O347*$AE$24+P347*$AE$25+Q347*$AE$26+R347*$AE$27+S347*$AE$28+T347*$AE$29+U347*$AE$30</f>
        <v/>
      </c>
      <c r="W347" s="8">
        <f>1/(1+EXP(-V347))</f>
        <v/>
      </c>
      <c r="X347" s="9">
        <f>-IF(C347=1,LN(W347),LN(1-W347))</f>
        <v/>
      </c>
      <c r="Y347" s="8">
        <f>IF(C347=1,$AE$32,$AE$33)</f>
        <v/>
      </c>
      <c r="Z347" s="9">
        <f>Y347*X347</f>
        <v/>
      </c>
      <c r="AA347" s="10">
        <f>IF(W347&gt;$AE$34,1,0)</f>
        <v/>
      </c>
      <c r="AB347">
        <f>IF(AA347=C347,1,0)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$AE$12+D348*$AE$13+E348*$AE$14+F348*$AE$15+G348*$AE$16+H348*$AE$17+I348*$AE$18+J348*$AE$19+K348*$AE$20+L348*$AE$21+M348*$AE$22+N348*$AE$23+O348*$AE$24+P348*$AE$25+Q348*$AE$26+R348*$AE$27+S348*$AE$28+T348*$AE$29+U348*$AE$30</f>
        <v/>
      </c>
      <c r="W348" s="8">
        <f>1/(1+EXP(-V348))</f>
        <v/>
      </c>
      <c r="X348" s="9">
        <f>-IF(C348=1,LN(W348),LN(1-W348))</f>
        <v/>
      </c>
      <c r="Y348" s="8">
        <f>IF(C348=1,$AE$32,$AE$33)</f>
        <v/>
      </c>
      <c r="Z348" s="9">
        <f>Y348*X348</f>
        <v/>
      </c>
      <c r="AA348" s="10">
        <f>IF(W348&gt;$AE$34,1,0)</f>
        <v/>
      </c>
      <c r="AB348">
        <f>IF(AA348=C348,1,0)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$AE$12+D349*$AE$13+E349*$AE$14+F349*$AE$15+G349*$AE$16+H349*$AE$17+I349*$AE$18+J349*$AE$19+K349*$AE$20+L349*$AE$21+M349*$AE$22+N349*$AE$23+O349*$AE$24+P349*$AE$25+Q349*$AE$26+R349*$AE$27+S349*$AE$28+T349*$AE$29+U349*$AE$30</f>
        <v/>
      </c>
      <c r="W349" s="8">
        <f>1/(1+EXP(-V349))</f>
        <v/>
      </c>
      <c r="X349" s="9">
        <f>-IF(C349=1,LN(W349),LN(1-W349))</f>
        <v/>
      </c>
      <c r="Y349" s="8">
        <f>IF(C349=1,$AE$32,$AE$33)</f>
        <v/>
      </c>
      <c r="Z349" s="9">
        <f>Y349*X349</f>
        <v/>
      </c>
      <c r="AA349" s="10">
        <f>IF(W349&gt;$AE$34,1,0)</f>
        <v/>
      </c>
      <c r="AB349">
        <f>IF(AA349=C349,1,0)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$AE$12+D350*$AE$13+E350*$AE$14+F350*$AE$15+G350*$AE$16+H350*$AE$17+I350*$AE$18+J350*$AE$19+K350*$AE$20+L350*$AE$21+M350*$AE$22+N350*$AE$23+O350*$AE$24+P350*$AE$25+Q350*$AE$26+R350*$AE$27+S350*$AE$28+T350*$AE$29+U350*$AE$30</f>
        <v/>
      </c>
      <c r="W350" s="8">
        <f>1/(1+EXP(-V350))</f>
        <v/>
      </c>
      <c r="X350" s="9">
        <f>-IF(C350=1,LN(W350),LN(1-W350))</f>
        <v/>
      </c>
      <c r="Y350" s="8">
        <f>IF(C350=1,$AE$32,$AE$33)</f>
        <v/>
      </c>
      <c r="Z350" s="9">
        <f>Y350*X350</f>
        <v/>
      </c>
      <c r="AA350" s="10">
        <f>IF(W350&gt;$AE$34,1,0)</f>
        <v/>
      </c>
      <c r="AB350">
        <f>IF(AA350=C350,1,0)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$AE$12+D351*$AE$13+E351*$AE$14+F351*$AE$15+G351*$AE$16+H351*$AE$17+I351*$AE$18+J351*$AE$19+K351*$AE$20+L351*$AE$21+M351*$AE$22+N351*$AE$23+O351*$AE$24+P351*$AE$25+Q351*$AE$26+R351*$AE$27+S351*$AE$28+T351*$AE$29+U351*$AE$30</f>
        <v/>
      </c>
      <c r="W351" s="8">
        <f>1/(1+EXP(-V351))</f>
        <v/>
      </c>
      <c r="X351" s="9">
        <f>-IF(C351=1,LN(W351),LN(1-W351))</f>
        <v/>
      </c>
      <c r="Y351" s="8">
        <f>IF(C351=1,$AE$32,$AE$33)</f>
        <v/>
      </c>
      <c r="Z351" s="9">
        <f>Y351*X351</f>
        <v/>
      </c>
      <c r="AA351" s="10">
        <f>IF(W351&gt;$AE$34,1,0)</f>
        <v/>
      </c>
      <c r="AB351">
        <f>IF(AA351=C351,1,0)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$AE$12+D352*$AE$13+E352*$AE$14+F352*$AE$15+G352*$AE$16+H352*$AE$17+I352*$AE$18+J352*$AE$19+K352*$AE$20+L352*$AE$21+M352*$AE$22+N352*$AE$23+O352*$AE$24+P352*$AE$25+Q352*$AE$26+R352*$AE$27+S352*$AE$28+T352*$AE$29+U352*$AE$30</f>
        <v/>
      </c>
      <c r="W352" s="8">
        <f>1/(1+EXP(-V352))</f>
        <v/>
      </c>
      <c r="X352" s="9">
        <f>-IF(C352=1,LN(W352),LN(1-W352))</f>
        <v/>
      </c>
      <c r="Y352" s="8">
        <f>IF(C352=1,$AE$32,$AE$33)</f>
        <v/>
      </c>
      <c r="Z352" s="9">
        <f>Y352*X352</f>
        <v/>
      </c>
      <c r="AA352" s="10">
        <f>IF(W352&gt;$AE$34,1,0)</f>
        <v/>
      </c>
      <c r="AB352">
        <f>IF(AA352=C352,1,0)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$AE$12+D353*$AE$13+E353*$AE$14+F353*$AE$15+G353*$AE$16+H353*$AE$17+I353*$AE$18+J353*$AE$19+K353*$AE$20+L353*$AE$21+M353*$AE$22+N353*$AE$23+O353*$AE$24+P353*$AE$25+Q353*$AE$26+R353*$AE$27+S353*$AE$28+T353*$AE$29+U353*$AE$30</f>
        <v/>
      </c>
      <c r="W353" s="8">
        <f>1/(1+EXP(-V353))</f>
        <v/>
      </c>
      <c r="X353" s="9">
        <f>-IF(C353=1,LN(W353),LN(1-W353))</f>
        <v/>
      </c>
      <c r="Y353" s="8">
        <f>IF(C353=1,$AE$32,$AE$33)</f>
        <v/>
      </c>
      <c r="Z353" s="9">
        <f>Y353*X353</f>
        <v/>
      </c>
      <c r="AA353" s="10">
        <f>IF(W353&gt;$AE$34,1,0)</f>
        <v/>
      </c>
      <c r="AB353">
        <f>IF(AA353=C353,1,0)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$AE$12+D354*$AE$13+E354*$AE$14+F354*$AE$15+G354*$AE$16+H354*$AE$17+I354*$AE$18+J354*$AE$19+K354*$AE$20+L354*$AE$21+M354*$AE$22+N354*$AE$23+O354*$AE$24+P354*$AE$25+Q354*$AE$26+R354*$AE$27+S354*$AE$28+T354*$AE$29+U354*$AE$30</f>
        <v/>
      </c>
      <c r="W354" s="8">
        <f>1/(1+EXP(-V354))</f>
        <v/>
      </c>
      <c r="X354" s="9">
        <f>-IF(C354=1,LN(W354),LN(1-W354))</f>
        <v/>
      </c>
      <c r="Y354" s="8">
        <f>IF(C354=1,$AE$32,$AE$33)</f>
        <v/>
      </c>
      <c r="Z354" s="9">
        <f>Y354*X354</f>
        <v/>
      </c>
      <c r="AA354" s="10">
        <f>IF(W354&gt;$AE$34,1,0)</f>
        <v/>
      </c>
      <c r="AB354">
        <f>IF(AA354=C354,1,0)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$AE$12+D355*$AE$13+E355*$AE$14+F355*$AE$15+G355*$AE$16+H355*$AE$17+I355*$AE$18+J355*$AE$19+K355*$AE$20+L355*$AE$21+M355*$AE$22+N355*$AE$23+O355*$AE$24+P355*$AE$25+Q355*$AE$26+R355*$AE$27+S355*$AE$28+T355*$AE$29+U355*$AE$30</f>
        <v/>
      </c>
      <c r="W355" s="8">
        <f>1/(1+EXP(-V355))</f>
        <v/>
      </c>
      <c r="X355" s="9">
        <f>-IF(C355=1,LN(W355),LN(1-W355))</f>
        <v/>
      </c>
      <c r="Y355" s="8">
        <f>IF(C355=1,$AE$32,$AE$33)</f>
        <v/>
      </c>
      <c r="Z355" s="9">
        <f>Y355*X355</f>
        <v/>
      </c>
      <c r="AA355" s="10">
        <f>IF(W355&gt;$AE$34,1,0)</f>
        <v/>
      </c>
      <c r="AB355">
        <f>IF(AA355=C355,1,0)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$AE$12+D356*$AE$13+E356*$AE$14+F356*$AE$15+G356*$AE$16+H356*$AE$17+I356*$AE$18+J356*$AE$19+K356*$AE$20+L356*$AE$21+M356*$AE$22+N356*$AE$23+O356*$AE$24+P356*$AE$25+Q356*$AE$26+R356*$AE$27+S356*$AE$28+T356*$AE$29+U356*$AE$30</f>
        <v/>
      </c>
      <c r="W356" s="8">
        <f>1/(1+EXP(-V356))</f>
        <v/>
      </c>
      <c r="X356" s="9">
        <f>-IF(C356=1,LN(W356),LN(1-W356))</f>
        <v/>
      </c>
      <c r="Y356" s="8">
        <f>IF(C356=1,$AE$32,$AE$33)</f>
        <v/>
      </c>
      <c r="Z356" s="9">
        <f>Y356*X356</f>
        <v/>
      </c>
      <c r="AA356" s="10">
        <f>IF(W356&gt;$AE$34,1,0)</f>
        <v/>
      </c>
      <c r="AB356">
        <f>IF(AA356=C356,1,0)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$AE$12+D357*$AE$13+E357*$AE$14+F357*$AE$15+G357*$AE$16+H357*$AE$17+I357*$AE$18+J357*$AE$19+K357*$AE$20+L357*$AE$21+M357*$AE$22+N357*$AE$23+O357*$AE$24+P357*$AE$25+Q357*$AE$26+R357*$AE$27+S357*$AE$28+T357*$AE$29+U357*$AE$30</f>
        <v/>
      </c>
      <c r="W357" s="8">
        <f>1/(1+EXP(-V357))</f>
        <v/>
      </c>
      <c r="X357" s="9">
        <f>-IF(C357=1,LN(W357),LN(1-W357))</f>
        <v/>
      </c>
      <c r="Y357" s="8">
        <f>IF(C357=1,$AE$32,$AE$33)</f>
        <v/>
      </c>
      <c r="Z357" s="9">
        <f>Y357*X357</f>
        <v/>
      </c>
      <c r="AA357" s="10">
        <f>IF(W357&gt;$AE$34,1,0)</f>
        <v/>
      </c>
      <c r="AB357">
        <f>IF(AA357=C357,1,0)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$AE$12+D358*$AE$13+E358*$AE$14+F358*$AE$15+G358*$AE$16+H358*$AE$17+I358*$AE$18+J358*$AE$19+K358*$AE$20+L358*$AE$21+M358*$AE$22+N358*$AE$23+O358*$AE$24+P358*$AE$25+Q358*$AE$26+R358*$AE$27+S358*$AE$28+T358*$AE$29+U358*$AE$30</f>
        <v/>
      </c>
      <c r="W358" s="8">
        <f>1/(1+EXP(-V358))</f>
        <v/>
      </c>
      <c r="X358" s="9">
        <f>-IF(C358=1,LN(W358),LN(1-W358))</f>
        <v/>
      </c>
      <c r="Y358" s="8">
        <f>IF(C358=1,$AE$32,$AE$33)</f>
        <v/>
      </c>
      <c r="Z358" s="9">
        <f>Y358*X358</f>
        <v/>
      </c>
      <c r="AA358" s="10">
        <f>IF(W358&gt;$AE$34,1,0)</f>
        <v/>
      </c>
      <c r="AB358">
        <f>IF(AA358=C358,1,0)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$AE$12+D359*$AE$13+E359*$AE$14+F359*$AE$15+G359*$AE$16+H359*$AE$17+I359*$AE$18+J359*$AE$19+K359*$AE$20+L359*$AE$21+M359*$AE$22+N359*$AE$23+O359*$AE$24+P359*$AE$25+Q359*$AE$26+R359*$AE$27+S359*$AE$28+T359*$AE$29+U359*$AE$30</f>
        <v/>
      </c>
      <c r="W359" s="8">
        <f>1/(1+EXP(-V359))</f>
        <v/>
      </c>
      <c r="X359" s="9">
        <f>-IF(C359=1,LN(W359),LN(1-W359))</f>
        <v/>
      </c>
      <c r="Y359" s="8">
        <f>IF(C359=1,$AE$32,$AE$33)</f>
        <v/>
      </c>
      <c r="Z359" s="9">
        <f>Y359*X359</f>
        <v/>
      </c>
      <c r="AA359" s="10">
        <f>IF(W359&gt;$AE$34,1,0)</f>
        <v/>
      </c>
      <c r="AB359">
        <f>IF(AA359=C359,1,0)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$AE$12+D360*$AE$13+E360*$AE$14+F360*$AE$15+G360*$AE$16+H360*$AE$17+I360*$AE$18+J360*$AE$19+K360*$AE$20+L360*$AE$21+M360*$AE$22+N360*$AE$23+O360*$AE$24+P360*$AE$25+Q360*$AE$26+R360*$AE$27+S360*$AE$28+T360*$AE$29+U360*$AE$30</f>
        <v/>
      </c>
      <c r="W360" s="8">
        <f>1/(1+EXP(-V360))</f>
        <v/>
      </c>
      <c r="X360" s="9">
        <f>-IF(C360=1,LN(W360),LN(1-W360))</f>
        <v/>
      </c>
      <c r="Y360" s="8">
        <f>IF(C360=1,$AE$32,$AE$33)</f>
        <v/>
      </c>
      <c r="Z360" s="9">
        <f>Y360*X360</f>
        <v/>
      </c>
      <c r="AA360" s="10">
        <f>IF(W360&gt;$AE$34,1,0)</f>
        <v/>
      </c>
      <c r="AB360">
        <f>IF(AA360=C360,1,0)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$AE$12+D361*$AE$13+E361*$AE$14+F361*$AE$15+G361*$AE$16+H361*$AE$17+I361*$AE$18+J361*$AE$19+K361*$AE$20+L361*$AE$21+M361*$AE$22+N361*$AE$23+O361*$AE$24+P361*$AE$25+Q361*$AE$26+R361*$AE$27+S361*$AE$28+T361*$AE$29+U361*$AE$30</f>
        <v/>
      </c>
      <c r="W361" s="8">
        <f>1/(1+EXP(-V361))</f>
        <v/>
      </c>
      <c r="X361" s="9">
        <f>-IF(C361=1,LN(W361),LN(1-W361))</f>
        <v/>
      </c>
      <c r="Y361" s="8">
        <f>IF(C361=1,$AE$32,$AE$33)</f>
        <v/>
      </c>
      <c r="Z361" s="9">
        <f>Y361*X361</f>
        <v/>
      </c>
      <c r="AA361" s="10">
        <f>IF(W361&gt;$AE$34,1,0)</f>
        <v/>
      </c>
      <c r="AB361">
        <f>IF(AA361=C361,1,0)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$AE$12+D362*$AE$13+E362*$AE$14+F362*$AE$15+G362*$AE$16+H362*$AE$17+I362*$AE$18+J362*$AE$19+K362*$AE$20+L362*$AE$21+M362*$AE$22+N362*$AE$23+O362*$AE$24+P362*$AE$25+Q362*$AE$26+R362*$AE$27+S362*$AE$28+T362*$AE$29+U362*$AE$30</f>
        <v/>
      </c>
      <c r="W362" s="8">
        <f>1/(1+EXP(-V362))</f>
        <v/>
      </c>
      <c r="X362" s="9">
        <f>-IF(C362=1,LN(W362),LN(1-W362))</f>
        <v/>
      </c>
      <c r="Y362" s="8">
        <f>IF(C362=1,$AE$32,$AE$33)</f>
        <v/>
      </c>
      <c r="Z362" s="9">
        <f>Y362*X362</f>
        <v/>
      </c>
      <c r="AA362" s="10">
        <f>IF(W362&gt;$AE$34,1,0)</f>
        <v/>
      </c>
      <c r="AB362">
        <f>IF(AA362=C362,1,0)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$AE$12+D363*$AE$13+E363*$AE$14+F363*$AE$15+G363*$AE$16+H363*$AE$17+I363*$AE$18+J363*$AE$19+K363*$AE$20+L363*$AE$21+M363*$AE$22+N363*$AE$23+O363*$AE$24+P363*$AE$25+Q363*$AE$26+R363*$AE$27+S363*$AE$28+T363*$AE$29+U363*$AE$30</f>
        <v/>
      </c>
      <c r="W363" s="8">
        <f>1/(1+EXP(-V363))</f>
        <v/>
      </c>
      <c r="X363" s="9">
        <f>-IF(C363=1,LN(W363),LN(1-W363))</f>
        <v/>
      </c>
      <c r="Y363" s="8">
        <f>IF(C363=1,$AE$32,$AE$33)</f>
        <v/>
      </c>
      <c r="Z363" s="9">
        <f>Y363*X363</f>
        <v/>
      </c>
      <c r="AA363" s="10">
        <f>IF(W363&gt;$AE$34,1,0)</f>
        <v/>
      </c>
      <c r="AB363">
        <f>IF(AA363=C363,1,0)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$AE$12+D364*$AE$13+E364*$AE$14+F364*$AE$15+G364*$AE$16+H364*$AE$17+I364*$AE$18+J364*$AE$19+K364*$AE$20+L364*$AE$21+M364*$AE$22+N364*$AE$23+O364*$AE$24+P364*$AE$25+Q364*$AE$26+R364*$AE$27+S364*$AE$28+T364*$AE$29+U364*$AE$30</f>
        <v/>
      </c>
      <c r="W364" s="8">
        <f>1/(1+EXP(-V364))</f>
        <v/>
      </c>
      <c r="X364" s="9">
        <f>-IF(C364=1,LN(W364),LN(1-W364))</f>
        <v/>
      </c>
      <c r="Y364" s="8">
        <f>IF(C364=1,$AE$32,$AE$33)</f>
        <v/>
      </c>
      <c r="Z364" s="9">
        <f>Y364*X364</f>
        <v/>
      </c>
      <c r="AA364" s="10">
        <f>IF(W364&gt;$AE$34,1,0)</f>
        <v/>
      </c>
      <c r="AB364">
        <f>IF(AA364=C364,1,0)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$AE$12+D365*$AE$13+E365*$AE$14+F365*$AE$15+G365*$AE$16+H365*$AE$17+I365*$AE$18+J365*$AE$19+K365*$AE$20+L365*$AE$21+M365*$AE$22+N365*$AE$23+O365*$AE$24+P365*$AE$25+Q365*$AE$26+R365*$AE$27+S365*$AE$28+T365*$AE$29+U365*$AE$30</f>
        <v/>
      </c>
      <c r="W365" s="8">
        <f>1/(1+EXP(-V365))</f>
        <v/>
      </c>
      <c r="X365" s="9">
        <f>-IF(C365=1,LN(W365),LN(1-W365))</f>
        <v/>
      </c>
      <c r="Y365" s="8">
        <f>IF(C365=1,$AE$32,$AE$33)</f>
        <v/>
      </c>
      <c r="Z365" s="9">
        <f>Y365*X365</f>
        <v/>
      </c>
      <c r="AA365" s="10">
        <f>IF(W365&gt;$AE$34,1,0)</f>
        <v/>
      </c>
      <c r="AB365">
        <f>IF(AA365=C365,1,0)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$AE$12+D366*$AE$13+E366*$AE$14+F366*$AE$15+G366*$AE$16+H366*$AE$17+I366*$AE$18+J366*$AE$19+K366*$AE$20+L366*$AE$21+M366*$AE$22+N366*$AE$23+O366*$AE$24+P366*$AE$25+Q366*$AE$26+R366*$AE$27+S366*$AE$28+T366*$AE$29+U366*$AE$30</f>
        <v/>
      </c>
      <c r="W366" s="8">
        <f>1/(1+EXP(-V366))</f>
        <v/>
      </c>
      <c r="X366" s="9">
        <f>-IF(C366=1,LN(W366),LN(1-W366))</f>
        <v/>
      </c>
      <c r="Y366" s="8">
        <f>IF(C366=1,$AE$32,$AE$33)</f>
        <v/>
      </c>
      <c r="Z366" s="9">
        <f>Y366*X366</f>
        <v/>
      </c>
      <c r="AA366" s="10">
        <f>IF(W366&gt;$AE$34,1,0)</f>
        <v/>
      </c>
      <c r="AB366">
        <f>IF(AA366=C366,1,0)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$AE$12+D367*$AE$13+E367*$AE$14+F367*$AE$15+G367*$AE$16+H367*$AE$17+I367*$AE$18+J367*$AE$19+K367*$AE$20+L367*$AE$21+M367*$AE$22+N367*$AE$23+O367*$AE$24+P367*$AE$25+Q367*$AE$26+R367*$AE$27+S367*$AE$28+T367*$AE$29+U367*$AE$30</f>
        <v/>
      </c>
      <c r="W367" s="8">
        <f>1/(1+EXP(-V367))</f>
        <v/>
      </c>
      <c r="X367" s="9">
        <f>-IF(C367=1,LN(W367),LN(1-W367))</f>
        <v/>
      </c>
      <c r="Y367" s="8">
        <f>IF(C367=1,$AE$32,$AE$33)</f>
        <v/>
      </c>
      <c r="Z367" s="9">
        <f>Y367*X367</f>
        <v/>
      </c>
      <c r="AA367" s="10">
        <f>IF(W367&gt;$AE$34,1,0)</f>
        <v/>
      </c>
      <c r="AB367">
        <f>IF(AA367=C367,1,0)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$AE$12+D368*$AE$13+E368*$AE$14+F368*$AE$15+G368*$AE$16+H368*$AE$17+I368*$AE$18+J368*$AE$19+K368*$AE$20+L368*$AE$21+M368*$AE$22+N368*$AE$23+O368*$AE$24+P368*$AE$25+Q368*$AE$26+R368*$AE$27+S368*$AE$28+T368*$AE$29+U368*$AE$30</f>
        <v/>
      </c>
      <c r="W368" s="8">
        <f>1/(1+EXP(-V368))</f>
        <v/>
      </c>
      <c r="X368" s="9">
        <f>-IF(C368=1,LN(W368),LN(1-W368))</f>
        <v/>
      </c>
      <c r="Y368" s="8">
        <f>IF(C368=1,$AE$32,$AE$33)</f>
        <v/>
      </c>
      <c r="Z368" s="9">
        <f>Y368*X368</f>
        <v/>
      </c>
      <c r="AA368" s="10">
        <f>IF(W368&gt;$AE$34,1,0)</f>
        <v/>
      </c>
      <c r="AB368">
        <f>IF(AA368=C368,1,0)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$AE$12+D369*$AE$13+E369*$AE$14+F369*$AE$15+G369*$AE$16+H369*$AE$17+I369*$AE$18+J369*$AE$19+K369*$AE$20+L369*$AE$21+M369*$AE$22+N369*$AE$23+O369*$AE$24+P369*$AE$25+Q369*$AE$26+R369*$AE$27+S369*$AE$28+T369*$AE$29+U369*$AE$30</f>
        <v/>
      </c>
      <c r="W369" s="8">
        <f>1/(1+EXP(-V369))</f>
        <v/>
      </c>
      <c r="X369" s="9">
        <f>-IF(C369=1,LN(W369),LN(1-W369))</f>
        <v/>
      </c>
      <c r="Y369" s="8">
        <f>IF(C369=1,$AE$32,$AE$33)</f>
        <v/>
      </c>
      <c r="Z369" s="9">
        <f>Y369*X369</f>
        <v/>
      </c>
      <c r="AA369" s="10">
        <f>IF(W369&gt;$AE$34,1,0)</f>
        <v/>
      </c>
      <c r="AB369">
        <f>IF(AA369=C369,1,0)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$AE$12+D370*$AE$13+E370*$AE$14+F370*$AE$15+G370*$AE$16+H370*$AE$17+I370*$AE$18+J370*$AE$19+K370*$AE$20+L370*$AE$21+M370*$AE$22+N370*$AE$23+O370*$AE$24+P370*$AE$25+Q370*$AE$26+R370*$AE$27+S370*$AE$28+T370*$AE$29+U370*$AE$30</f>
        <v/>
      </c>
      <c r="W370" s="8">
        <f>1/(1+EXP(-V370))</f>
        <v/>
      </c>
      <c r="X370" s="9">
        <f>-IF(C370=1,LN(W370),LN(1-W370))</f>
        <v/>
      </c>
      <c r="Y370" s="8">
        <f>IF(C370=1,$AE$32,$AE$33)</f>
        <v/>
      </c>
      <c r="Z370" s="9">
        <f>Y370*X370</f>
        <v/>
      </c>
      <c r="AA370" s="10">
        <f>IF(W370&gt;$AE$34,1,0)</f>
        <v/>
      </c>
      <c r="AB370">
        <f>IF(AA370=C370,1,0)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$AE$12+D371*$AE$13+E371*$AE$14+F371*$AE$15+G371*$AE$16+H371*$AE$17+I371*$AE$18+J371*$AE$19+K371*$AE$20+L371*$AE$21+M371*$AE$22+N371*$AE$23+O371*$AE$24+P371*$AE$25+Q371*$AE$26+R371*$AE$27+S371*$AE$28+T371*$AE$29+U371*$AE$30</f>
        <v/>
      </c>
      <c r="W371" s="8">
        <f>1/(1+EXP(-V371))</f>
        <v/>
      </c>
      <c r="X371" s="9">
        <f>-IF(C371=1,LN(W371),LN(1-W371))</f>
        <v/>
      </c>
      <c r="Y371" s="8">
        <f>IF(C371=1,$AE$32,$AE$33)</f>
        <v/>
      </c>
      <c r="Z371" s="9">
        <f>Y371*X371</f>
        <v/>
      </c>
      <c r="AA371" s="10">
        <f>IF(W371&gt;$AE$34,1,0)</f>
        <v/>
      </c>
      <c r="AB371">
        <f>IF(AA371=C371,1,0)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$AE$12+D372*$AE$13+E372*$AE$14+F372*$AE$15+G372*$AE$16+H372*$AE$17+I372*$AE$18+J372*$AE$19+K372*$AE$20+L372*$AE$21+M372*$AE$22+N372*$AE$23+O372*$AE$24+P372*$AE$25+Q372*$AE$26+R372*$AE$27+S372*$AE$28+T372*$AE$29+U372*$AE$30</f>
        <v/>
      </c>
      <c r="W372" s="8">
        <f>1/(1+EXP(-V372))</f>
        <v/>
      </c>
      <c r="X372" s="9">
        <f>-IF(C372=1,LN(W372),LN(1-W372))</f>
        <v/>
      </c>
      <c r="Y372" s="8">
        <f>IF(C372=1,$AE$32,$AE$33)</f>
        <v/>
      </c>
      <c r="Z372" s="9">
        <f>Y372*X372</f>
        <v/>
      </c>
      <c r="AA372" s="10">
        <f>IF(W372&gt;$AE$34,1,0)</f>
        <v/>
      </c>
      <c r="AB372">
        <f>IF(AA372=C372,1,0)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$AE$12+D373*$AE$13+E373*$AE$14+F373*$AE$15+G373*$AE$16+H373*$AE$17+I373*$AE$18+J373*$AE$19+K373*$AE$20+L373*$AE$21+M373*$AE$22+N373*$AE$23+O373*$AE$24+P373*$AE$25+Q373*$AE$26+R373*$AE$27+S373*$AE$28+T373*$AE$29+U373*$AE$30</f>
        <v/>
      </c>
      <c r="W373" s="8">
        <f>1/(1+EXP(-V373))</f>
        <v/>
      </c>
      <c r="X373" s="9">
        <f>-IF(C373=1,LN(W373),LN(1-W373))</f>
        <v/>
      </c>
      <c r="Y373" s="8">
        <f>IF(C373=1,$AE$32,$AE$33)</f>
        <v/>
      </c>
      <c r="Z373" s="9">
        <f>Y373*X373</f>
        <v/>
      </c>
      <c r="AA373" s="10">
        <f>IF(W373&gt;$AE$34,1,0)</f>
        <v/>
      </c>
      <c r="AB373">
        <f>IF(AA373=C373,1,0)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$AE$12+D374*$AE$13+E374*$AE$14+F374*$AE$15+G374*$AE$16+H374*$AE$17+I374*$AE$18+J374*$AE$19+K374*$AE$20+L374*$AE$21+M374*$AE$22+N374*$AE$23+O374*$AE$24+P374*$AE$25+Q374*$AE$26+R374*$AE$27+S374*$AE$28+T374*$AE$29+U374*$AE$30</f>
        <v/>
      </c>
      <c r="W374" s="8">
        <f>1/(1+EXP(-V374))</f>
        <v/>
      </c>
      <c r="X374" s="9">
        <f>-IF(C374=1,LN(W374),LN(1-W374))</f>
        <v/>
      </c>
      <c r="Y374" s="8">
        <f>IF(C374=1,$AE$32,$AE$33)</f>
        <v/>
      </c>
      <c r="Z374" s="9">
        <f>Y374*X374</f>
        <v/>
      </c>
      <c r="AA374" s="10">
        <f>IF(W374&gt;$AE$34,1,0)</f>
        <v/>
      </c>
      <c r="AB374">
        <f>IF(AA374=C374,1,0)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$AE$12+D375*$AE$13+E375*$AE$14+F375*$AE$15+G375*$AE$16+H375*$AE$17+I375*$AE$18+J375*$AE$19+K375*$AE$20+L375*$AE$21+M375*$AE$22+N375*$AE$23+O375*$AE$24+P375*$AE$25+Q375*$AE$26+R375*$AE$27+S375*$AE$28+T375*$AE$29+U375*$AE$30</f>
        <v/>
      </c>
      <c r="W375" s="8">
        <f>1/(1+EXP(-V375))</f>
        <v/>
      </c>
      <c r="X375" s="9">
        <f>-IF(C375=1,LN(W375),LN(1-W375))</f>
        <v/>
      </c>
      <c r="Y375" s="8">
        <f>IF(C375=1,$AE$32,$AE$33)</f>
        <v/>
      </c>
      <c r="Z375" s="9">
        <f>Y375*X375</f>
        <v/>
      </c>
      <c r="AA375" s="10">
        <f>IF(W375&gt;$AE$34,1,0)</f>
        <v/>
      </c>
      <c r="AB375">
        <f>IF(AA375=C375,1,0)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$AE$12+D376*$AE$13+E376*$AE$14+F376*$AE$15+G376*$AE$16+H376*$AE$17+I376*$AE$18+J376*$AE$19+K376*$AE$20+L376*$AE$21+M376*$AE$22+N376*$AE$23+O376*$AE$24+P376*$AE$25+Q376*$AE$26+R376*$AE$27+S376*$AE$28+T376*$AE$29+U376*$AE$30</f>
        <v/>
      </c>
      <c r="W376" s="8">
        <f>1/(1+EXP(-V376))</f>
        <v/>
      </c>
      <c r="X376" s="9">
        <f>-IF(C376=1,LN(W376),LN(1-W376))</f>
        <v/>
      </c>
      <c r="Y376" s="8">
        <f>IF(C376=1,$AE$32,$AE$33)</f>
        <v/>
      </c>
      <c r="Z376" s="9">
        <f>Y376*X376</f>
        <v/>
      </c>
      <c r="AA376" s="10">
        <f>IF(W376&gt;$AE$34,1,0)</f>
        <v/>
      </c>
      <c r="AB376">
        <f>IF(AA376=C376,1,0)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$AE$12+D377*$AE$13+E377*$AE$14+F377*$AE$15+G377*$AE$16+H377*$AE$17+I377*$AE$18+J377*$AE$19+K377*$AE$20+L377*$AE$21+M377*$AE$22+N377*$AE$23+O377*$AE$24+P377*$AE$25+Q377*$AE$26+R377*$AE$27+S377*$AE$28+T377*$AE$29+U377*$AE$30</f>
        <v/>
      </c>
      <c r="W377" s="8">
        <f>1/(1+EXP(-V377))</f>
        <v/>
      </c>
      <c r="X377" s="9">
        <f>-IF(C377=1,LN(W377),LN(1-W377))</f>
        <v/>
      </c>
      <c r="Y377" s="8">
        <f>IF(C377=1,$AE$32,$AE$33)</f>
        <v/>
      </c>
      <c r="Z377" s="9">
        <f>Y377*X377</f>
        <v/>
      </c>
      <c r="AA377" s="10">
        <f>IF(W377&gt;$AE$34,1,0)</f>
        <v/>
      </c>
      <c r="AB377">
        <f>IF(AA377=C377,1,0)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$AE$12+D378*$AE$13+E378*$AE$14+F378*$AE$15+G378*$AE$16+H378*$AE$17+I378*$AE$18+J378*$AE$19+K378*$AE$20+L378*$AE$21+M378*$AE$22+N378*$AE$23+O378*$AE$24+P378*$AE$25+Q378*$AE$26+R378*$AE$27+S378*$AE$28+T378*$AE$29+U378*$AE$30</f>
        <v/>
      </c>
      <c r="W378" s="8">
        <f>1/(1+EXP(-V378))</f>
        <v/>
      </c>
      <c r="X378" s="9">
        <f>-IF(C378=1,LN(W378),LN(1-W378))</f>
        <v/>
      </c>
      <c r="Y378" s="8">
        <f>IF(C378=1,$AE$32,$AE$33)</f>
        <v/>
      </c>
      <c r="Z378" s="9">
        <f>Y378*X378</f>
        <v/>
      </c>
      <c r="AA378" s="10">
        <f>IF(W378&gt;$AE$34,1,0)</f>
        <v/>
      </c>
      <c r="AB378">
        <f>IF(AA378=C378,1,0)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$AE$12+D379*$AE$13+E379*$AE$14+F379*$AE$15+G379*$AE$16+H379*$AE$17+I379*$AE$18+J379*$AE$19+K379*$AE$20+L379*$AE$21+M379*$AE$22+N379*$AE$23+O379*$AE$24+P379*$AE$25+Q379*$AE$26+R379*$AE$27+S379*$AE$28+T379*$AE$29+U379*$AE$30</f>
        <v/>
      </c>
      <c r="W379" s="8">
        <f>1/(1+EXP(-V379))</f>
        <v/>
      </c>
      <c r="X379" s="9">
        <f>-IF(C379=1,LN(W379),LN(1-W379))</f>
        <v/>
      </c>
      <c r="Y379" s="8">
        <f>IF(C379=1,$AE$32,$AE$33)</f>
        <v/>
      </c>
      <c r="Z379" s="9">
        <f>Y379*X379</f>
        <v/>
      </c>
      <c r="AA379" s="10">
        <f>IF(W379&gt;$AE$34,1,0)</f>
        <v/>
      </c>
      <c r="AB379">
        <f>IF(AA379=C379,1,0)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$AE$12+D380*$AE$13+E380*$AE$14+F380*$AE$15+G380*$AE$16+H380*$AE$17+I380*$AE$18+J380*$AE$19+K380*$AE$20+L380*$AE$21+M380*$AE$22+N380*$AE$23+O380*$AE$24+P380*$AE$25+Q380*$AE$26+R380*$AE$27+S380*$AE$28+T380*$AE$29+U380*$AE$30</f>
        <v/>
      </c>
      <c r="W380" s="8">
        <f>1/(1+EXP(-V380))</f>
        <v/>
      </c>
      <c r="X380" s="9">
        <f>-IF(C380=1,LN(W380),LN(1-W380))</f>
        <v/>
      </c>
      <c r="Y380" s="8">
        <f>IF(C380=1,$AE$32,$AE$33)</f>
        <v/>
      </c>
      <c r="Z380" s="9">
        <f>Y380*X380</f>
        <v/>
      </c>
      <c r="AA380" s="10">
        <f>IF(W380&gt;$AE$34,1,0)</f>
        <v/>
      </c>
      <c r="AB380">
        <f>IF(AA380=C380,1,0)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$AE$12+D381*$AE$13+E381*$AE$14+F381*$AE$15+G381*$AE$16+H381*$AE$17+I381*$AE$18+J381*$AE$19+K381*$AE$20+L381*$AE$21+M381*$AE$22+N381*$AE$23+O381*$AE$24+P381*$AE$25+Q381*$AE$26+R381*$AE$27+S381*$AE$28+T381*$AE$29+U381*$AE$30</f>
        <v/>
      </c>
      <c r="W381" s="8">
        <f>1/(1+EXP(-V381))</f>
        <v/>
      </c>
      <c r="X381" s="9">
        <f>-IF(C381=1,LN(W381),LN(1-W381))</f>
        <v/>
      </c>
      <c r="Y381" s="8">
        <f>IF(C381=1,$AE$32,$AE$33)</f>
        <v/>
      </c>
      <c r="Z381" s="9">
        <f>Y381*X381</f>
        <v/>
      </c>
      <c r="AA381" s="10">
        <f>IF(W381&gt;$AE$34,1,0)</f>
        <v/>
      </c>
      <c r="AB381">
        <f>IF(AA381=C381,1,0)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$AE$12+D382*$AE$13+E382*$AE$14+F382*$AE$15+G382*$AE$16+H382*$AE$17+I382*$AE$18+J382*$AE$19+K382*$AE$20+L382*$AE$21+M382*$AE$22+N382*$AE$23+O382*$AE$24+P382*$AE$25+Q382*$AE$26+R382*$AE$27+S382*$AE$28+T382*$AE$29+U382*$AE$30</f>
        <v/>
      </c>
      <c r="W382" s="8">
        <f>1/(1+EXP(-V382))</f>
        <v/>
      </c>
      <c r="X382" s="9">
        <f>-IF(C382=1,LN(W382),LN(1-W382))</f>
        <v/>
      </c>
      <c r="Y382" s="8">
        <f>IF(C382=1,$AE$32,$AE$33)</f>
        <v/>
      </c>
      <c r="Z382" s="9">
        <f>Y382*X382</f>
        <v/>
      </c>
      <c r="AA382" s="10">
        <f>IF(W382&gt;$AE$34,1,0)</f>
        <v/>
      </c>
      <c r="AB382">
        <f>IF(AA382=C382,1,0)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$AE$12+D383*$AE$13+E383*$AE$14+F383*$AE$15+G383*$AE$16+H383*$AE$17+I383*$AE$18+J383*$AE$19+K383*$AE$20+L383*$AE$21+M383*$AE$22+N383*$AE$23+O383*$AE$24+P383*$AE$25+Q383*$AE$26+R383*$AE$27+S383*$AE$28+T383*$AE$29+U383*$AE$30</f>
        <v/>
      </c>
      <c r="W383" s="8">
        <f>1/(1+EXP(-V383))</f>
        <v/>
      </c>
      <c r="X383" s="9">
        <f>-IF(C383=1,LN(W383),LN(1-W383))</f>
        <v/>
      </c>
      <c r="Y383" s="8">
        <f>IF(C383=1,$AE$32,$AE$33)</f>
        <v/>
      </c>
      <c r="Z383" s="9">
        <f>Y383*X383</f>
        <v/>
      </c>
      <c r="AA383" s="10">
        <f>IF(W383&gt;$AE$34,1,0)</f>
        <v/>
      </c>
      <c r="AB383">
        <f>IF(AA383=C383,1,0)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$AE$12+D384*$AE$13+E384*$AE$14+F384*$AE$15+G384*$AE$16+H384*$AE$17+I384*$AE$18+J384*$AE$19+K384*$AE$20+L384*$AE$21+M384*$AE$22+N384*$AE$23+O384*$AE$24+P384*$AE$25+Q384*$AE$26+R384*$AE$27+S384*$AE$28+T384*$AE$29+U384*$AE$30</f>
        <v/>
      </c>
      <c r="W384" s="8">
        <f>1/(1+EXP(-V384))</f>
        <v/>
      </c>
      <c r="X384" s="9">
        <f>-IF(C384=1,LN(W384),LN(1-W384))</f>
        <v/>
      </c>
      <c r="Y384" s="8">
        <f>IF(C384=1,$AE$32,$AE$33)</f>
        <v/>
      </c>
      <c r="Z384" s="9">
        <f>Y384*X384</f>
        <v/>
      </c>
      <c r="AA384" s="10">
        <f>IF(W384&gt;$AE$34,1,0)</f>
        <v/>
      </c>
      <c r="AB384">
        <f>IF(AA384=C384,1,0)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$AE$12+D385*$AE$13+E385*$AE$14+F385*$AE$15+G385*$AE$16+H385*$AE$17+I385*$AE$18+J385*$AE$19+K385*$AE$20+L385*$AE$21+M385*$AE$22+N385*$AE$23+O385*$AE$24+P385*$AE$25+Q385*$AE$26+R385*$AE$27+S385*$AE$28+T385*$AE$29+U385*$AE$30</f>
        <v/>
      </c>
      <c r="W385" s="8">
        <f>1/(1+EXP(-V385))</f>
        <v/>
      </c>
      <c r="X385" s="9">
        <f>-IF(C385=1,LN(W385),LN(1-W385))</f>
        <v/>
      </c>
      <c r="Y385" s="8">
        <f>IF(C385=1,$AE$32,$AE$33)</f>
        <v/>
      </c>
      <c r="Z385" s="9">
        <f>Y385*X385</f>
        <v/>
      </c>
      <c r="AA385" s="10">
        <f>IF(W385&gt;$AE$34,1,0)</f>
        <v/>
      </c>
      <c r="AB385">
        <f>IF(AA385=C385,1,0)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$AE$12+D386*$AE$13+E386*$AE$14+F386*$AE$15+G386*$AE$16+H386*$AE$17+I386*$AE$18+J386*$AE$19+K386*$AE$20+L386*$AE$21+M386*$AE$22+N386*$AE$23+O386*$AE$24+P386*$AE$25+Q386*$AE$26+R386*$AE$27+S386*$AE$28+T386*$AE$29+U386*$AE$30</f>
        <v/>
      </c>
      <c r="W386" s="8">
        <f>1/(1+EXP(-V386))</f>
        <v/>
      </c>
      <c r="X386" s="9">
        <f>-IF(C386=1,LN(W386),LN(1-W386))</f>
        <v/>
      </c>
      <c r="Y386" s="8">
        <f>IF(C386=1,$AE$32,$AE$33)</f>
        <v/>
      </c>
      <c r="Z386" s="9">
        <f>Y386*X386</f>
        <v/>
      </c>
      <c r="AA386" s="10">
        <f>IF(W386&gt;$AE$34,1,0)</f>
        <v/>
      </c>
      <c r="AB386">
        <f>IF(AA386=C386,1,0)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$AE$12+D387*$AE$13+E387*$AE$14+F387*$AE$15+G387*$AE$16+H387*$AE$17+I387*$AE$18+J387*$AE$19+K387*$AE$20+L387*$AE$21+M387*$AE$22+N387*$AE$23+O387*$AE$24+P387*$AE$25+Q387*$AE$26+R387*$AE$27+S387*$AE$28+T387*$AE$29+U387*$AE$30</f>
        <v/>
      </c>
      <c r="W387" s="8">
        <f>1/(1+EXP(-V387))</f>
        <v/>
      </c>
      <c r="X387" s="9">
        <f>-IF(C387=1,LN(W387),LN(1-W387))</f>
        <v/>
      </c>
      <c r="Y387" s="8">
        <f>IF(C387=1,$AE$32,$AE$33)</f>
        <v/>
      </c>
      <c r="Z387" s="9">
        <f>Y387*X387</f>
        <v/>
      </c>
      <c r="AA387" s="10">
        <f>IF(W387&gt;$AE$34,1,0)</f>
        <v/>
      </c>
      <c r="AB387">
        <f>IF(AA387=C387,1,0)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$AE$12+D388*$AE$13+E388*$AE$14+F388*$AE$15+G388*$AE$16+H388*$AE$17+I388*$AE$18+J388*$AE$19+K388*$AE$20+L388*$AE$21+M388*$AE$22+N388*$AE$23+O388*$AE$24+P388*$AE$25+Q388*$AE$26+R388*$AE$27+S388*$AE$28+T388*$AE$29+U388*$AE$30</f>
        <v/>
      </c>
      <c r="W388" s="8">
        <f>1/(1+EXP(-V388))</f>
        <v/>
      </c>
      <c r="X388" s="9">
        <f>-IF(C388=1,LN(W388),LN(1-W388))</f>
        <v/>
      </c>
      <c r="Y388" s="8">
        <f>IF(C388=1,$AE$32,$AE$33)</f>
        <v/>
      </c>
      <c r="Z388" s="9">
        <f>Y388*X388</f>
        <v/>
      </c>
      <c r="AA388" s="10">
        <f>IF(W388&gt;$AE$34,1,0)</f>
        <v/>
      </c>
      <c r="AB388">
        <f>IF(AA388=C388,1,0)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$AE$12+D389*$AE$13+E389*$AE$14+F389*$AE$15+G389*$AE$16+H389*$AE$17+I389*$AE$18+J389*$AE$19+K389*$AE$20+L389*$AE$21+M389*$AE$22+N389*$AE$23+O389*$AE$24+P389*$AE$25+Q389*$AE$26+R389*$AE$27+S389*$AE$28+T389*$AE$29+U389*$AE$30</f>
        <v/>
      </c>
      <c r="W389" s="8">
        <f>1/(1+EXP(-V389))</f>
        <v/>
      </c>
      <c r="X389" s="9">
        <f>-IF(C389=1,LN(W389),LN(1-W389))</f>
        <v/>
      </c>
      <c r="Y389" s="8">
        <f>IF(C389=1,$AE$32,$AE$33)</f>
        <v/>
      </c>
      <c r="Z389" s="9">
        <f>Y389*X389</f>
        <v/>
      </c>
      <c r="AA389" s="10">
        <f>IF(W389&gt;$AE$34,1,0)</f>
        <v/>
      </c>
      <c r="AB389">
        <f>IF(AA389=C389,1,0)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$AE$12+D390*$AE$13+E390*$AE$14+F390*$AE$15+G390*$AE$16+H390*$AE$17+I390*$AE$18+J390*$AE$19+K390*$AE$20+L390*$AE$21+M390*$AE$22+N390*$AE$23+O390*$AE$24+P390*$AE$25+Q390*$AE$26+R390*$AE$27+S390*$AE$28+T390*$AE$29+U390*$AE$30</f>
        <v/>
      </c>
      <c r="W390" s="8">
        <f>1/(1+EXP(-V390))</f>
        <v/>
      </c>
      <c r="X390" s="9">
        <f>-IF(C390=1,LN(W390),LN(1-W390))</f>
        <v/>
      </c>
      <c r="Y390" s="8">
        <f>IF(C390=1,$AE$32,$AE$33)</f>
        <v/>
      </c>
      <c r="Z390" s="9">
        <f>Y390*X390</f>
        <v/>
      </c>
      <c r="AA390" s="10">
        <f>IF(W390&gt;$AE$34,1,0)</f>
        <v/>
      </c>
      <c r="AB390">
        <f>IF(AA390=C390,1,0)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$AE$12+D391*$AE$13+E391*$AE$14+F391*$AE$15+G391*$AE$16+H391*$AE$17+I391*$AE$18+J391*$AE$19+K391*$AE$20+L391*$AE$21+M391*$AE$22+N391*$AE$23+O391*$AE$24+P391*$AE$25+Q391*$AE$26+R391*$AE$27+S391*$AE$28+T391*$AE$29+U391*$AE$30</f>
        <v/>
      </c>
      <c r="W391" s="8">
        <f>1/(1+EXP(-V391))</f>
        <v/>
      </c>
      <c r="X391" s="9">
        <f>-IF(C391=1,LN(W391),LN(1-W391))</f>
        <v/>
      </c>
      <c r="Y391" s="8">
        <f>IF(C391=1,$AE$32,$AE$33)</f>
        <v/>
      </c>
      <c r="Z391" s="9">
        <f>Y391*X391</f>
        <v/>
      </c>
      <c r="AA391" s="10">
        <f>IF(W391&gt;$AE$34,1,0)</f>
        <v/>
      </c>
      <c r="AB391">
        <f>IF(AA391=C391,1,0)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$AE$12+D392*$AE$13+E392*$AE$14+F392*$AE$15+G392*$AE$16+H392*$AE$17+I392*$AE$18+J392*$AE$19+K392*$AE$20+L392*$AE$21+M392*$AE$22+N392*$AE$23+O392*$AE$24+P392*$AE$25+Q392*$AE$26+R392*$AE$27+S392*$AE$28+T392*$AE$29+U392*$AE$30</f>
        <v/>
      </c>
      <c r="W392" s="8">
        <f>1/(1+EXP(-V392))</f>
        <v/>
      </c>
      <c r="X392" s="9">
        <f>-IF(C392=1,LN(W392),LN(1-W392))</f>
        <v/>
      </c>
      <c r="Y392" s="8">
        <f>IF(C392=1,$AE$32,$AE$33)</f>
        <v/>
      </c>
      <c r="Z392" s="9">
        <f>Y392*X392</f>
        <v/>
      </c>
      <c r="AA392" s="10">
        <f>IF(W392&gt;$AE$34,1,0)</f>
        <v/>
      </c>
      <c r="AB392">
        <f>IF(AA392=C392,1,0)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$AE$12+D393*$AE$13+E393*$AE$14+F393*$AE$15+G393*$AE$16+H393*$AE$17+I393*$AE$18+J393*$AE$19+K393*$AE$20+L393*$AE$21+M393*$AE$22+N393*$AE$23+O393*$AE$24+P393*$AE$25+Q393*$AE$26+R393*$AE$27+S393*$AE$28+T393*$AE$29+U393*$AE$30</f>
        <v/>
      </c>
      <c r="W393" s="8">
        <f>1/(1+EXP(-V393))</f>
        <v/>
      </c>
      <c r="X393" s="9">
        <f>-IF(C393=1,LN(W393),LN(1-W393))</f>
        <v/>
      </c>
      <c r="Y393" s="8">
        <f>IF(C393=1,$AE$32,$AE$33)</f>
        <v/>
      </c>
      <c r="Z393" s="9">
        <f>Y393*X393</f>
        <v/>
      </c>
      <c r="AA393" s="10">
        <f>IF(W393&gt;$AE$34,1,0)</f>
        <v/>
      </c>
      <c r="AB393">
        <f>IF(AA393=C393,1,0)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$AE$12+D394*$AE$13+E394*$AE$14+F394*$AE$15+G394*$AE$16+H394*$AE$17+I394*$AE$18+J394*$AE$19+K394*$AE$20+L394*$AE$21+M394*$AE$22+N394*$AE$23+O394*$AE$24+P394*$AE$25+Q394*$AE$26+R394*$AE$27+S394*$AE$28+T394*$AE$29+U394*$AE$30</f>
        <v/>
      </c>
      <c r="W394" s="8">
        <f>1/(1+EXP(-V394))</f>
        <v/>
      </c>
      <c r="X394" s="9">
        <f>-IF(C394=1,LN(W394),LN(1-W394))</f>
        <v/>
      </c>
      <c r="Y394" s="8">
        <f>IF(C394=1,$AE$32,$AE$33)</f>
        <v/>
      </c>
      <c r="Z394" s="9">
        <f>Y394*X394</f>
        <v/>
      </c>
      <c r="AA394" s="10">
        <f>IF(W394&gt;$AE$34,1,0)</f>
        <v/>
      </c>
      <c r="AB394">
        <f>IF(AA394=C394,1,0)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$AE$12+D395*$AE$13+E395*$AE$14+F395*$AE$15+G395*$AE$16+H395*$AE$17+I395*$AE$18+J395*$AE$19+K395*$AE$20+L395*$AE$21+M395*$AE$22+N395*$AE$23+O395*$AE$24+P395*$AE$25+Q395*$AE$26+R395*$AE$27+S395*$AE$28+T395*$AE$29+U395*$AE$30</f>
        <v/>
      </c>
      <c r="W395" s="8">
        <f>1/(1+EXP(-V395))</f>
        <v/>
      </c>
      <c r="X395" s="9">
        <f>-IF(C395=1,LN(W395),LN(1-W395))</f>
        <v/>
      </c>
      <c r="Y395" s="8">
        <f>IF(C395=1,$AE$32,$AE$33)</f>
        <v/>
      </c>
      <c r="Z395" s="9">
        <f>Y395*X395</f>
        <v/>
      </c>
      <c r="AA395" s="10">
        <f>IF(W395&gt;$AE$34,1,0)</f>
        <v/>
      </c>
      <c r="AB395">
        <f>IF(AA395=C395,1,0)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$AE$12+D396*$AE$13+E396*$AE$14+F396*$AE$15+G396*$AE$16+H396*$AE$17+I396*$AE$18+J396*$AE$19+K396*$AE$20+L396*$AE$21+M396*$AE$22+N396*$AE$23+O396*$AE$24+P396*$AE$25+Q396*$AE$26+R396*$AE$27+S396*$AE$28+T396*$AE$29+U396*$AE$30</f>
        <v/>
      </c>
      <c r="W396" s="8">
        <f>1/(1+EXP(-V396))</f>
        <v/>
      </c>
      <c r="X396" s="9">
        <f>-IF(C396=1,LN(W396),LN(1-W396))</f>
        <v/>
      </c>
      <c r="Y396" s="8">
        <f>IF(C396=1,$AE$32,$AE$33)</f>
        <v/>
      </c>
      <c r="Z396" s="9">
        <f>Y396*X396</f>
        <v/>
      </c>
      <c r="AA396" s="10">
        <f>IF(W396&gt;$AE$34,1,0)</f>
        <v/>
      </c>
      <c r="AB396">
        <f>IF(AA396=C396,1,0)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$AE$12+D397*$AE$13+E397*$AE$14+F397*$AE$15+G397*$AE$16+H397*$AE$17+I397*$AE$18+J397*$AE$19+K397*$AE$20+L397*$AE$21+M397*$AE$22+N397*$AE$23+O397*$AE$24+P397*$AE$25+Q397*$AE$26+R397*$AE$27+S397*$AE$28+T397*$AE$29+U397*$AE$30</f>
        <v/>
      </c>
      <c r="W397" s="8">
        <f>1/(1+EXP(-V397))</f>
        <v/>
      </c>
      <c r="X397" s="9">
        <f>-IF(C397=1,LN(W397),LN(1-W397))</f>
        <v/>
      </c>
      <c r="Y397" s="8">
        <f>IF(C397=1,$AE$32,$AE$33)</f>
        <v/>
      </c>
      <c r="Z397" s="9">
        <f>Y397*X397</f>
        <v/>
      </c>
      <c r="AA397" s="10">
        <f>IF(W397&gt;$AE$34,1,0)</f>
        <v/>
      </c>
      <c r="AB397">
        <f>IF(AA397=C397,1,0)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$AE$12+D398*$AE$13+E398*$AE$14+F398*$AE$15+G398*$AE$16+H398*$AE$17+I398*$AE$18+J398*$AE$19+K398*$AE$20+L398*$AE$21+M398*$AE$22+N398*$AE$23+O398*$AE$24+P398*$AE$25+Q398*$AE$26+R398*$AE$27+S398*$AE$28+T398*$AE$29+U398*$AE$30</f>
        <v/>
      </c>
      <c r="W398" s="8">
        <f>1/(1+EXP(-V398))</f>
        <v/>
      </c>
      <c r="X398" s="9">
        <f>-IF(C398=1,LN(W398),LN(1-W398))</f>
        <v/>
      </c>
      <c r="Y398" s="8">
        <f>IF(C398=1,$AE$32,$AE$33)</f>
        <v/>
      </c>
      <c r="Z398" s="9">
        <f>Y398*X398</f>
        <v/>
      </c>
      <c r="AA398" s="10">
        <f>IF(W398&gt;$AE$34,1,0)</f>
        <v/>
      </c>
      <c r="AB398">
        <f>IF(AA398=C398,1,0)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$AE$12+D399*$AE$13+E399*$AE$14+F399*$AE$15+G399*$AE$16+H399*$AE$17+I399*$AE$18+J399*$AE$19+K399*$AE$20+L399*$AE$21+M399*$AE$22+N399*$AE$23+O399*$AE$24+P399*$AE$25+Q399*$AE$26+R399*$AE$27+S399*$AE$28+T399*$AE$29+U399*$AE$30</f>
        <v/>
      </c>
      <c r="W399" s="8">
        <f>1/(1+EXP(-V399))</f>
        <v/>
      </c>
      <c r="X399" s="9">
        <f>-IF(C399=1,LN(W399),LN(1-W399))</f>
        <v/>
      </c>
      <c r="Y399" s="8">
        <f>IF(C399=1,$AE$32,$AE$33)</f>
        <v/>
      </c>
      <c r="Z399" s="9">
        <f>Y399*X399</f>
        <v/>
      </c>
      <c r="AA399" s="10">
        <f>IF(W399&gt;$AE$34,1,0)</f>
        <v/>
      </c>
      <c r="AB399">
        <f>IF(AA399=C399,1,0)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$AE$12+D400*$AE$13+E400*$AE$14+F400*$AE$15+G400*$AE$16+H400*$AE$17+I400*$AE$18+J400*$AE$19+K400*$AE$20+L400*$AE$21+M400*$AE$22+N400*$AE$23+O400*$AE$24+P400*$AE$25+Q400*$AE$26+R400*$AE$27+S400*$AE$28+T400*$AE$29+U400*$AE$30</f>
        <v/>
      </c>
      <c r="W400" s="8">
        <f>1/(1+EXP(-V400))</f>
        <v/>
      </c>
      <c r="X400" s="9">
        <f>-IF(C400=1,LN(W400),LN(1-W400))</f>
        <v/>
      </c>
      <c r="Y400" s="8">
        <f>IF(C400=1,$AE$32,$AE$33)</f>
        <v/>
      </c>
      <c r="Z400" s="9">
        <f>Y400*X400</f>
        <v/>
      </c>
      <c r="AA400" s="10">
        <f>IF(W400&gt;$AE$34,1,0)</f>
        <v/>
      </c>
      <c r="AB400">
        <f>IF(AA400=C400,1,0)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$AE$12+D401*$AE$13+E401*$AE$14+F401*$AE$15+G401*$AE$16+H401*$AE$17+I401*$AE$18+J401*$AE$19+K401*$AE$20+L401*$AE$21+M401*$AE$22+N401*$AE$23+O401*$AE$24+P401*$AE$25+Q401*$AE$26+R401*$AE$27+S401*$AE$28+T401*$AE$29+U401*$AE$30</f>
        <v/>
      </c>
      <c r="W401" s="8">
        <f>1/(1+EXP(-V401))</f>
        <v/>
      </c>
      <c r="X401" s="9">
        <f>-IF(C401=1,LN(W401),LN(1-W401))</f>
        <v/>
      </c>
      <c r="Y401" s="8">
        <f>IF(C401=1,$AE$32,$AE$33)</f>
        <v/>
      </c>
      <c r="Z401" s="9">
        <f>Y401*X401</f>
        <v/>
      </c>
      <c r="AA401" s="10">
        <f>IF(W401&gt;$AE$34,1,0)</f>
        <v/>
      </c>
      <c r="AB401">
        <f>IF(AA401=C401,1,0)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$AE$12+D402*$AE$13+E402*$AE$14+F402*$AE$15+G402*$AE$16+H402*$AE$17+I402*$AE$18+J402*$AE$19+K402*$AE$20+L402*$AE$21+M402*$AE$22+N402*$AE$23+O402*$AE$24+P402*$AE$25+Q402*$AE$26+R402*$AE$27+S402*$AE$28+T402*$AE$29+U402*$AE$30</f>
        <v/>
      </c>
      <c r="W402" s="8">
        <f>1/(1+EXP(-V402))</f>
        <v/>
      </c>
      <c r="X402" s="9">
        <f>-IF(C402=1,LN(W402),LN(1-W402))</f>
        <v/>
      </c>
      <c r="Y402" s="8">
        <f>IF(C402=1,$AE$32,$AE$33)</f>
        <v/>
      </c>
      <c r="Z402" s="9">
        <f>Y402*X402</f>
        <v/>
      </c>
      <c r="AA402" s="10">
        <f>IF(W402&gt;$AE$34,1,0)</f>
        <v/>
      </c>
      <c r="AB402">
        <f>IF(AA402=C402,1,0)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$AE$12+D403*$AE$13+E403*$AE$14+F403*$AE$15+G403*$AE$16+H403*$AE$17+I403*$AE$18+J403*$AE$19+K403*$AE$20+L403*$AE$21+M403*$AE$22+N403*$AE$23+O403*$AE$24+P403*$AE$25+Q403*$AE$26+R403*$AE$27+S403*$AE$28+T403*$AE$29+U403*$AE$30</f>
        <v/>
      </c>
      <c r="W403" s="8">
        <f>1/(1+EXP(-V403))</f>
        <v/>
      </c>
      <c r="X403" s="9">
        <f>-IF(C403=1,LN(W403),LN(1-W403))</f>
        <v/>
      </c>
      <c r="Y403" s="8">
        <f>IF(C403=1,$AE$32,$AE$33)</f>
        <v/>
      </c>
      <c r="Z403" s="9">
        <f>Y403*X403</f>
        <v/>
      </c>
      <c r="AA403" s="10">
        <f>IF(W403&gt;$AE$34,1,0)</f>
        <v/>
      </c>
      <c r="AB403">
        <f>IF(AA403=C403,1,0)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$AE$12+D404*$AE$13+E404*$AE$14+F404*$AE$15+G404*$AE$16+H404*$AE$17+I404*$AE$18+J404*$AE$19+K404*$AE$20+L404*$AE$21+M404*$AE$22+N404*$AE$23+O404*$AE$24+P404*$AE$25+Q404*$AE$26+R404*$AE$27+S404*$AE$28+T404*$AE$29+U404*$AE$30</f>
        <v/>
      </c>
      <c r="W404" s="8">
        <f>1/(1+EXP(-V404))</f>
        <v/>
      </c>
      <c r="X404" s="9">
        <f>-IF(C404=1,LN(W404),LN(1-W404))</f>
        <v/>
      </c>
      <c r="Y404" s="8">
        <f>IF(C404=1,$AE$32,$AE$33)</f>
        <v/>
      </c>
      <c r="Z404" s="9">
        <f>Y404*X404</f>
        <v/>
      </c>
      <c r="AA404" s="10">
        <f>IF(W404&gt;$AE$34,1,0)</f>
        <v/>
      </c>
      <c r="AB404">
        <f>IF(AA404=C404,1,0)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$AE$12+D405*$AE$13+E405*$AE$14+F405*$AE$15+G405*$AE$16+H405*$AE$17+I405*$AE$18+J405*$AE$19+K405*$AE$20+L405*$AE$21+M405*$AE$22+N405*$AE$23+O405*$AE$24+P405*$AE$25+Q405*$AE$26+R405*$AE$27+S405*$AE$28+T405*$AE$29+U405*$AE$30</f>
        <v/>
      </c>
      <c r="W405" s="8">
        <f>1/(1+EXP(-V405))</f>
        <v/>
      </c>
      <c r="X405" s="9">
        <f>-IF(C405=1,LN(W405),LN(1-W405))</f>
        <v/>
      </c>
      <c r="Y405" s="8">
        <f>IF(C405=1,$AE$32,$AE$33)</f>
        <v/>
      </c>
      <c r="Z405" s="9">
        <f>Y405*X405</f>
        <v/>
      </c>
      <c r="AA405" s="10">
        <f>IF(W405&gt;$AE$34,1,0)</f>
        <v/>
      </c>
      <c r="AB405">
        <f>IF(AA405=C405,1,0)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$AE$12+D406*$AE$13+E406*$AE$14+F406*$AE$15+G406*$AE$16+H406*$AE$17+I406*$AE$18+J406*$AE$19+K406*$AE$20+L406*$AE$21+M406*$AE$22+N406*$AE$23+O406*$AE$24+P406*$AE$25+Q406*$AE$26+R406*$AE$27+S406*$AE$28+T406*$AE$29+U406*$AE$30</f>
        <v/>
      </c>
      <c r="W406" s="8">
        <f>1/(1+EXP(-V406))</f>
        <v/>
      </c>
      <c r="X406" s="9">
        <f>-IF(C406=1,LN(W406),LN(1-W406))</f>
        <v/>
      </c>
      <c r="Y406" s="8">
        <f>IF(C406=1,$AE$32,$AE$33)</f>
        <v/>
      </c>
      <c r="Z406" s="9">
        <f>Y406*X406</f>
        <v/>
      </c>
      <c r="AA406" s="10">
        <f>IF(W406&gt;$AE$34,1,0)</f>
        <v/>
      </c>
      <c r="AB406">
        <f>IF(AA406=C406,1,0)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$AE$12+D407*$AE$13+E407*$AE$14+F407*$AE$15+G407*$AE$16+H407*$AE$17+I407*$AE$18+J407*$AE$19+K407*$AE$20+L407*$AE$21+M407*$AE$22+N407*$AE$23+O407*$AE$24+P407*$AE$25+Q407*$AE$26+R407*$AE$27+S407*$AE$28+T407*$AE$29+U407*$AE$30</f>
        <v/>
      </c>
      <c r="W407" s="8">
        <f>1/(1+EXP(-V407))</f>
        <v/>
      </c>
      <c r="X407" s="9">
        <f>-IF(C407=1,LN(W407),LN(1-W407))</f>
        <v/>
      </c>
      <c r="Y407" s="8">
        <f>IF(C407=1,$AE$32,$AE$33)</f>
        <v/>
      </c>
      <c r="Z407" s="9">
        <f>Y407*X407</f>
        <v/>
      </c>
      <c r="AA407" s="10">
        <f>IF(W407&gt;$AE$34,1,0)</f>
        <v/>
      </c>
      <c r="AB407">
        <f>IF(AA407=C407,1,0)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$AE$12+D408*$AE$13+E408*$AE$14+F408*$AE$15+G408*$AE$16+H408*$AE$17+I408*$AE$18+J408*$AE$19+K408*$AE$20+L408*$AE$21+M408*$AE$22+N408*$AE$23+O408*$AE$24+P408*$AE$25+Q408*$AE$26+R408*$AE$27+S408*$AE$28+T408*$AE$29+U408*$AE$30</f>
        <v/>
      </c>
      <c r="W408" s="8">
        <f>1/(1+EXP(-V408))</f>
        <v/>
      </c>
      <c r="X408" s="9">
        <f>-IF(C408=1,LN(W408),LN(1-W408))</f>
        <v/>
      </c>
      <c r="Y408" s="8">
        <f>IF(C408=1,$AE$32,$AE$33)</f>
        <v/>
      </c>
      <c r="Z408" s="9">
        <f>Y408*X408</f>
        <v/>
      </c>
      <c r="AA408" s="10">
        <f>IF(W408&gt;$AE$34,1,0)</f>
        <v/>
      </c>
      <c r="AB408">
        <f>IF(AA408=C408,1,0)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$AE$12+D409*$AE$13+E409*$AE$14+F409*$AE$15+G409*$AE$16+H409*$AE$17+I409*$AE$18+J409*$AE$19+K409*$AE$20+L409*$AE$21+M409*$AE$22+N409*$AE$23+O409*$AE$24+P409*$AE$25+Q409*$AE$26+R409*$AE$27+S409*$AE$28+T409*$AE$29+U409*$AE$30</f>
        <v/>
      </c>
      <c r="W409" s="8">
        <f>1/(1+EXP(-V409))</f>
        <v/>
      </c>
      <c r="X409" s="9">
        <f>-IF(C409=1,LN(W409),LN(1-W409))</f>
        <v/>
      </c>
      <c r="Y409" s="8">
        <f>IF(C409=1,$AE$32,$AE$33)</f>
        <v/>
      </c>
      <c r="Z409" s="9">
        <f>Y409*X409</f>
        <v/>
      </c>
      <c r="AA409" s="10">
        <f>IF(W409&gt;$AE$34,1,0)</f>
        <v/>
      </c>
      <c r="AB409">
        <f>IF(AA409=C409,1,0)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$AE$12+D410*$AE$13+E410*$AE$14+F410*$AE$15+G410*$AE$16+H410*$AE$17+I410*$AE$18+J410*$AE$19+K410*$AE$20+L410*$AE$21+M410*$AE$22+N410*$AE$23+O410*$AE$24+P410*$AE$25+Q410*$AE$26+R410*$AE$27+S410*$AE$28+T410*$AE$29+U410*$AE$30</f>
        <v/>
      </c>
      <c r="W410" s="8">
        <f>1/(1+EXP(-V410))</f>
        <v/>
      </c>
      <c r="X410" s="9">
        <f>-IF(C410=1,LN(W410),LN(1-W410))</f>
        <v/>
      </c>
      <c r="Y410" s="8">
        <f>IF(C410=1,$AE$32,$AE$33)</f>
        <v/>
      </c>
      <c r="Z410" s="9">
        <f>Y410*X410</f>
        <v/>
      </c>
      <c r="AA410" s="10">
        <f>IF(W410&gt;$AE$34,1,0)</f>
        <v/>
      </c>
      <c r="AB410">
        <f>IF(AA410=C410,1,0)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$AE$12+D411*$AE$13+E411*$AE$14+F411*$AE$15+G411*$AE$16+H411*$AE$17+I411*$AE$18+J411*$AE$19+K411*$AE$20+L411*$AE$21+M411*$AE$22+N411*$AE$23+O411*$AE$24+P411*$AE$25+Q411*$AE$26+R411*$AE$27+S411*$AE$28+T411*$AE$29+U411*$AE$30</f>
        <v/>
      </c>
      <c r="W411" s="8">
        <f>1/(1+EXP(-V411))</f>
        <v/>
      </c>
      <c r="X411" s="9">
        <f>-IF(C411=1,LN(W411),LN(1-W411))</f>
        <v/>
      </c>
      <c r="Y411" s="8">
        <f>IF(C411=1,$AE$32,$AE$33)</f>
        <v/>
      </c>
      <c r="Z411" s="9">
        <f>Y411*X411</f>
        <v/>
      </c>
      <c r="AA411" s="10">
        <f>IF(W411&gt;$AE$34,1,0)</f>
        <v/>
      </c>
      <c r="AB411">
        <f>IF(AA411=C411,1,0)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$AE$12+D412*$AE$13+E412*$AE$14+F412*$AE$15+G412*$AE$16+H412*$AE$17+I412*$AE$18+J412*$AE$19+K412*$AE$20+L412*$AE$21+M412*$AE$22+N412*$AE$23+O412*$AE$24+P412*$AE$25+Q412*$AE$26+R412*$AE$27+S412*$AE$28+T412*$AE$29+U412*$AE$30</f>
        <v/>
      </c>
      <c r="W412" s="8">
        <f>1/(1+EXP(-V412))</f>
        <v/>
      </c>
      <c r="X412" s="9">
        <f>-IF(C412=1,LN(W412),LN(1-W412))</f>
        <v/>
      </c>
      <c r="Y412" s="8">
        <f>IF(C412=1,$AE$32,$AE$33)</f>
        <v/>
      </c>
      <c r="Z412" s="9">
        <f>Y412*X412</f>
        <v/>
      </c>
      <c r="AA412" s="10">
        <f>IF(W412&gt;$AE$34,1,0)</f>
        <v/>
      </c>
      <c r="AB412">
        <f>IF(AA412=C412,1,0)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$AE$12+D413*$AE$13+E413*$AE$14+F413*$AE$15+G413*$AE$16+H413*$AE$17+I413*$AE$18+J413*$AE$19+K413*$AE$20+L413*$AE$21+M413*$AE$22+N413*$AE$23+O413*$AE$24+P413*$AE$25+Q413*$AE$26+R413*$AE$27+S413*$AE$28+T413*$AE$29+U413*$AE$30</f>
        <v/>
      </c>
      <c r="W413" s="8">
        <f>1/(1+EXP(-V413))</f>
        <v/>
      </c>
      <c r="X413" s="9">
        <f>-IF(C413=1,LN(W413),LN(1-W413))</f>
        <v/>
      </c>
      <c r="Y413" s="8">
        <f>IF(C413=1,$AE$32,$AE$33)</f>
        <v/>
      </c>
      <c r="Z413" s="9">
        <f>Y413*X413</f>
        <v/>
      </c>
      <c r="AA413" s="10">
        <f>IF(W413&gt;$AE$34,1,0)</f>
        <v/>
      </c>
      <c r="AB413">
        <f>IF(AA413=C413,1,0)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$AE$12+D414*$AE$13+E414*$AE$14+F414*$AE$15+G414*$AE$16+H414*$AE$17+I414*$AE$18+J414*$AE$19+K414*$AE$20+L414*$AE$21+M414*$AE$22+N414*$AE$23+O414*$AE$24+P414*$AE$25+Q414*$AE$26+R414*$AE$27+S414*$AE$28+T414*$AE$29+U414*$AE$30</f>
        <v/>
      </c>
      <c r="W414" s="8">
        <f>1/(1+EXP(-V414))</f>
        <v/>
      </c>
      <c r="X414" s="9">
        <f>-IF(C414=1,LN(W414),LN(1-W414))</f>
        <v/>
      </c>
      <c r="Y414" s="8">
        <f>IF(C414=1,$AE$32,$AE$33)</f>
        <v/>
      </c>
      <c r="Z414" s="9">
        <f>Y414*X414</f>
        <v/>
      </c>
      <c r="AA414" s="10">
        <f>IF(W414&gt;$AE$34,1,0)</f>
        <v/>
      </c>
      <c r="AB414">
        <f>IF(AA414=C414,1,0)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$AE$12+D415*$AE$13+E415*$AE$14+F415*$AE$15+G415*$AE$16+H415*$AE$17+I415*$AE$18+J415*$AE$19+K415*$AE$20+L415*$AE$21+M415*$AE$22+N415*$AE$23+O415*$AE$24+P415*$AE$25+Q415*$AE$26+R415*$AE$27+S415*$AE$28+T415*$AE$29+U415*$AE$30</f>
        <v/>
      </c>
      <c r="W415" s="8">
        <f>1/(1+EXP(-V415))</f>
        <v/>
      </c>
      <c r="X415" s="9">
        <f>-IF(C415=1,LN(W415),LN(1-W415))</f>
        <v/>
      </c>
      <c r="Y415" s="8">
        <f>IF(C415=1,$AE$32,$AE$33)</f>
        <v/>
      </c>
      <c r="Z415" s="9">
        <f>Y415*X415</f>
        <v/>
      </c>
      <c r="AA415" s="10">
        <f>IF(W415&gt;$AE$34,1,0)</f>
        <v/>
      </c>
      <c r="AB415">
        <f>IF(AA415=C415,1,0)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$AE$12+D416*$AE$13+E416*$AE$14+F416*$AE$15+G416*$AE$16+H416*$AE$17+I416*$AE$18+J416*$AE$19+K416*$AE$20+L416*$AE$21+M416*$AE$22+N416*$AE$23+O416*$AE$24+P416*$AE$25+Q416*$AE$26+R416*$AE$27+S416*$AE$28+T416*$AE$29+U416*$AE$30</f>
        <v/>
      </c>
      <c r="W416" s="8">
        <f>1/(1+EXP(-V416))</f>
        <v/>
      </c>
      <c r="X416" s="9">
        <f>-IF(C416=1,LN(W416),LN(1-W416))</f>
        <v/>
      </c>
      <c r="Y416" s="8">
        <f>IF(C416=1,$AE$32,$AE$33)</f>
        <v/>
      </c>
      <c r="Z416" s="9">
        <f>Y416*X416</f>
        <v/>
      </c>
      <c r="AA416" s="10">
        <f>IF(W416&gt;$AE$34,1,0)</f>
        <v/>
      </c>
      <c r="AB416">
        <f>IF(AA416=C416,1,0)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$AE$12+D417*$AE$13+E417*$AE$14+F417*$AE$15+G417*$AE$16+H417*$AE$17+I417*$AE$18+J417*$AE$19+K417*$AE$20+L417*$AE$21+M417*$AE$22+N417*$AE$23+O417*$AE$24+P417*$AE$25+Q417*$AE$26+R417*$AE$27+S417*$AE$28+T417*$AE$29+U417*$AE$30</f>
        <v/>
      </c>
      <c r="W417" s="8">
        <f>1/(1+EXP(-V417))</f>
        <v/>
      </c>
      <c r="X417" s="9">
        <f>-IF(C417=1,LN(W417),LN(1-W417))</f>
        <v/>
      </c>
      <c r="Y417" s="8">
        <f>IF(C417=1,$AE$32,$AE$33)</f>
        <v/>
      </c>
      <c r="Z417" s="9">
        <f>Y417*X417</f>
        <v/>
      </c>
      <c r="AA417" s="10">
        <f>IF(W417&gt;$AE$34,1,0)</f>
        <v/>
      </c>
      <c r="AB417">
        <f>IF(AA417=C417,1,0)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$AE$12+D418*$AE$13+E418*$AE$14+F418*$AE$15+G418*$AE$16+H418*$AE$17+I418*$AE$18+J418*$AE$19+K418*$AE$20+L418*$AE$21+M418*$AE$22+N418*$AE$23+O418*$AE$24+P418*$AE$25+Q418*$AE$26+R418*$AE$27+S418*$AE$28+T418*$AE$29+U418*$AE$30</f>
        <v/>
      </c>
      <c r="W418" s="8">
        <f>1/(1+EXP(-V418))</f>
        <v/>
      </c>
      <c r="X418" s="9">
        <f>-IF(C418=1,LN(W418),LN(1-W418))</f>
        <v/>
      </c>
      <c r="Y418" s="8">
        <f>IF(C418=1,$AE$32,$AE$33)</f>
        <v/>
      </c>
      <c r="Z418" s="9">
        <f>Y418*X418</f>
        <v/>
      </c>
      <c r="AA418" s="10">
        <f>IF(W418&gt;$AE$34,1,0)</f>
        <v/>
      </c>
      <c r="AB418">
        <f>IF(AA418=C418,1,0)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$AE$12+D419*$AE$13+E419*$AE$14+F419*$AE$15+G419*$AE$16+H419*$AE$17+I419*$AE$18+J419*$AE$19+K419*$AE$20+L419*$AE$21+M419*$AE$22+N419*$AE$23+O419*$AE$24+P419*$AE$25+Q419*$AE$26+R419*$AE$27+S419*$AE$28+T419*$AE$29+U419*$AE$30</f>
        <v/>
      </c>
      <c r="W419" s="8">
        <f>1/(1+EXP(-V419))</f>
        <v/>
      </c>
      <c r="X419" s="9">
        <f>-IF(C419=1,LN(W419),LN(1-W419))</f>
        <v/>
      </c>
      <c r="Y419" s="8">
        <f>IF(C419=1,$AE$32,$AE$33)</f>
        <v/>
      </c>
      <c r="Z419" s="9">
        <f>Y419*X419</f>
        <v/>
      </c>
      <c r="AA419" s="10">
        <f>IF(W419&gt;$AE$34,1,0)</f>
        <v/>
      </c>
      <c r="AB419">
        <f>IF(AA419=C419,1,0)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$AE$12+D420*$AE$13+E420*$AE$14+F420*$AE$15+G420*$AE$16+H420*$AE$17+I420*$AE$18+J420*$AE$19+K420*$AE$20+L420*$AE$21+M420*$AE$22+N420*$AE$23+O420*$AE$24+P420*$AE$25+Q420*$AE$26+R420*$AE$27+S420*$AE$28+T420*$AE$29+U420*$AE$30</f>
        <v/>
      </c>
      <c r="W420" s="8">
        <f>1/(1+EXP(-V420))</f>
        <v/>
      </c>
      <c r="X420" s="9">
        <f>-IF(C420=1,LN(W420),LN(1-W420))</f>
        <v/>
      </c>
      <c r="Y420" s="8">
        <f>IF(C420=1,$AE$32,$AE$33)</f>
        <v/>
      </c>
      <c r="Z420" s="9">
        <f>Y420*X420</f>
        <v/>
      </c>
      <c r="AA420" s="10">
        <f>IF(W420&gt;$AE$34,1,0)</f>
        <v/>
      </c>
      <c r="AB420">
        <f>IF(AA420=C420,1,0)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$AE$12+D421*$AE$13+E421*$AE$14+F421*$AE$15+G421*$AE$16+H421*$AE$17+I421*$AE$18+J421*$AE$19+K421*$AE$20+L421*$AE$21+M421*$AE$22+N421*$AE$23+O421*$AE$24+P421*$AE$25+Q421*$AE$26+R421*$AE$27+S421*$AE$28+T421*$AE$29+U421*$AE$30</f>
        <v/>
      </c>
      <c r="W421" s="8">
        <f>1/(1+EXP(-V421))</f>
        <v/>
      </c>
      <c r="X421" s="9">
        <f>-IF(C421=1,LN(W421),LN(1-W421))</f>
        <v/>
      </c>
      <c r="Y421" s="8">
        <f>IF(C421=1,$AE$32,$AE$33)</f>
        <v/>
      </c>
      <c r="Z421" s="9">
        <f>Y421*X421</f>
        <v/>
      </c>
      <c r="AA421" s="10">
        <f>IF(W421&gt;$AE$34,1,0)</f>
        <v/>
      </c>
      <c r="AB421">
        <f>IF(AA421=C421,1,0)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$AE$12+D422*$AE$13+E422*$AE$14+F422*$AE$15+G422*$AE$16+H422*$AE$17+I422*$AE$18+J422*$AE$19+K422*$AE$20+L422*$AE$21+M422*$AE$22+N422*$AE$23+O422*$AE$24+P422*$AE$25+Q422*$AE$26+R422*$AE$27+S422*$AE$28+T422*$AE$29+U422*$AE$30</f>
        <v/>
      </c>
      <c r="W422" s="8">
        <f>1/(1+EXP(-V422))</f>
        <v/>
      </c>
      <c r="X422" s="9">
        <f>-IF(C422=1,LN(W422),LN(1-W422))</f>
        <v/>
      </c>
      <c r="Y422" s="8">
        <f>IF(C422=1,$AE$32,$AE$33)</f>
        <v/>
      </c>
      <c r="Z422" s="9">
        <f>Y422*X422</f>
        <v/>
      </c>
      <c r="AA422" s="10">
        <f>IF(W422&gt;$AE$34,1,0)</f>
        <v/>
      </c>
      <c r="AB422">
        <f>IF(AA422=C422,1,0)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$AE$12+D423*$AE$13+E423*$AE$14+F423*$AE$15+G423*$AE$16+H423*$AE$17+I423*$AE$18+J423*$AE$19+K423*$AE$20+L423*$AE$21+M423*$AE$22+N423*$AE$23+O423*$AE$24+P423*$AE$25+Q423*$AE$26+R423*$AE$27+S423*$AE$28+T423*$AE$29+U423*$AE$30</f>
        <v/>
      </c>
      <c r="W423" s="8">
        <f>1/(1+EXP(-V423))</f>
        <v/>
      </c>
      <c r="X423" s="9">
        <f>-IF(C423=1,LN(W423),LN(1-W423))</f>
        <v/>
      </c>
      <c r="Y423" s="8">
        <f>IF(C423=1,$AE$32,$AE$33)</f>
        <v/>
      </c>
      <c r="Z423" s="9">
        <f>Y423*X423</f>
        <v/>
      </c>
      <c r="AA423" s="10">
        <f>IF(W423&gt;$AE$34,1,0)</f>
        <v/>
      </c>
      <c r="AB423">
        <f>IF(AA423=C423,1,0)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$AE$12+D424*$AE$13+E424*$AE$14+F424*$AE$15+G424*$AE$16+H424*$AE$17+I424*$AE$18+J424*$AE$19+K424*$AE$20+L424*$AE$21+M424*$AE$22+N424*$AE$23+O424*$AE$24+P424*$AE$25+Q424*$AE$26+R424*$AE$27+S424*$AE$28+T424*$AE$29+U424*$AE$30</f>
        <v/>
      </c>
      <c r="W424" s="8">
        <f>1/(1+EXP(-V424))</f>
        <v/>
      </c>
      <c r="X424" s="9">
        <f>-IF(C424=1,LN(W424),LN(1-W424))</f>
        <v/>
      </c>
      <c r="Y424" s="8">
        <f>IF(C424=1,$AE$32,$AE$33)</f>
        <v/>
      </c>
      <c r="Z424" s="9">
        <f>Y424*X424</f>
        <v/>
      </c>
      <c r="AA424" s="10">
        <f>IF(W424&gt;$AE$34,1,0)</f>
        <v/>
      </c>
      <c r="AB424">
        <f>IF(AA424=C424,1,0)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$AE$12+D425*$AE$13+E425*$AE$14+F425*$AE$15+G425*$AE$16+H425*$AE$17+I425*$AE$18+J425*$AE$19+K425*$AE$20+L425*$AE$21+M425*$AE$22+N425*$AE$23+O425*$AE$24+P425*$AE$25+Q425*$AE$26+R425*$AE$27+S425*$AE$28+T425*$AE$29+U425*$AE$30</f>
        <v/>
      </c>
      <c r="W425" s="8">
        <f>1/(1+EXP(-V425))</f>
        <v/>
      </c>
      <c r="X425" s="9">
        <f>-IF(C425=1,LN(W425),LN(1-W425))</f>
        <v/>
      </c>
      <c r="Y425" s="8">
        <f>IF(C425=1,$AE$32,$AE$33)</f>
        <v/>
      </c>
      <c r="Z425" s="9">
        <f>Y425*X425</f>
        <v/>
      </c>
      <c r="AA425" s="10">
        <f>IF(W425&gt;$AE$34,1,0)</f>
        <v/>
      </c>
      <c r="AB425">
        <f>IF(AA425=C425,1,0)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$AE$12+D426*$AE$13+E426*$AE$14+F426*$AE$15+G426*$AE$16+H426*$AE$17+I426*$AE$18+J426*$AE$19+K426*$AE$20+L426*$AE$21+M426*$AE$22+N426*$AE$23+O426*$AE$24+P426*$AE$25+Q426*$AE$26+R426*$AE$27+S426*$AE$28+T426*$AE$29+U426*$AE$30</f>
        <v/>
      </c>
      <c r="W426" s="8">
        <f>1/(1+EXP(-V426))</f>
        <v/>
      </c>
      <c r="X426" s="9">
        <f>-IF(C426=1,LN(W426),LN(1-W426))</f>
        <v/>
      </c>
      <c r="Y426" s="8">
        <f>IF(C426=1,$AE$32,$AE$33)</f>
        <v/>
      </c>
      <c r="Z426" s="9">
        <f>Y426*X426</f>
        <v/>
      </c>
      <c r="AA426" s="10">
        <f>IF(W426&gt;$AE$34,1,0)</f>
        <v/>
      </c>
      <c r="AB426">
        <f>IF(AA426=C426,1,0)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$AE$12+D427*$AE$13+E427*$AE$14+F427*$AE$15+G427*$AE$16+H427*$AE$17+I427*$AE$18+J427*$AE$19+K427*$AE$20+L427*$AE$21+M427*$AE$22+N427*$AE$23+O427*$AE$24+P427*$AE$25+Q427*$AE$26+R427*$AE$27+S427*$AE$28+T427*$AE$29+U427*$AE$30</f>
        <v/>
      </c>
      <c r="W427" s="8">
        <f>1/(1+EXP(-V427))</f>
        <v/>
      </c>
      <c r="X427" s="9">
        <f>-IF(C427=1,LN(W427),LN(1-W427))</f>
        <v/>
      </c>
      <c r="Y427" s="8">
        <f>IF(C427=1,$AE$32,$AE$33)</f>
        <v/>
      </c>
      <c r="Z427" s="9">
        <f>Y427*X427</f>
        <v/>
      </c>
      <c r="AA427" s="10">
        <f>IF(W427&gt;$AE$34,1,0)</f>
        <v/>
      </c>
      <c r="AB427">
        <f>IF(AA427=C427,1,0)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$AE$12+D428*$AE$13+E428*$AE$14+F428*$AE$15+G428*$AE$16+H428*$AE$17+I428*$AE$18+J428*$AE$19+K428*$AE$20+L428*$AE$21+M428*$AE$22+N428*$AE$23+O428*$AE$24+P428*$AE$25+Q428*$AE$26+R428*$AE$27+S428*$AE$28+T428*$AE$29+U428*$AE$30</f>
        <v/>
      </c>
      <c r="W428" s="8">
        <f>1/(1+EXP(-V428))</f>
        <v/>
      </c>
      <c r="X428" s="9">
        <f>-IF(C428=1,LN(W428),LN(1-W428))</f>
        <v/>
      </c>
      <c r="Y428" s="8">
        <f>IF(C428=1,$AE$32,$AE$33)</f>
        <v/>
      </c>
      <c r="Z428" s="9">
        <f>Y428*X428</f>
        <v/>
      </c>
      <c r="AA428" s="10">
        <f>IF(W428&gt;$AE$34,1,0)</f>
        <v/>
      </c>
      <c r="AB428">
        <f>IF(AA428=C428,1,0)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$AE$12+D429*$AE$13+E429*$AE$14+F429*$AE$15+G429*$AE$16+H429*$AE$17+I429*$AE$18+J429*$AE$19+K429*$AE$20+L429*$AE$21+M429*$AE$22+N429*$AE$23+O429*$AE$24+P429*$AE$25+Q429*$AE$26+R429*$AE$27+S429*$AE$28+T429*$AE$29+U429*$AE$30</f>
        <v/>
      </c>
      <c r="W429" s="8">
        <f>1/(1+EXP(-V429))</f>
        <v/>
      </c>
      <c r="X429" s="9">
        <f>-IF(C429=1,LN(W429),LN(1-W429))</f>
        <v/>
      </c>
      <c r="Y429" s="8">
        <f>IF(C429=1,$AE$32,$AE$33)</f>
        <v/>
      </c>
      <c r="Z429" s="9">
        <f>Y429*X429</f>
        <v/>
      </c>
      <c r="AA429" s="10">
        <f>IF(W429&gt;$AE$34,1,0)</f>
        <v/>
      </c>
      <c r="AB429">
        <f>IF(AA429=C429,1,0)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$AE$12+D430*$AE$13+E430*$AE$14+F430*$AE$15+G430*$AE$16+H430*$AE$17+I430*$AE$18+J430*$AE$19+K430*$AE$20+L430*$AE$21+M430*$AE$22+N430*$AE$23+O430*$AE$24+P430*$AE$25+Q430*$AE$26+R430*$AE$27+S430*$AE$28+T430*$AE$29+U430*$AE$30</f>
        <v/>
      </c>
      <c r="W430" s="8">
        <f>1/(1+EXP(-V430))</f>
        <v/>
      </c>
      <c r="X430" s="9">
        <f>-IF(C430=1,LN(W430),LN(1-W430))</f>
        <v/>
      </c>
      <c r="Y430" s="8">
        <f>IF(C430=1,$AE$32,$AE$33)</f>
        <v/>
      </c>
      <c r="Z430" s="9">
        <f>Y430*X430</f>
        <v/>
      </c>
      <c r="AA430" s="10">
        <f>IF(W430&gt;$AE$34,1,0)</f>
        <v/>
      </c>
      <c r="AB430">
        <f>IF(AA430=C430,1,0)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$AE$12+D431*$AE$13+E431*$AE$14+F431*$AE$15+G431*$AE$16+H431*$AE$17+I431*$AE$18+J431*$AE$19+K431*$AE$20+L431*$AE$21+M431*$AE$22+N431*$AE$23+O431*$AE$24+P431*$AE$25+Q431*$AE$26+R431*$AE$27+S431*$AE$28+T431*$AE$29+U431*$AE$30</f>
        <v/>
      </c>
      <c r="W431" s="8">
        <f>1/(1+EXP(-V431))</f>
        <v/>
      </c>
      <c r="X431" s="9">
        <f>-IF(C431=1,LN(W431),LN(1-W431))</f>
        <v/>
      </c>
      <c r="Y431" s="8">
        <f>IF(C431=1,$AE$32,$AE$33)</f>
        <v/>
      </c>
      <c r="Z431" s="9">
        <f>Y431*X431</f>
        <v/>
      </c>
      <c r="AA431" s="10">
        <f>IF(W431&gt;$AE$34,1,0)</f>
        <v/>
      </c>
      <c r="AB431">
        <f>IF(AA431=C431,1,0)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$AE$12+D432*$AE$13+E432*$AE$14+F432*$AE$15+G432*$AE$16+H432*$AE$17+I432*$AE$18+J432*$AE$19+K432*$AE$20+L432*$AE$21+M432*$AE$22+N432*$AE$23+O432*$AE$24+P432*$AE$25+Q432*$AE$26+R432*$AE$27+S432*$AE$28+T432*$AE$29+U432*$AE$30</f>
        <v/>
      </c>
      <c r="W432" s="8">
        <f>1/(1+EXP(-V432))</f>
        <v/>
      </c>
      <c r="X432" s="9">
        <f>-IF(C432=1,LN(W432),LN(1-W432))</f>
        <v/>
      </c>
      <c r="Y432" s="8">
        <f>IF(C432=1,$AE$32,$AE$33)</f>
        <v/>
      </c>
      <c r="Z432" s="9">
        <f>Y432*X432</f>
        <v/>
      </c>
      <c r="AA432" s="10">
        <f>IF(W432&gt;$AE$34,1,0)</f>
        <v/>
      </c>
      <c r="AB432">
        <f>IF(AA432=C432,1,0)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$AE$12+D433*$AE$13+E433*$AE$14+F433*$AE$15+G433*$AE$16+H433*$AE$17+I433*$AE$18+J433*$AE$19+K433*$AE$20+L433*$AE$21+M433*$AE$22+N433*$AE$23+O433*$AE$24+P433*$AE$25+Q433*$AE$26+R433*$AE$27+S433*$AE$28+T433*$AE$29+U433*$AE$30</f>
        <v/>
      </c>
      <c r="W433" s="8">
        <f>1/(1+EXP(-V433))</f>
        <v/>
      </c>
      <c r="X433" s="9">
        <f>-IF(C433=1,LN(W433),LN(1-W433))</f>
        <v/>
      </c>
      <c r="Y433" s="8">
        <f>IF(C433=1,$AE$32,$AE$33)</f>
        <v/>
      </c>
      <c r="Z433" s="9">
        <f>Y433*X433</f>
        <v/>
      </c>
      <c r="AA433" s="10">
        <f>IF(W433&gt;$AE$34,1,0)</f>
        <v/>
      </c>
      <c r="AB433">
        <f>IF(AA433=C433,1,0)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$AE$12+D434*$AE$13+E434*$AE$14+F434*$AE$15+G434*$AE$16+H434*$AE$17+I434*$AE$18+J434*$AE$19+K434*$AE$20+L434*$AE$21+M434*$AE$22+N434*$AE$23+O434*$AE$24+P434*$AE$25+Q434*$AE$26+R434*$AE$27+S434*$AE$28+T434*$AE$29+U434*$AE$30</f>
        <v/>
      </c>
      <c r="W434" s="8">
        <f>1/(1+EXP(-V434))</f>
        <v/>
      </c>
      <c r="X434" s="9">
        <f>-IF(C434=1,LN(W434),LN(1-W434))</f>
        <v/>
      </c>
      <c r="Y434" s="8">
        <f>IF(C434=1,$AE$32,$AE$33)</f>
        <v/>
      </c>
      <c r="Z434" s="9">
        <f>Y434*X434</f>
        <v/>
      </c>
      <c r="AA434" s="10">
        <f>IF(W434&gt;$AE$34,1,0)</f>
        <v/>
      </c>
      <c r="AB434">
        <f>IF(AA434=C434,1,0)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$AE$12+D435*$AE$13+E435*$AE$14+F435*$AE$15+G435*$AE$16+H435*$AE$17+I435*$AE$18+J435*$AE$19+K435*$AE$20+L435*$AE$21+M435*$AE$22+N435*$AE$23+O435*$AE$24+P435*$AE$25+Q435*$AE$26+R435*$AE$27+S435*$AE$28+T435*$AE$29+U435*$AE$30</f>
        <v/>
      </c>
      <c r="W435" s="8">
        <f>1/(1+EXP(-V435))</f>
        <v/>
      </c>
      <c r="X435" s="9">
        <f>-IF(C435=1,LN(W435),LN(1-W435))</f>
        <v/>
      </c>
      <c r="Y435" s="8">
        <f>IF(C435=1,$AE$32,$AE$33)</f>
        <v/>
      </c>
      <c r="Z435" s="9">
        <f>Y435*X435</f>
        <v/>
      </c>
      <c r="AA435" s="10">
        <f>IF(W435&gt;$AE$34,1,0)</f>
        <v/>
      </c>
      <c r="AB435">
        <f>IF(AA435=C435,1,0)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$AE$12+D436*$AE$13+E436*$AE$14+F436*$AE$15+G436*$AE$16+H436*$AE$17+I436*$AE$18+J436*$AE$19+K436*$AE$20+L436*$AE$21+M436*$AE$22+N436*$AE$23+O436*$AE$24+P436*$AE$25+Q436*$AE$26+R436*$AE$27+S436*$AE$28+T436*$AE$29+U436*$AE$30</f>
        <v/>
      </c>
      <c r="W436" s="8">
        <f>1/(1+EXP(-V436))</f>
        <v/>
      </c>
      <c r="X436" s="9">
        <f>-IF(C436=1,LN(W436),LN(1-W436))</f>
        <v/>
      </c>
      <c r="Y436" s="8">
        <f>IF(C436=1,$AE$32,$AE$33)</f>
        <v/>
      </c>
      <c r="Z436" s="9">
        <f>Y436*X436</f>
        <v/>
      </c>
      <c r="AA436" s="10">
        <f>IF(W436&gt;$AE$34,1,0)</f>
        <v/>
      </c>
      <c r="AB436">
        <f>IF(AA436=C436,1,0)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$AE$12+D437*$AE$13+E437*$AE$14+F437*$AE$15+G437*$AE$16+H437*$AE$17+I437*$AE$18+J437*$AE$19+K437*$AE$20+L437*$AE$21+M437*$AE$22+N437*$AE$23+O437*$AE$24+P437*$AE$25+Q437*$AE$26+R437*$AE$27+S437*$AE$28+T437*$AE$29+U437*$AE$30</f>
        <v/>
      </c>
      <c r="W437" s="8">
        <f>1/(1+EXP(-V437))</f>
        <v/>
      </c>
      <c r="X437" s="9">
        <f>-IF(C437=1,LN(W437),LN(1-W437))</f>
        <v/>
      </c>
      <c r="Y437" s="8">
        <f>IF(C437=1,$AE$32,$AE$33)</f>
        <v/>
      </c>
      <c r="Z437" s="9">
        <f>Y437*X437</f>
        <v/>
      </c>
      <c r="AA437" s="10">
        <f>IF(W437&gt;$AE$34,1,0)</f>
        <v/>
      </c>
      <c r="AB437">
        <f>IF(AA437=C437,1,0)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$AE$12+D438*$AE$13+E438*$AE$14+F438*$AE$15+G438*$AE$16+H438*$AE$17+I438*$AE$18+J438*$AE$19+K438*$AE$20+L438*$AE$21+M438*$AE$22+N438*$AE$23+O438*$AE$24+P438*$AE$25+Q438*$AE$26+R438*$AE$27+S438*$AE$28+T438*$AE$29+U438*$AE$30</f>
        <v/>
      </c>
      <c r="W438" s="8">
        <f>1/(1+EXP(-V438))</f>
        <v/>
      </c>
      <c r="X438" s="9">
        <f>-IF(C438=1,LN(W438),LN(1-W438))</f>
        <v/>
      </c>
      <c r="Y438" s="8">
        <f>IF(C438=1,$AE$32,$AE$33)</f>
        <v/>
      </c>
      <c r="Z438" s="9">
        <f>Y438*X438</f>
        <v/>
      </c>
      <c r="AA438" s="10">
        <f>IF(W438&gt;$AE$34,1,0)</f>
        <v/>
      </c>
      <c r="AB438">
        <f>IF(AA438=C438,1,0)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$AE$12+D439*$AE$13+E439*$AE$14+F439*$AE$15+G439*$AE$16+H439*$AE$17+I439*$AE$18+J439*$AE$19+K439*$AE$20+L439*$AE$21+M439*$AE$22+N439*$AE$23+O439*$AE$24+P439*$AE$25+Q439*$AE$26+R439*$AE$27+S439*$AE$28+T439*$AE$29+U439*$AE$30</f>
        <v/>
      </c>
      <c r="W439" s="8">
        <f>1/(1+EXP(-V439))</f>
        <v/>
      </c>
      <c r="X439" s="9">
        <f>-IF(C439=1,LN(W439),LN(1-W439))</f>
        <v/>
      </c>
      <c r="Y439" s="8">
        <f>IF(C439=1,$AE$32,$AE$33)</f>
        <v/>
      </c>
      <c r="Z439" s="9">
        <f>Y439*X439</f>
        <v/>
      </c>
      <c r="AA439" s="10">
        <f>IF(W439&gt;$AE$34,1,0)</f>
        <v/>
      </c>
      <c r="AB439">
        <f>IF(AA439=C439,1,0)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$AE$12+D440*$AE$13+E440*$AE$14+F440*$AE$15+G440*$AE$16+H440*$AE$17+I440*$AE$18+J440*$AE$19+K440*$AE$20+L440*$AE$21+M440*$AE$22+N440*$AE$23+O440*$AE$24+P440*$AE$25+Q440*$AE$26+R440*$AE$27+S440*$AE$28+T440*$AE$29+U440*$AE$30</f>
        <v/>
      </c>
      <c r="W440" s="8">
        <f>1/(1+EXP(-V440))</f>
        <v/>
      </c>
      <c r="X440" s="9">
        <f>-IF(C440=1,LN(W440),LN(1-W440))</f>
        <v/>
      </c>
      <c r="Y440" s="8">
        <f>IF(C440=1,$AE$32,$AE$33)</f>
        <v/>
      </c>
      <c r="Z440" s="9">
        <f>Y440*X440</f>
        <v/>
      </c>
      <c r="AA440" s="10">
        <f>IF(W440&gt;$AE$34,1,0)</f>
        <v/>
      </c>
      <c r="AB440">
        <f>IF(AA440=C440,1,0)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$AE$12+D441*$AE$13+E441*$AE$14+F441*$AE$15+G441*$AE$16+H441*$AE$17+I441*$AE$18+J441*$AE$19+K441*$AE$20+L441*$AE$21+M441*$AE$22+N441*$AE$23+O441*$AE$24+P441*$AE$25+Q441*$AE$26+R441*$AE$27+S441*$AE$28+T441*$AE$29+U441*$AE$30</f>
        <v/>
      </c>
      <c r="W441" s="8">
        <f>1/(1+EXP(-V441))</f>
        <v/>
      </c>
      <c r="X441" s="9">
        <f>-IF(C441=1,LN(W441),LN(1-W441))</f>
        <v/>
      </c>
      <c r="Y441" s="8">
        <f>IF(C441=1,$AE$32,$AE$33)</f>
        <v/>
      </c>
      <c r="Z441" s="9">
        <f>Y441*X441</f>
        <v/>
      </c>
      <c r="AA441" s="10">
        <f>IF(W441&gt;$AE$34,1,0)</f>
        <v/>
      </c>
      <c r="AB441">
        <f>IF(AA441=C441,1,0)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$AE$12+D442*$AE$13+E442*$AE$14+F442*$AE$15+G442*$AE$16+H442*$AE$17+I442*$AE$18+J442*$AE$19+K442*$AE$20+L442*$AE$21+M442*$AE$22+N442*$AE$23+O442*$AE$24+P442*$AE$25+Q442*$AE$26+R442*$AE$27+S442*$AE$28+T442*$AE$29+U442*$AE$30</f>
        <v/>
      </c>
      <c r="W442" s="8">
        <f>1/(1+EXP(-V442))</f>
        <v/>
      </c>
      <c r="X442" s="9">
        <f>-IF(C442=1,LN(W442),LN(1-W442))</f>
        <v/>
      </c>
      <c r="Y442" s="8">
        <f>IF(C442=1,$AE$32,$AE$33)</f>
        <v/>
      </c>
      <c r="Z442" s="9">
        <f>Y442*X442</f>
        <v/>
      </c>
      <c r="AA442" s="10">
        <f>IF(W442&gt;$AE$34,1,0)</f>
        <v/>
      </c>
      <c r="AB442">
        <f>IF(AA442=C442,1,0)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$AE$12+D443*$AE$13+E443*$AE$14+F443*$AE$15+G443*$AE$16+H443*$AE$17+I443*$AE$18+J443*$AE$19+K443*$AE$20+L443*$AE$21+M443*$AE$22+N443*$AE$23+O443*$AE$24+P443*$AE$25+Q443*$AE$26+R443*$AE$27+S443*$AE$28+T443*$AE$29+U443*$AE$30</f>
        <v/>
      </c>
      <c r="W443" s="8">
        <f>1/(1+EXP(-V443))</f>
        <v/>
      </c>
      <c r="X443" s="9">
        <f>-IF(C443=1,LN(W443),LN(1-W443))</f>
        <v/>
      </c>
      <c r="Y443" s="8">
        <f>IF(C443=1,$AE$32,$AE$33)</f>
        <v/>
      </c>
      <c r="Z443" s="9">
        <f>Y443*X443</f>
        <v/>
      </c>
      <c r="AA443" s="10">
        <f>IF(W443&gt;$AE$34,1,0)</f>
        <v/>
      </c>
      <c r="AB443">
        <f>IF(AA443=C443,1,0)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$AE$12+D444*$AE$13+E444*$AE$14+F444*$AE$15+G444*$AE$16+H444*$AE$17+I444*$AE$18+J444*$AE$19+K444*$AE$20+L444*$AE$21+M444*$AE$22+N444*$AE$23+O444*$AE$24+P444*$AE$25+Q444*$AE$26+R444*$AE$27+S444*$AE$28+T444*$AE$29+U444*$AE$30</f>
        <v/>
      </c>
      <c r="W444" s="8">
        <f>1/(1+EXP(-V444))</f>
        <v/>
      </c>
      <c r="X444" s="9">
        <f>-IF(C444=1,LN(W444),LN(1-W444))</f>
        <v/>
      </c>
      <c r="Y444" s="8">
        <f>IF(C444=1,$AE$32,$AE$33)</f>
        <v/>
      </c>
      <c r="Z444" s="9">
        <f>Y444*X444</f>
        <v/>
      </c>
      <c r="AA444" s="10">
        <f>IF(W444&gt;$AE$34,1,0)</f>
        <v/>
      </c>
      <c r="AB444">
        <f>IF(AA444=C444,1,0)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$AE$12+D445*$AE$13+E445*$AE$14+F445*$AE$15+G445*$AE$16+H445*$AE$17+I445*$AE$18+J445*$AE$19+K445*$AE$20+L445*$AE$21+M445*$AE$22+N445*$AE$23+O445*$AE$24+P445*$AE$25+Q445*$AE$26+R445*$AE$27+S445*$AE$28+T445*$AE$29+U445*$AE$30</f>
        <v/>
      </c>
      <c r="W445" s="8">
        <f>1/(1+EXP(-V445))</f>
        <v/>
      </c>
      <c r="X445" s="9">
        <f>-IF(C445=1,LN(W445),LN(1-W445))</f>
        <v/>
      </c>
      <c r="Y445" s="8">
        <f>IF(C445=1,$AE$32,$AE$33)</f>
        <v/>
      </c>
      <c r="Z445" s="9">
        <f>Y445*X445</f>
        <v/>
      </c>
      <c r="AA445" s="10">
        <f>IF(W445&gt;$AE$34,1,0)</f>
        <v/>
      </c>
      <c r="AB445">
        <f>IF(AA445=C445,1,0)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$AE$12+D446*$AE$13+E446*$AE$14+F446*$AE$15+G446*$AE$16+H446*$AE$17+I446*$AE$18+J446*$AE$19+K446*$AE$20+L446*$AE$21+M446*$AE$22+N446*$AE$23+O446*$AE$24+P446*$AE$25+Q446*$AE$26+R446*$AE$27+S446*$AE$28+T446*$AE$29+U446*$AE$30</f>
        <v/>
      </c>
      <c r="W446" s="8">
        <f>1/(1+EXP(-V446))</f>
        <v/>
      </c>
      <c r="X446" s="9">
        <f>-IF(C446=1,LN(W446),LN(1-W446))</f>
        <v/>
      </c>
      <c r="Y446" s="8">
        <f>IF(C446=1,$AE$32,$AE$33)</f>
        <v/>
      </c>
      <c r="Z446" s="9">
        <f>Y446*X446</f>
        <v/>
      </c>
      <c r="AA446" s="10">
        <f>IF(W446&gt;$AE$34,1,0)</f>
        <v/>
      </c>
      <c r="AB446">
        <f>IF(AA446=C446,1,0)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$AE$12+D447*$AE$13+E447*$AE$14+F447*$AE$15+G447*$AE$16+H447*$AE$17+I447*$AE$18+J447*$AE$19+K447*$AE$20+L447*$AE$21+M447*$AE$22+N447*$AE$23+O447*$AE$24+P447*$AE$25+Q447*$AE$26+R447*$AE$27+S447*$AE$28+T447*$AE$29+U447*$AE$30</f>
        <v/>
      </c>
      <c r="W447" s="8">
        <f>1/(1+EXP(-V447))</f>
        <v/>
      </c>
      <c r="X447" s="9">
        <f>-IF(C447=1,LN(W447),LN(1-W447))</f>
        <v/>
      </c>
      <c r="Y447" s="8">
        <f>IF(C447=1,$AE$32,$AE$33)</f>
        <v/>
      </c>
      <c r="Z447" s="9">
        <f>Y447*X447</f>
        <v/>
      </c>
      <c r="AA447" s="10">
        <f>IF(W447&gt;$AE$34,1,0)</f>
        <v/>
      </c>
      <c r="AB447">
        <f>IF(AA447=C447,1,0)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$AE$12+D448*$AE$13+E448*$AE$14+F448*$AE$15+G448*$AE$16+H448*$AE$17+I448*$AE$18+J448*$AE$19+K448*$AE$20+L448*$AE$21+M448*$AE$22+N448*$AE$23+O448*$AE$24+P448*$AE$25+Q448*$AE$26+R448*$AE$27+S448*$AE$28+T448*$AE$29+U448*$AE$30</f>
        <v/>
      </c>
      <c r="W448" s="8">
        <f>1/(1+EXP(-V448))</f>
        <v/>
      </c>
      <c r="X448" s="9">
        <f>-IF(C448=1,LN(W448),LN(1-W448))</f>
        <v/>
      </c>
      <c r="Y448" s="8">
        <f>IF(C448=1,$AE$32,$AE$33)</f>
        <v/>
      </c>
      <c r="Z448" s="9">
        <f>Y448*X448</f>
        <v/>
      </c>
      <c r="AA448" s="10">
        <f>IF(W448&gt;$AE$34,1,0)</f>
        <v/>
      </c>
      <c r="AB448">
        <f>IF(AA448=C448,1,0)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$AE$12+D449*$AE$13+E449*$AE$14+F449*$AE$15+G449*$AE$16+H449*$AE$17+I449*$AE$18+J449*$AE$19+K449*$AE$20+L449*$AE$21+M449*$AE$22+N449*$AE$23+O449*$AE$24+P449*$AE$25+Q449*$AE$26+R449*$AE$27+S449*$AE$28+T449*$AE$29+U449*$AE$30</f>
        <v/>
      </c>
      <c r="W449" s="8">
        <f>1/(1+EXP(-V449))</f>
        <v/>
      </c>
      <c r="X449" s="9">
        <f>-IF(C449=1,LN(W449),LN(1-W449))</f>
        <v/>
      </c>
      <c r="Y449" s="8">
        <f>IF(C449=1,$AE$32,$AE$33)</f>
        <v/>
      </c>
      <c r="Z449" s="9">
        <f>Y449*X449</f>
        <v/>
      </c>
      <c r="AA449" s="10">
        <f>IF(W449&gt;$AE$34,1,0)</f>
        <v/>
      </c>
      <c r="AB449">
        <f>IF(AA449=C449,1,0)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$AE$12+D450*$AE$13+E450*$AE$14+F450*$AE$15+G450*$AE$16+H450*$AE$17+I450*$AE$18+J450*$AE$19+K450*$AE$20+L450*$AE$21+M450*$AE$22+N450*$AE$23+O450*$AE$24+P450*$AE$25+Q450*$AE$26+R450*$AE$27+S450*$AE$28+T450*$AE$29+U450*$AE$30</f>
        <v/>
      </c>
      <c r="W450" s="8">
        <f>1/(1+EXP(-V450))</f>
        <v/>
      </c>
      <c r="X450" s="9">
        <f>-IF(C450=1,LN(W450),LN(1-W450))</f>
        <v/>
      </c>
      <c r="Y450" s="8">
        <f>IF(C450=1,$AE$32,$AE$33)</f>
        <v/>
      </c>
      <c r="Z450" s="9">
        <f>Y450*X450</f>
        <v/>
      </c>
      <c r="AA450" s="10">
        <f>IF(W450&gt;$AE$34,1,0)</f>
        <v/>
      </c>
      <c r="AB450">
        <f>IF(AA450=C450,1,0)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$AE$12+D451*$AE$13+E451*$AE$14+F451*$AE$15+G451*$AE$16+H451*$AE$17+I451*$AE$18+J451*$AE$19+K451*$AE$20+L451*$AE$21+M451*$AE$22+N451*$AE$23+O451*$AE$24+P451*$AE$25+Q451*$AE$26+R451*$AE$27+S451*$AE$28+T451*$AE$29+U451*$AE$30</f>
        <v/>
      </c>
      <c r="W451" s="8">
        <f>1/(1+EXP(-V451))</f>
        <v/>
      </c>
      <c r="X451" s="9">
        <f>-IF(C451=1,LN(W451),LN(1-W451))</f>
        <v/>
      </c>
      <c r="Y451" s="8">
        <f>IF(C451=1,$AE$32,$AE$33)</f>
        <v/>
      </c>
      <c r="Z451" s="9">
        <f>Y451*X451</f>
        <v/>
      </c>
      <c r="AA451" s="10">
        <f>IF(W451&gt;$AE$34,1,0)</f>
        <v/>
      </c>
      <c r="AB451">
        <f>IF(AA451=C451,1,0)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$AE$12+D452*$AE$13+E452*$AE$14+F452*$AE$15+G452*$AE$16+H452*$AE$17+I452*$AE$18+J452*$AE$19+K452*$AE$20+L452*$AE$21+M452*$AE$22+N452*$AE$23+O452*$AE$24+P452*$AE$25+Q452*$AE$26+R452*$AE$27+S452*$AE$28+T452*$AE$29+U452*$AE$30</f>
        <v/>
      </c>
      <c r="W452" s="8">
        <f>1/(1+EXP(-V452))</f>
        <v/>
      </c>
      <c r="X452" s="9">
        <f>-IF(C452=1,LN(W452),LN(1-W452))</f>
        <v/>
      </c>
      <c r="Y452" s="8">
        <f>IF(C452=1,$AE$32,$AE$33)</f>
        <v/>
      </c>
      <c r="Z452" s="9">
        <f>Y452*X452</f>
        <v/>
      </c>
      <c r="AA452" s="10">
        <f>IF(W452&gt;$AE$34,1,0)</f>
        <v/>
      </c>
      <c r="AB452">
        <f>IF(AA452=C452,1,0)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$AE$12+D453*$AE$13+E453*$AE$14+F453*$AE$15+G453*$AE$16+H453*$AE$17+I453*$AE$18+J453*$AE$19+K453*$AE$20+L453*$AE$21+M453*$AE$22+N453*$AE$23+O453*$AE$24+P453*$AE$25+Q453*$AE$26+R453*$AE$27+S453*$AE$28+T453*$AE$29+U453*$AE$30</f>
        <v/>
      </c>
      <c r="W453" s="8">
        <f>1/(1+EXP(-V453))</f>
        <v/>
      </c>
      <c r="X453" s="9">
        <f>-IF(C453=1,LN(W453),LN(1-W453))</f>
        <v/>
      </c>
      <c r="Y453" s="8">
        <f>IF(C453=1,$AE$32,$AE$33)</f>
        <v/>
      </c>
      <c r="Z453" s="9">
        <f>Y453*X453</f>
        <v/>
      </c>
      <c r="AA453" s="10">
        <f>IF(W453&gt;$AE$34,1,0)</f>
        <v/>
      </c>
      <c r="AB453">
        <f>IF(AA453=C453,1,0)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$AE$12+D454*$AE$13+E454*$AE$14+F454*$AE$15+G454*$AE$16+H454*$AE$17+I454*$AE$18+J454*$AE$19+K454*$AE$20+L454*$AE$21+M454*$AE$22+N454*$AE$23+O454*$AE$24+P454*$AE$25+Q454*$AE$26+R454*$AE$27+S454*$AE$28+T454*$AE$29+U454*$AE$30</f>
        <v/>
      </c>
      <c r="W454" s="8">
        <f>1/(1+EXP(-V454))</f>
        <v/>
      </c>
      <c r="X454" s="9">
        <f>-IF(C454=1,LN(W454),LN(1-W454))</f>
        <v/>
      </c>
      <c r="Y454" s="8">
        <f>IF(C454=1,$AE$32,$AE$33)</f>
        <v/>
      </c>
      <c r="Z454" s="9">
        <f>Y454*X454</f>
        <v/>
      </c>
      <c r="AA454" s="10">
        <f>IF(W454&gt;$AE$34,1,0)</f>
        <v/>
      </c>
      <c r="AB454">
        <f>IF(AA454=C454,1,0)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$AE$12+D455*$AE$13+E455*$AE$14+F455*$AE$15+G455*$AE$16+H455*$AE$17+I455*$AE$18+J455*$AE$19+K455*$AE$20+L455*$AE$21+M455*$AE$22+N455*$AE$23+O455*$AE$24+P455*$AE$25+Q455*$AE$26+R455*$AE$27+S455*$AE$28+T455*$AE$29+U455*$AE$30</f>
        <v/>
      </c>
      <c r="W455" s="8">
        <f>1/(1+EXP(-V455))</f>
        <v/>
      </c>
      <c r="X455" s="9">
        <f>-IF(C455=1,LN(W455),LN(1-W455))</f>
        <v/>
      </c>
      <c r="Y455" s="8">
        <f>IF(C455=1,$AE$32,$AE$33)</f>
        <v/>
      </c>
      <c r="Z455" s="9">
        <f>Y455*X455</f>
        <v/>
      </c>
      <c r="AA455" s="10">
        <f>IF(W455&gt;$AE$34,1,0)</f>
        <v/>
      </c>
      <c r="AB455">
        <f>IF(AA455=C455,1,0)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$AE$12+D456*$AE$13+E456*$AE$14+F456*$AE$15+G456*$AE$16+H456*$AE$17+I456*$AE$18+J456*$AE$19+K456*$AE$20+L456*$AE$21+M456*$AE$22+N456*$AE$23+O456*$AE$24+P456*$AE$25+Q456*$AE$26+R456*$AE$27+S456*$AE$28+T456*$AE$29+U456*$AE$30</f>
        <v/>
      </c>
      <c r="W456" s="8">
        <f>1/(1+EXP(-V456))</f>
        <v/>
      </c>
      <c r="X456" s="9">
        <f>-IF(C456=1,LN(W456),LN(1-W456))</f>
        <v/>
      </c>
      <c r="Y456" s="8">
        <f>IF(C456=1,$AE$32,$AE$33)</f>
        <v/>
      </c>
      <c r="Z456" s="9">
        <f>Y456*X456</f>
        <v/>
      </c>
      <c r="AA456" s="10">
        <f>IF(W456&gt;$AE$34,1,0)</f>
        <v/>
      </c>
      <c r="AB456">
        <f>IF(AA456=C456,1,0)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$AE$12+D457*$AE$13+E457*$AE$14+F457*$AE$15+G457*$AE$16+H457*$AE$17+I457*$AE$18+J457*$AE$19+K457*$AE$20+L457*$AE$21+M457*$AE$22+N457*$AE$23+O457*$AE$24+P457*$AE$25+Q457*$AE$26+R457*$AE$27+S457*$AE$28+T457*$AE$29+U457*$AE$30</f>
        <v/>
      </c>
      <c r="W457" s="8">
        <f>1/(1+EXP(-V457))</f>
        <v/>
      </c>
      <c r="X457" s="9">
        <f>-IF(C457=1,LN(W457),LN(1-W457))</f>
        <v/>
      </c>
      <c r="Y457" s="8">
        <f>IF(C457=1,$AE$32,$AE$33)</f>
        <v/>
      </c>
      <c r="Z457" s="9">
        <f>Y457*X457</f>
        <v/>
      </c>
      <c r="AA457" s="10">
        <f>IF(W457&gt;$AE$34,1,0)</f>
        <v/>
      </c>
      <c r="AB457">
        <f>IF(AA457=C457,1,0)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$AE$12+D458*$AE$13+E458*$AE$14+F458*$AE$15+G458*$AE$16+H458*$AE$17+I458*$AE$18+J458*$AE$19+K458*$AE$20+L458*$AE$21+M458*$AE$22+N458*$AE$23+O458*$AE$24+P458*$AE$25+Q458*$AE$26+R458*$AE$27+S458*$AE$28+T458*$AE$29+U458*$AE$30</f>
        <v/>
      </c>
      <c r="W458" s="8">
        <f>1/(1+EXP(-V458))</f>
        <v/>
      </c>
      <c r="X458" s="9">
        <f>-IF(C458=1,LN(W458),LN(1-W458))</f>
        <v/>
      </c>
      <c r="Y458" s="8">
        <f>IF(C458=1,$AE$32,$AE$33)</f>
        <v/>
      </c>
      <c r="Z458" s="9">
        <f>Y458*X458</f>
        <v/>
      </c>
      <c r="AA458" s="10">
        <f>IF(W458&gt;$AE$34,1,0)</f>
        <v/>
      </c>
      <c r="AB458">
        <f>IF(AA458=C458,1,0)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$AE$12+D459*$AE$13+E459*$AE$14+F459*$AE$15+G459*$AE$16+H459*$AE$17+I459*$AE$18+J459*$AE$19+K459*$AE$20+L459*$AE$21+M459*$AE$22+N459*$AE$23+O459*$AE$24+P459*$AE$25+Q459*$AE$26+R459*$AE$27+S459*$AE$28+T459*$AE$29+U459*$AE$30</f>
        <v/>
      </c>
      <c r="W459" s="8">
        <f>1/(1+EXP(-V459))</f>
        <v/>
      </c>
      <c r="X459" s="9">
        <f>-IF(C459=1,LN(W459),LN(1-W459))</f>
        <v/>
      </c>
      <c r="Y459" s="8">
        <f>IF(C459=1,$AE$32,$AE$33)</f>
        <v/>
      </c>
      <c r="Z459" s="9">
        <f>Y459*X459</f>
        <v/>
      </c>
      <c r="AA459" s="10">
        <f>IF(W459&gt;$AE$34,1,0)</f>
        <v/>
      </c>
      <c r="AB459">
        <f>IF(AA459=C459,1,0)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$AE$12+D460*$AE$13+E460*$AE$14+F460*$AE$15+G460*$AE$16+H460*$AE$17+I460*$AE$18+J460*$AE$19+K460*$AE$20+L460*$AE$21+M460*$AE$22+N460*$AE$23+O460*$AE$24+P460*$AE$25+Q460*$AE$26+R460*$AE$27+S460*$AE$28+T460*$AE$29+U460*$AE$30</f>
        <v/>
      </c>
      <c r="W460" s="8">
        <f>1/(1+EXP(-V460))</f>
        <v/>
      </c>
      <c r="X460" s="9">
        <f>-IF(C460=1,LN(W460),LN(1-W460))</f>
        <v/>
      </c>
      <c r="Y460" s="8">
        <f>IF(C460=1,$AE$32,$AE$33)</f>
        <v/>
      </c>
      <c r="Z460" s="9">
        <f>Y460*X460</f>
        <v/>
      </c>
      <c r="AA460" s="10">
        <f>IF(W460&gt;$AE$34,1,0)</f>
        <v/>
      </c>
      <c r="AB460">
        <f>IF(AA460=C460,1,0)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$AE$12+D461*$AE$13+E461*$AE$14+F461*$AE$15+G461*$AE$16+H461*$AE$17+I461*$AE$18+J461*$AE$19+K461*$AE$20+L461*$AE$21+M461*$AE$22+N461*$AE$23+O461*$AE$24+P461*$AE$25+Q461*$AE$26+R461*$AE$27+S461*$AE$28+T461*$AE$29+U461*$AE$30</f>
        <v/>
      </c>
      <c r="W461" s="8">
        <f>1/(1+EXP(-V461))</f>
        <v/>
      </c>
      <c r="X461" s="9">
        <f>-IF(C461=1,LN(W461),LN(1-W461))</f>
        <v/>
      </c>
      <c r="Y461" s="8">
        <f>IF(C461=1,$AE$32,$AE$33)</f>
        <v/>
      </c>
      <c r="Z461" s="9">
        <f>Y461*X461</f>
        <v/>
      </c>
      <c r="AA461" s="10">
        <f>IF(W461&gt;$AE$34,1,0)</f>
        <v/>
      </c>
      <c r="AB461">
        <f>IF(AA461=C461,1,0)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$AE$12+D462*$AE$13+E462*$AE$14+F462*$AE$15+G462*$AE$16+H462*$AE$17+I462*$AE$18+J462*$AE$19+K462*$AE$20+L462*$AE$21+M462*$AE$22+N462*$AE$23+O462*$AE$24+P462*$AE$25+Q462*$AE$26+R462*$AE$27+S462*$AE$28+T462*$AE$29+U462*$AE$30</f>
        <v/>
      </c>
      <c r="W462" s="8">
        <f>1/(1+EXP(-V462))</f>
        <v/>
      </c>
      <c r="X462" s="9">
        <f>-IF(C462=1,LN(W462),LN(1-W462))</f>
        <v/>
      </c>
      <c r="Y462" s="8">
        <f>IF(C462=1,$AE$32,$AE$33)</f>
        <v/>
      </c>
      <c r="Z462" s="9">
        <f>Y462*X462</f>
        <v/>
      </c>
      <c r="AA462" s="10">
        <f>IF(W462&gt;$AE$34,1,0)</f>
        <v/>
      </c>
      <c r="AB462">
        <f>IF(AA462=C462,1,0)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$AE$12+D463*$AE$13+E463*$AE$14+F463*$AE$15+G463*$AE$16+H463*$AE$17+I463*$AE$18+J463*$AE$19+K463*$AE$20+L463*$AE$21+M463*$AE$22+N463*$AE$23+O463*$AE$24+P463*$AE$25+Q463*$AE$26+R463*$AE$27+S463*$AE$28+T463*$AE$29+U463*$AE$30</f>
        <v/>
      </c>
      <c r="W463" s="8">
        <f>1/(1+EXP(-V463))</f>
        <v/>
      </c>
      <c r="X463" s="9">
        <f>-IF(C463=1,LN(W463),LN(1-W463))</f>
        <v/>
      </c>
      <c r="Y463" s="8">
        <f>IF(C463=1,$AE$32,$AE$33)</f>
        <v/>
      </c>
      <c r="Z463" s="9">
        <f>Y463*X463</f>
        <v/>
      </c>
      <c r="AA463" s="10">
        <f>IF(W463&gt;$AE$34,1,0)</f>
        <v/>
      </c>
      <c r="AB463">
        <f>IF(AA463=C463,1,0)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$AE$12+D464*$AE$13+E464*$AE$14+F464*$AE$15+G464*$AE$16+H464*$AE$17+I464*$AE$18+J464*$AE$19+K464*$AE$20+L464*$AE$21+M464*$AE$22+N464*$AE$23+O464*$AE$24+P464*$AE$25+Q464*$AE$26+R464*$AE$27+S464*$AE$28+T464*$AE$29+U464*$AE$30</f>
        <v/>
      </c>
      <c r="W464" s="8">
        <f>1/(1+EXP(-V464))</f>
        <v/>
      </c>
      <c r="X464" s="9">
        <f>-IF(C464=1,LN(W464),LN(1-W464))</f>
        <v/>
      </c>
      <c r="Y464" s="8">
        <f>IF(C464=1,$AE$32,$AE$33)</f>
        <v/>
      </c>
      <c r="Z464" s="9">
        <f>Y464*X464</f>
        <v/>
      </c>
      <c r="AA464" s="10">
        <f>IF(W464&gt;$AE$34,1,0)</f>
        <v/>
      </c>
      <c r="AB464">
        <f>IF(AA464=C464,1,0)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$AE$12+D465*$AE$13+E465*$AE$14+F465*$AE$15+G465*$AE$16+H465*$AE$17+I465*$AE$18+J465*$AE$19+K465*$AE$20+L465*$AE$21+M465*$AE$22+N465*$AE$23+O465*$AE$24+P465*$AE$25+Q465*$AE$26+R465*$AE$27+S465*$AE$28+T465*$AE$29+U465*$AE$30</f>
        <v/>
      </c>
      <c r="W465" s="8">
        <f>1/(1+EXP(-V465))</f>
        <v/>
      </c>
      <c r="X465" s="9">
        <f>-IF(C465=1,LN(W465),LN(1-W465))</f>
        <v/>
      </c>
      <c r="Y465" s="8">
        <f>IF(C465=1,$AE$32,$AE$33)</f>
        <v/>
      </c>
      <c r="Z465" s="9">
        <f>Y465*X465</f>
        <v/>
      </c>
      <c r="AA465" s="10">
        <f>IF(W465&gt;$AE$34,1,0)</f>
        <v/>
      </c>
      <c r="AB465">
        <f>IF(AA465=C465,1,0)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$AE$12+D466*$AE$13+E466*$AE$14+F466*$AE$15+G466*$AE$16+H466*$AE$17+I466*$AE$18+J466*$AE$19+K466*$AE$20+L466*$AE$21+M466*$AE$22+N466*$AE$23+O466*$AE$24+P466*$AE$25+Q466*$AE$26+R466*$AE$27+S466*$AE$28+T466*$AE$29+U466*$AE$30</f>
        <v/>
      </c>
      <c r="W466" s="8">
        <f>1/(1+EXP(-V466))</f>
        <v/>
      </c>
      <c r="X466" s="9">
        <f>-IF(C466=1,LN(W466),LN(1-W466))</f>
        <v/>
      </c>
      <c r="Y466" s="8">
        <f>IF(C466=1,$AE$32,$AE$33)</f>
        <v/>
      </c>
      <c r="Z466" s="9">
        <f>Y466*X466</f>
        <v/>
      </c>
      <c r="AA466" s="10">
        <f>IF(W466&gt;$AE$34,1,0)</f>
        <v/>
      </c>
      <c r="AB466">
        <f>IF(AA466=C466,1,0)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$AE$12+D467*$AE$13+E467*$AE$14+F467*$AE$15+G467*$AE$16+H467*$AE$17+I467*$AE$18+J467*$AE$19+K467*$AE$20+L467*$AE$21+M467*$AE$22+N467*$AE$23+O467*$AE$24+P467*$AE$25+Q467*$AE$26+R467*$AE$27+S467*$AE$28+T467*$AE$29+U467*$AE$30</f>
        <v/>
      </c>
      <c r="W467" s="8">
        <f>1/(1+EXP(-V467))</f>
        <v/>
      </c>
      <c r="X467" s="9">
        <f>-IF(C467=1,LN(W467),LN(1-W467))</f>
        <v/>
      </c>
      <c r="Y467" s="8">
        <f>IF(C467=1,$AE$32,$AE$33)</f>
        <v/>
      </c>
      <c r="Z467" s="9">
        <f>Y467*X467</f>
        <v/>
      </c>
      <c r="AA467" s="10">
        <f>IF(W467&gt;$AE$34,1,0)</f>
        <v/>
      </c>
      <c r="AB467">
        <f>IF(AA467=C467,1,0)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$AE$12+D468*$AE$13+E468*$AE$14+F468*$AE$15+G468*$AE$16+H468*$AE$17+I468*$AE$18+J468*$AE$19+K468*$AE$20+L468*$AE$21+M468*$AE$22+N468*$AE$23+O468*$AE$24+P468*$AE$25+Q468*$AE$26+R468*$AE$27+S468*$AE$28+T468*$AE$29+U468*$AE$30</f>
        <v/>
      </c>
      <c r="W468" s="8">
        <f>1/(1+EXP(-V468))</f>
        <v/>
      </c>
      <c r="X468" s="9">
        <f>-IF(C468=1,LN(W468),LN(1-W468))</f>
        <v/>
      </c>
      <c r="Y468" s="8">
        <f>IF(C468=1,$AE$32,$AE$33)</f>
        <v/>
      </c>
      <c r="Z468" s="9">
        <f>Y468*X468</f>
        <v/>
      </c>
      <c r="AA468" s="10">
        <f>IF(W468&gt;$AE$34,1,0)</f>
        <v/>
      </c>
      <c r="AB468">
        <f>IF(AA468=C468,1,0)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$AE$12+D469*$AE$13+E469*$AE$14+F469*$AE$15+G469*$AE$16+H469*$AE$17+I469*$AE$18+J469*$AE$19+K469*$AE$20+L469*$AE$21+M469*$AE$22+N469*$AE$23+O469*$AE$24+P469*$AE$25+Q469*$AE$26+R469*$AE$27+S469*$AE$28+T469*$AE$29+U469*$AE$30</f>
        <v/>
      </c>
      <c r="W469" s="8">
        <f>1/(1+EXP(-V469))</f>
        <v/>
      </c>
      <c r="X469" s="9">
        <f>-IF(C469=1,LN(W469),LN(1-W469))</f>
        <v/>
      </c>
      <c r="Y469" s="8">
        <f>IF(C469=1,$AE$32,$AE$33)</f>
        <v/>
      </c>
      <c r="Z469" s="9">
        <f>Y469*X469</f>
        <v/>
      </c>
      <c r="AA469" s="10">
        <f>IF(W469&gt;$AE$34,1,0)</f>
        <v/>
      </c>
      <c r="AB469">
        <f>IF(AA469=C469,1,0)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$AE$12+D470*$AE$13+E470*$AE$14+F470*$AE$15+G470*$AE$16+H470*$AE$17+I470*$AE$18+J470*$AE$19+K470*$AE$20+L470*$AE$21+M470*$AE$22+N470*$AE$23+O470*$AE$24+P470*$AE$25+Q470*$AE$26+R470*$AE$27+S470*$AE$28+T470*$AE$29+U470*$AE$30</f>
        <v/>
      </c>
      <c r="W470" s="8">
        <f>1/(1+EXP(-V470))</f>
        <v/>
      </c>
      <c r="X470" s="9">
        <f>-IF(C470=1,LN(W470),LN(1-W470))</f>
        <v/>
      </c>
      <c r="Y470" s="8">
        <f>IF(C470=1,$AE$32,$AE$33)</f>
        <v/>
      </c>
      <c r="Z470" s="9">
        <f>Y470*X470</f>
        <v/>
      </c>
      <c r="AA470" s="10">
        <f>IF(W470&gt;$AE$34,1,0)</f>
        <v/>
      </c>
      <c r="AB470">
        <f>IF(AA470=C470,1,0)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$AE$12+D471*$AE$13+E471*$AE$14+F471*$AE$15+G471*$AE$16+H471*$AE$17+I471*$AE$18+J471*$AE$19+K471*$AE$20+L471*$AE$21+M471*$AE$22+N471*$AE$23+O471*$AE$24+P471*$AE$25+Q471*$AE$26+R471*$AE$27+S471*$AE$28+T471*$AE$29+U471*$AE$30</f>
        <v/>
      </c>
      <c r="W471" s="8">
        <f>1/(1+EXP(-V471))</f>
        <v/>
      </c>
      <c r="X471" s="9">
        <f>-IF(C471=1,LN(W471),LN(1-W471))</f>
        <v/>
      </c>
      <c r="Y471" s="8">
        <f>IF(C471=1,$AE$32,$AE$33)</f>
        <v/>
      </c>
      <c r="Z471" s="9">
        <f>Y471*X471</f>
        <v/>
      </c>
      <c r="AA471" s="10">
        <f>IF(W471&gt;$AE$34,1,0)</f>
        <v/>
      </c>
      <c r="AB471">
        <f>IF(AA471=C471,1,0)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$AE$12+D472*$AE$13+E472*$AE$14+F472*$AE$15+G472*$AE$16+H472*$AE$17+I472*$AE$18+J472*$AE$19+K472*$AE$20+L472*$AE$21+M472*$AE$22+N472*$AE$23+O472*$AE$24+P472*$AE$25+Q472*$AE$26+R472*$AE$27+S472*$AE$28+T472*$AE$29+U472*$AE$30</f>
        <v/>
      </c>
      <c r="W472" s="8">
        <f>1/(1+EXP(-V472))</f>
        <v/>
      </c>
      <c r="X472" s="9">
        <f>-IF(C472=1,LN(W472),LN(1-W472))</f>
        <v/>
      </c>
      <c r="Y472" s="8">
        <f>IF(C472=1,$AE$32,$AE$33)</f>
        <v/>
      </c>
      <c r="Z472" s="9">
        <f>Y472*X472</f>
        <v/>
      </c>
      <c r="AA472" s="10">
        <f>IF(W472&gt;$AE$34,1,0)</f>
        <v/>
      </c>
      <c r="AB472">
        <f>IF(AA472=C472,1,0)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$AE$12+D473*$AE$13+E473*$AE$14+F473*$AE$15+G473*$AE$16+H473*$AE$17+I473*$AE$18+J473*$AE$19+K473*$AE$20+L473*$AE$21+M473*$AE$22+N473*$AE$23+O473*$AE$24+P473*$AE$25+Q473*$AE$26+R473*$AE$27+S473*$AE$28+T473*$AE$29+U473*$AE$30</f>
        <v/>
      </c>
      <c r="W473" s="8">
        <f>1/(1+EXP(-V473))</f>
        <v/>
      </c>
      <c r="X473" s="9">
        <f>-IF(C473=1,LN(W473),LN(1-W473))</f>
        <v/>
      </c>
      <c r="Y473" s="8">
        <f>IF(C473=1,$AE$32,$AE$33)</f>
        <v/>
      </c>
      <c r="Z473" s="9">
        <f>Y473*X473</f>
        <v/>
      </c>
      <c r="AA473" s="10">
        <f>IF(W473&gt;$AE$34,1,0)</f>
        <v/>
      </c>
      <c r="AB473">
        <f>IF(AA473=C473,1,0)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$AE$12+D474*$AE$13+E474*$AE$14+F474*$AE$15+G474*$AE$16+H474*$AE$17+I474*$AE$18+J474*$AE$19+K474*$AE$20+L474*$AE$21+M474*$AE$22+N474*$AE$23+O474*$AE$24+P474*$AE$25+Q474*$AE$26+R474*$AE$27+S474*$AE$28+T474*$AE$29+U474*$AE$30</f>
        <v/>
      </c>
      <c r="W474" s="8">
        <f>1/(1+EXP(-V474))</f>
        <v/>
      </c>
      <c r="X474" s="9">
        <f>-IF(C474=1,LN(W474),LN(1-W474))</f>
        <v/>
      </c>
      <c r="Y474" s="8">
        <f>IF(C474=1,$AE$32,$AE$33)</f>
        <v/>
      </c>
      <c r="Z474" s="9">
        <f>Y474*X474</f>
        <v/>
      </c>
      <c r="AA474" s="10">
        <f>IF(W474&gt;$AE$34,1,0)</f>
        <v/>
      </c>
      <c r="AB474">
        <f>IF(AA474=C474,1,0)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$AE$12+D475*$AE$13+E475*$AE$14+F475*$AE$15+G475*$AE$16+H475*$AE$17+I475*$AE$18+J475*$AE$19+K475*$AE$20+L475*$AE$21+M475*$AE$22+N475*$AE$23+O475*$AE$24+P475*$AE$25+Q475*$AE$26+R475*$AE$27+S475*$AE$28+T475*$AE$29+U475*$AE$30</f>
        <v/>
      </c>
      <c r="W475" s="8">
        <f>1/(1+EXP(-V475))</f>
        <v/>
      </c>
      <c r="X475" s="9">
        <f>-IF(C475=1,LN(W475),LN(1-W475))</f>
        <v/>
      </c>
      <c r="Y475" s="8">
        <f>IF(C475=1,$AE$32,$AE$33)</f>
        <v/>
      </c>
      <c r="Z475" s="9">
        <f>Y475*X475</f>
        <v/>
      </c>
      <c r="AA475" s="10">
        <f>IF(W475&gt;$AE$34,1,0)</f>
        <v/>
      </c>
      <c r="AB475">
        <f>IF(AA475=C475,1,0)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$AE$12+D476*$AE$13+E476*$AE$14+F476*$AE$15+G476*$AE$16+H476*$AE$17+I476*$AE$18+J476*$AE$19+K476*$AE$20+L476*$AE$21+M476*$AE$22+N476*$AE$23+O476*$AE$24+P476*$AE$25+Q476*$AE$26+R476*$AE$27+S476*$AE$28+T476*$AE$29+U476*$AE$30</f>
        <v/>
      </c>
      <c r="W476" s="8">
        <f>1/(1+EXP(-V476))</f>
        <v/>
      </c>
      <c r="X476" s="9">
        <f>-IF(C476=1,LN(W476),LN(1-W476))</f>
        <v/>
      </c>
      <c r="Y476" s="8">
        <f>IF(C476=1,$AE$32,$AE$33)</f>
        <v/>
      </c>
      <c r="Z476" s="9">
        <f>Y476*X476</f>
        <v/>
      </c>
      <c r="AA476" s="10">
        <f>IF(W476&gt;$AE$34,1,0)</f>
        <v/>
      </c>
      <c r="AB476">
        <f>IF(AA476=C476,1,0)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$AE$12+D477*$AE$13+E477*$AE$14+F477*$AE$15+G477*$AE$16+H477*$AE$17+I477*$AE$18+J477*$AE$19+K477*$AE$20+L477*$AE$21+M477*$AE$22+N477*$AE$23+O477*$AE$24+P477*$AE$25+Q477*$AE$26+R477*$AE$27+S477*$AE$28+T477*$AE$29+U477*$AE$30</f>
        <v/>
      </c>
      <c r="W477" s="8">
        <f>1/(1+EXP(-V477))</f>
        <v/>
      </c>
      <c r="X477" s="9">
        <f>-IF(C477=1,LN(W477),LN(1-W477))</f>
        <v/>
      </c>
      <c r="Y477" s="8">
        <f>IF(C477=1,$AE$32,$AE$33)</f>
        <v/>
      </c>
      <c r="Z477" s="9">
        <f>Y477*X477</f>
        <v/>
      </c>
      <c r="AA477" s="10">
        <f>IF(W477&gt;$AE$34,1,0)</f>
        <v/>
      </c>
      <c r="AB477">
        <f>IF(AA477=C477,1,0)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$AE$12+D478*$AE$13+E478*$AE$14+F478*$AE$15+G478*$AE$16+H478*$AE$17+I478*$AE$18+J478*$AE$19+K478*$AE$20+L478*$AE$21+M478*$AE$22+N478*$AE$23+O478*$AE$24+P478*$AE$25+Q478*$AE$26+R478*$AE$27+S478*$AE$28+T478*$AE$29+U478*$AE$30</f>
        <v/>
      </c>
      <c r="W478" s="8">
        <f>1/(1+EXP(-V478))</f>
        <v/>
      </c>
      <c r="X478" s="9">
        <f>-IF(C478=1,LN(W478),LN(1-W478))</f>
        <v/>
      </c>
      <c r="Y478" s="8">
        <f>IF(C478=1,$AE$32,$AE$33)</f>
        <v/>
      </c>
      <c r="Z478" s="9">
        <f>Y478*X478</f>
        <v/>
      </c>
      <c r="AA478" s="10">
        <f>IF(W478&gt;$AE$34,1,0)</f>
        <v/>
      </c>
      <c r="AB478">
        <f>IF(AA478=C478,1,0)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$AE$12+D479*$AE$13+E479*$AE$14+F479*$AE$15+G479*$AE$16+H479*$AE$17+I479*$AE$18+J479*$AE$19+K479*$AE$20+L479*$AE$21+M479*$AE$22+N479*$AE$23+O479*$AE$24+P479*$AE$25+Q479*$AE$26+R479*$AE$27+S479*$AE$28+T479*$AE$29+U479*$AE$30</f>
        <v/>
      </c>
      <c r="W479" s="8">
        <f>1/(1+EXP(-V479))</f>
        <v/>
      </c>
      <c r="X479" s="9">
        <f>-IF(C479=1,LN(W479),LN(1-W479))</f>
        <v/>
      </c>
      <c r="Y479" s="8">
        <f>IF(C479=1,$AE$32,$AE$33)</f>
        <v/>
      </c>
      <c r="Z479" s="9">
        <f>Y479*X479</f>
        <v/>
      </c>
      <c r="AA479" s="10">
        <f>IF(W479&gt;$AE$34,1,0)</f>
        <v/>
      </c>
      <c r="AB479">
        <f>IF(AA479=C479,1,0)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$AE$12+D480*$AE$13+E480*$AE$14+F480*$AE$15+G480*$AE$16+H480*$AE$17+I480*$AE$18+J480*$AE$19+K480*$AE$20+L480*$AE$21+M480*$AE$22+N480*$AE$23+O480*$AE$24+P480*$AE$25+Q480*$AE$26+R480*$AE$27+S480*$AE$28+T480*$AE$29+U480*$AE$30</f>
        <v/>
      </c>
      <c r="W480" s="8">
        <f>1/(1+EXP(-V480))</f>
        <v/>
      </c>
      <c r="X480" s="9">
        <f>-IF(C480=1,LN(W480),LN(1-W480))</f>
        <v/>
      </c>
      <c r="Y480" s="8">
        <f>IF(C480=1,$AE$32,$AE$33)</f>
        <v/>
      </c>
      <c r="Z480" s="9">
        <f>Y480*X480</f>
        <v/>
      </c>
      <c r="AA480" s="10">
        <f>IF(W480&gt;$AE$34,1,0)</f>
        <v/>
      </c>
      <c r="AB480">
        <f>IF(AA480=C480,1,0)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$AE$12+D481*$AE$13+E481*$AE$14+F481*$AE$15+G481*$AE$16+H481*$AE$17+I481*$AE$18+J481*$AE$19+K481*$AE$20+L481*$AE$21+M481*$AE$22+N481*$AE$23+O481*$AE$24+P481*$AE$25+Q481*$AE$26+R481*$AE$27+S481*$AE$28+T481*$AE$29+U481*$AE$30</f>
        <v/>
      </c>
      <c r="W481" s="8">
        <f>1/(1+EXP(-V481))</f>
        <v/>
      </c>
      <c r="X481" s="9">
        <f>-IF(C481=1,LN(W481),LN(1-W481))</f>
        <v/>
      </c>
      <c r="Y481" s="8">
        <f>IF(C481=1,$AE$32,$AE$33)</f>
        <v/>
      </c>
      <c r="Z481" s="9">
        <f>Y481*X481</f>
        <v/>
      </c>
      <c r="AA481" s="10">
        <f>IF(W481&gt;$AE$34,1,0)</f>
        <v/>
      </c>
      <c r="AB481">
        <f>IF(AA481=C481,1,0)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$AE$12+D482*$AE$13+E482*$AE$14+F482*$AE$15+G482*$AE$16+H482*$AE$17+I482*$AE$18+J482*$AE$19+K482*$AE$20+L482*$AE$21+M482*$AE$22+N482*$AE$23+O482*$AE$24+P482*$AE$25+Q482*$AE$26+R482*$AE$27+S482*$AE$28+T482*$AE$29+U482*$AE$30</f>
        <v/>
      </c>
      <c r="W482" s="8">
        <f>1/(1+EXP(-V482))</f>
        <v/>
      </c>
      <c r="X482" s="9">
        <f>-IF(C482=1,LN(W482),LN(1-W482))</f>
        <v/>
      </c>
      <c r="Y482" s="8">
        <f>IF(C482=1,$AE$32,$AE$33)</f>
        <v/>
      </c>
      <c r="Z482" s="9">
        <f>Y482*X482</f>
        <v/>
      </c>
      <c r="AA482" s="10">
        <f>IF(W482&gt;$AE$34,1,0)</f>
        <v/>
      </c>
      <c r="AB482">
        <f>IF(AA482=C482,1,0)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$AE$12+D483*$AE$13+E483*$AE$14+F483*$AE$15+G483*$AE$16+H483*$AE$17+I483*$AE$18+J483*$AE$19+K483*$AE$20+L483*$AE$21+M483*$AE$22+N483*$AE$23+O483*$AE$24+P483*$AE$25+Q483*$AE$26+R483*$AE$27+S483*$AE$28+T483*$AE$29+U483*$AE$30</f>
        <v/>
      </c>
      <c r="W483" s="8">
        <f>1/(1+EXP(-V483))</f>
        <v/>
      </c>
      <c r="X483" s="9">
        <f>-IF(C483=1,LN(W483),LN(1-W483))</f>
        <v/>
      </c>
      <c r="Y483" s="8">
        <f>IF(C483=1,$AE$32,$AE$33)</f>
        <v/>
      </c>
      <c r="Z483" s="9">
        <f>Y483*X483</f>
        <v/>
      </c>
      <c r="AA483" s="10">
        <f>IF(W483&gt;$AE$34,1,0)</f>
        <v/>
      </c>
      <c r="AB483">
        <f>IF(AA483=C483,1,0)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$AE$12+D484*$AE$13+E484*$AE$14+F484*$AE$15+G484*$AE$16+H484*$AE$17+I484*$AE$18+J484*$AE$19+K484*$AE$20+L484*$AE$21+M484*$AE$22+N484*$AE$23+O484*$AE$24+P484*$AE$25+Q484*$AE$26+R484*$AE$27+S484*$AE$28+T484*$AE$29+U484*$AE$30</f>
        <v/>
      </c>
      <c r="W484" s="8">
        <f>1/(1+EXP(-V484))</f>
        <v/>
      </c>
      <c r="X484" s="9">
        <f>-IF(C484=1,LN(W484),LN(1-W484))</f>
        <v/>
      </c>
      <c r="Y484" s="8">
        <f>IF(C484=1,$AE$32,$AE$33)</f>
        <v/>
      </c>
      <c r="Z484" s="9">
        <f>Y484*X484</f>
        <v/>
      </c>
      <c r="AA484" s="10">
        <f>IF(W484&gt;$AE$34,1,0)</f>
        <v/>
      </c>
      <c r="AB484">
        <f>IF(AA484=C484,1,0)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$AE$12+D485*$AE$13+E485*$AE$14+F485*$AE$15+G485*$AE$16+H485*$AE$17+I485*$AE$18+J485*$AE$19+K485*$AE$20+L485*$AE$21+M485*$AE$22+N485*$AE$23+O485*$AE$24+P485*$AE$25+Q485*$AE$26+R485*$AE$27+S485*$AE$28+T485*$AE$29+U485*$AE$30</f>
        <v/>
      </c>
      <c r="W485" s="8">
        <f>1/(1+EXP(-V485))</f>
        <v/>
      </c>
      <c r="X485" s="9">
        <f>-IF(C485=1,LN(W485),LN(1-W485))</f>
        <v/>
      </c>
      <c r="Y485" s="8">
        <f>IF(C485=1,$AE$32,$AE$33)</f>
        <v/>
      </c>
      <c r="Z485" s="9">
        <f>Y485*X485</f>
        <v/>
      </c>
      <c r="AA485" s="10">
        <f>IF(W485&gt;$AE$34,1,0)</f>
        <v/>
      </c>
      <c r="AB485">
        <f>IF(AA485=C485,1,0)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$AE$12+D486*$AE$13+E486*$AE$14+F486*$AE$15+G486*$AE$16+H486*$AE$17+I486*$AE$18+J486*$AE$19+K486*$AE$20+L486*$AE$21+M486*$AE$22+N486*$AE$23+O486*$AE$24+P486*$AE$25+Q486*$AE$26+R486*$AE$27+S486*$AE$28+T486*$AE$29+U486*$AE$30</f>
        <v/>
      </c>
      <c r="W486" s="8">
        <f>1/(1+EXP(-V486))</f>
        <v/>
      </c>
      <c r="X486" s="9">
        <f>-IF(C486=1,LN(W486),LN(1-W486))</f>
        <v/>
      </c>
      <c r="Y486" s="8">
        <f>IF(C486=1,$AE$32,$AE$33)</f>
        <v/>
      </c>
      <c r="Z486" s="9">
        <f>Y486*X486</f>
        <v/>
      </c>
      <c r="AA486" s="10">
        <f>IF(W486&gt;$AE$34,1,0)</f>
        <v/>
      </c>
      <c r="AB486">
        <f>IF(AA486=C486,1,0)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$AE$12+D487*$AE$13+E487*$AE$14+F487*$AE$15+G487*$AE$16+H487*$AE$17+I487*$AE$18+J487*$AE$19+K487*$AE$20+L487*$AE$21+M487*$AE$22+N487*$AE$23+O487*$AE$24+P487*$AE$25+Q487*$AE$26+R487*$AE$27+S487*$AE$28+T487*$AE$29+U487*$AE$30</f>
        <v/>
      </c>
      <c r="W487" s="8">
        <f>1/(1+EXP(-V487))</f>
        <v/>
      </c>
      <c r="X487" s="9">
        <f>-IF(C487=1,LN(W487),LN(1-W487))</f>
        <v/>
      </c>
      <c r="Y487" s="8">
        <f>IF(C487=1,$AE$32,$AE$33)</f>
        <v/>
      </c>
      <c r="Z487" s="9">
        <f>Y487*X487</f>
        <v/>
      </c>
      <c r="AA487" s="10">
        <f>IF(W487&gt;$AE$34,1,0)</f>
        <v/>
      </c>
      <c r="AB487">
        <f>IF(AA487=C487,1,0)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$AE$12+D488*$AE$13+E488*$AE$14+F488*$AE$15+G488*$AE$16+H488*$AE$17+I488*$AE$18+J488*$AE$19+K488*$AE$20+L488*$AE$21+M488*$AE$22+N488*$AE$23+O488*$AE$24+P488*$AE$25+Q488*$AE$26+R488*$AE$27+S488*$AE$28+T488*$AE$29+U488*$AE$30</f>
        <v/>
      </c>
      <c r="W488" s="8">
        <f>1/(1+EXP(-V488))</f>
        <v/>
      </c>
      <c r="X488" s="9">
        <f>-IF(C488=1,LN(W488),LN(1-W488))</f>
        <v/>
      </c>
      <c r="Y488" s="8">
        <f>IF(C488=1,$AE$32,$AE$33)</f>
        <v/>
      </c>
      <c r="Z488" s="9">
        <f>Y488*X488</f>
        <v/>
      </c>
      <c r="AA488" s="10">
        <f>IF(W488&gt;$AE$34,1,0)</f>
        <v/>
      </c>
      <c r="AB488">
        <f>IF(AA488=C488,1,0)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$AE$12+D489*$AE$13+E489*$AE$14+F489*$AE$15+G489*$AE$16+H489*$AE$17+I489*$AE$18+J489*$AE$19+K489*$AE$20+L489*$AE$21+M489*$AE$22+N489*$AE$23+O489*$AE$24+P489*$AE$25+Q489*$AE$26+R489*$AE$27+S489*$AE$28+T489*$AE$29+U489*$AE$30</f>
        <v/>
      </c>
      <c r="W489" s="8">
        <f>1/(1+EXP(-V489))</f>
        <v/>
      </c>
      <c r="X489" s="9">
        <f>-IF(C489=1,LN(W489),LN(1-W489))</f>
        <v/>
      </c>
      <c r="Y489" s="8">
        <f>IF(C489=1,$AE$32,$AE$33)</f>
        <v/>
      </c>
      <c r="Z489" s="9">
        <f>Y489*X489</f>
        <v/>
      </c>
      <c r="AA489" s="10">
        <f>IF(W489&gt;$AE$34,1,0)</f>
        <v/>
      </c>
      <c r="AB489">
        <f>IF(AA489=C489,1,0)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$AE$12+D490*$AE$13+E490*$AE$14+F490*$AE$15+G490*$AE$16+H490*$AE$17+I490*$AE$18+J490*$AE$19+K490*$AE$20+L490*$AE$21+M490*$AE$22+N490*$AE$23+O490*$AE$24+P490*$AE$25+Q490*$AE$26+R490*$AE$27+S490*$AE$28+T490*$AE$29+U490*$AE$30</f>
        <v/>
      </c>
      <c r="W490" s="8">
        <f>1/(1+EXP(-V490))</f>
        <v/>
      </c>
      <c r="X490" s="9">
        <f>-IF(C490=1,LN(W490),LN(1-W490))</f>
        <v/>
      </c>
      <c r="Y490" s="8">
        <f>IF(C490=1,$AE$32,$AE$33)</f>
        <v/>
      </c>
      <c r="Z490" s="9">
        <f>Y490*X490</f>
        <v/>
      </c>
      <c r="AA490" s="10">
        <f>IF(W490&gt;$AE$34,1,0)</f>
        <v/>
      </c>
      <c r="AB490">
        <f>IF(AA490=C490,1,0)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$AE$12+D491*$AE$13+E491*$AE$14+F491*$AE$15+G491*$AE$16+H491*$AE$17+I491*$AE$18+J491*$AE$19+K491*$AE$20+L491*$AE$21+M491*$AE$22+N491*$AE$23+O491*$AE$24+P491*$AE$25+Q491*$AE$26+R491*$AE$27+S491*$AE$28+T491*$AE$29+U491*$AE$30</f>
        <v/>
      </c>
      <c r="W491" s="8">
        <f>1/(1+EXP(-V491))</f>
        <v/>
      </c>
      <c r="X491" s="9">
        <f>-IF(C491=1,LN(W491),LN(1-W491))</f>
        <v/>
      </c>
      <c r="Y491" s="8">
        <f>IF(C491=1,$AE$32,$AE$33)</f>
        <v/>
      </c>
      <c r="Z491" s="9">
        <f>Y491*X491</f>
        <v/>
      </c>
      <c r="AA491" s="10">
        <f>IF(W491&gt;$AE$34,1,0)</f>
        <v/>
      </c>
      <c r="AB491">
        <f>IF(AA491=C491,1,0)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$AE$12+D492*$AE$13+E492*$AE$14+F492*$AE$15+G492*$AE$16+H492*$AE$17+I492*$AE$18+J492*$AE$19+K492*$AE$20+L492*$AE$21+M492*$AE$22+N492*$AE$23+O492*$AE$24+P492*$AE$25+Q492*$AE$26+R492*$AE$27+S492*$AE$28+T492*$AE$29+U492*$AE$30</f>
        <v/>
      </c>
      <c r="W492" s="8">
        <f>1/(1+EXP(-V492))</f>
        <v/>
      </c>
      <c r="X492" s="9">
        <f>-IF(C492=1,LN(W492),LN(1-W492))</f>
        <v/>
      </c>
      <c r="Y492" s="8">
        <f>IF(C492=1,$AE$32,$AE$33)</f>
        <v/>
      </c>
      <c r="Z492" s="9">
        <f>Y492*X492</f>
        <v/>
      </c>
      <c r="AA492" s="10">
        <f>IF(W492&gt;$AE$34,1,0)</f>
        <v/>
      </c>
      <c r="AB492">
        <f>IF(AA492=C492,1,0)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$AE$12+D493*$AE$13+E493*$AE$14+F493*$AE$15+G493*$AE$16+H493*$AE$17+I493*$AE$18+J493*$AE$19+K493*$AE$20+L493*$AE$21+M493*$AE$22+N493*$AE$23+O493*$AE$24+P493*$AE$25+Q493*$AE$26+R493*$AE$27+S493*$AE$28+T493*$AE$29+U493*$AE$30</f>
        <v/>
      </c>
      <c r="W493" s="8">
        <f>1/(1+EXP(-V493))</f>
        <v/>
      </c>
      <c r="X493" s="9">
        <f>-IF(C493=1,LN(W493),LN(1-W493))</f>
        <v/>
      </c>
      <c r="Y493" s="8">
        <f>IF(C493=1,$AE$32,$AE$33)</f>
        <v/>
      </c>
      <c r="Z493" s="9">
        <f>Y493*X493</f>
        <v/>
      </c>
      <c r="AA493" s="10">
        <f>IF(W493&gt;$AE$34,1,0)</f>
        <v/>
      </c>
      <c r="AB493">
        <f>IF(AA493=C493,1,0)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$AE$12+D494*$AE$13+E494*$AE$14+F494*$AE$15+G494*$AE$16+H494*$AE$17+I494*$AE$18+J494*$AE$19+K494*$AE$20+L494*$AE$21+M494*$AE$22+N494*$AE$23+O494*$AE$24+P494*$AE$25+Q494*$AE$26+R494*$AE$27+S494*$AE$28+T494*$AE$29+U494*$AE$30</f>
        <v/>
      </c>
      <c r="W494" s="8">
        <f>1/(1+EXP(-V494))</f>
        <v/>
      </c>
      <c r="X494" s="9">
        <f>-IF(C494=1,LN(W494),LN(1-W494))</f>
        <v/>
      </c>
      <c r="Y494" s="8">
        <f>IF(C494=1,$AE$32,$AE$33)</f>
        <v/>
      </c>
      <c r="Z494" s="9">
        <f>Y494*X494</f>
        <v/>
      </c>
      <c r="AA494" s="10">
        <f>IF(W494&gt;$AE$34,1,0)</f>
        <v/>
      </c>
      <c r="AB494">
        <f>IF(AA494=C494,1,0)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$AE$12+D495*$AE$13+E495*$AE$14+F495*$AE$15+G495*$AE$16+H495*$AE$17+I495*$AE$18+J495*$AE$19+K495*$AE$20+L495*$AE$21+M495*$AE$22+N495*$AE$23+O495*$AE$24+P495*$AE$25+Q495*$AE$26+R495*$AE$27+S495*$AE$28+T495*$AE$29+U495*$AE$30</f>
        <v/>
      </c>
      <c r="W495" s="8">
        <f>1/(1+EXP(-V495))</f>
        <v/>
      </c>
      <c r="X495" s="9">
        <f>-IF(C495=1,LN(W495),LN(1-W495))</f>
        <v/>
      </c>
      <c r="Y495" s="8">
        <f>IF(C495=1,$AE$32,$AE$33)</f>
        <v/>
      </c>
      <c r="Z495" s="9">
        <f>Y495*X495</f>
        <v/>
      </c>
      <c r="AA495" s="10">
        <f>IF(W495&gt;$AE$34,1,0)</f>
        <v/>
      </c>
      <c r="AB495">
        <f>IF(AA495=C495,1,0)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$AE$12+D496*$AE$13+E496*$AE$14+F496*$AE$15+G496*$AE$16+H496*$AE$17+I496*$AE$18+J496*$AE$19+K496*$AE$20+L496*$AE$21+M496*$AE$22+N496*$AE$23+O496*$AE$24+P496*$AE$25+Q496*$AE$26+R496*$AE$27+S496*$AE$28+T496*$AE$29+U496*$AE$30</f>
        <v/>
      </c>
      <c r="W496" s="8">
        <f>1/(1+EXP(-V496))</f>
        <v/>
      </c>
      <c r="X496" s="9">
        <f>-IF(C496=1,LN(W496),LN(1-W496))</f>
        <v/>
      </c>
      <c r="Y496" s="8">
        <f>IF(C496=1,$AE$32,$AE$33)</f>
        <v/>
      </c>
      <c r="Z496" s="9">
        <f>Y496*X496</f>
        <v/>
      </c>
      <c r="AA496" s="10">
        <f>IF(W496&gt;$AE$34,1,0)</f>
        <v/>
      </c>
      <c r="AB496">
        <f>IF(AA496=C496,1,0)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$AE$12+D497*$AE$13+E497*$AE$14+F497*$AE$15+G497*$AE$16+H497*$AE$17+I497*$AE$18+J497*$AE$19+K497*$AE$20+L497*$AE$21+M497*$AE$22+N497*$AE$23+O497*$AE$24+P497*$AE$25+Q497*$AE$26+R497*$AE$27+S497*$AE$28+T497*$AE$29+U497*$AE$30</f>
        <v/>
      </c>
      <c r="W497" s="8">
        <f>1/(1+EXP(-V497))</f>
        <v/>
      </c>
      <c r="X497" s="9">
        <f>-IF(C497=1,LN(W497),LN(1-W497))</f>
        <v/>
      </c>
      <c r="Y497" s="8">
        <f>IF(C497=1,$AE$32,$AE$33)</f>
        <v/>
      </c>
      <c r="Z497" s="9">
        <f>Y497*X497</f>
        <v/>
      </c>
      <c r="AA497" s="10">
        <f>IF(W497&gt;$AE$34,1,0)</f>
        <v/>
      </c>
      <c r="AB497">
        <f>IF(AA497=C497,1,0)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$AE$12+D498*$AE$13+E498*$AE$14+F498*$AE$15+G498*$AE$16+H498*$AE$17+I498*$AE$18+J498*$AE$19+K498*$AE$20+L498*$AE$21+M498*$AE$22+N498*$AE$23+O498*$AE$24+P498*$AE$25+Q498*$AE$26+R498*$AE$27+S498*$AE$28+T498*$AE$29+U498*$AE$30</f>
        <v/>
      </c>
      <c r="W498" s="8">
        <f>1/(1+EXP(-V498))</f>
        <v/>
      </c>
      <c r="X498" s="9">
        <f>-IF(C498=1,LN(W498),LN(1-W498))</f>
        <v/>
      </c>
      <c r="Y498" s="8">
        <f>IF(C498=1,$AE$32,$AE$33)</f>
        <v/>
      </c>
      <c r="Z498" s="9">
        <f>Y498*X498</f>
        <v/>
      </c>
      <c r="AA498" s="10">
        <f>IF(W498&gt;$AE$34,1,0)</f>
        <v/>
      </c>
      <c r="AB498">
        <f>IF(AA498=C498,1,0)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$AE$12+D499*$AE$13+E499*$AE$14+F499*$AE$15+G499*$AE$16+H499*$AE$17+I499*$AE$18+J499*$AE$19+K499*$AE$20+L499*$AE$21+M499*$AE$22+N499*$AE$23+O499*$AE$24+P499*$AE$25+Q499*$AE$26+R499*$AE$27+S499*$AE$28+T499*$AE$29+U499*$AE$30</f>
        <v/>
      </c>
      <c r="W499" s="8">
        <f>1/(1+EXP(-V499))</f>
        <v/>
      </c>
      <c r="X499" s="9">
        <f>-IF(C499=1,LN(W499),LN(1-W499))</f>
        <v/>
      </c>
      <c r="Y499" s="8">
        <f>IF(C499=1,$AE$32,$AE$33)</f>
        <v/>
      </c>
      <c r="Z499" s="9">
        <f>Y499*X499</f>
        <v/>
      </c>
      <c r="AA499" s="10">
        <f>IF(W499&gt;$AE$34,1,0)</f>
        <v/>
      </c>
      <c r="AB499">
        <f>IF(AA499=C499,1,0)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$AE$12+D500*$AE$13+E500*$AE$14+F500*$AE$15+G500*$AE$16+H500*$AE$17+I500*$AE$18+J500*$AE$19+K500*$AE$20+L500*$AE$21+M500*$AE$22+N500*$AE$23+O500*$AE$24+P500*$AE$25+Q500*$AE$26+R500*$AE$27+S500*$AE$28+T500*$AE$29+U500*$AE$30</f>
        <v/>
      </c>
      <c r="W500" s="8">
        <f>1/(1+EXP(-V500))</f>
        <v/>
      </c>
      <c r="X500" s="9">
        <f>-IF(C500=1,LN(W500),LN(1-W500))</f>
        <v/>
      </c>
      <c r="Y500" s="8">
        <f>IF(C500=1,$AE$32,$AE$33)</f>
        <v/>
      </c>
      <c r="Z500" s="9">
        <f>Y500*X500</f>
        <v/>
      </c>
      <c r="AA500" s="10">
        <f>IF(W500&gt;$AE$34,1,0)</f>
        <v/>
      </c>
      <c r="AB500">
        <f>IF(AA500=C500,1,0)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$AE$12+D501*$AE$13+E501*$AE$14+F501*$AE$15+G501*$AE$16+H501*$AE$17+I501*$AE$18+J501*$AE$19+K501*$AE$20+L501*$AE$21+M501*$AE$22+N501*$AE$23+O501*$AE$24+P501*$AE$25+Q501*$AE$26+R501*$AE$27+S501*$AE$28+T501*$AE$29+U501*$AE$30</f>
        <v/>
      </c>
      <c r="W501" s="8">
        <f>1/(1+EXP(-V501))</f>
        <v/>
      </c>
      <c r="X501" s="9">
        <f>-IF(C501=1,LN(W501),LN(1-W501))</f>
        <v/>
      </c>
      <c r="Y501" s="8">
        <f>IF(C501=1,$AE$32,$AE$33)</f>
        <v/>
      </c>
      <c r="Z501" s="9">
        <f>Y501*X501</f>
        <v/>
      </c>
      <c r="AA501" s="10">
        <f>IF(W501&gt;$AE$34,1,0)</f>
        <v/>
      </c>
      <c r="AB501">
        <f>IF(AA501=C501,1,0)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$AE$12+D502*$AE$13+E502*$AE$14+F502*$AE$15+G502*$AE$16+H502*$AE$17+I502*$AE$18+J502*$AE$19+K502*$AE$20+L502*$AE$21+M502*$AE$22+N502*$AE$23+O502*$AE$24+P502*$AE$25+Q502*$AE$26+R502*$AE$27+S502*$AE$28+T502*$AE$29+U502*$AE$30</f>
        <v/>
      </c>
      <c r="W502" s="8">
        <f>1/(1+EXP(-V502))</f>
        <v/>
      </c>
      <c r="X502" s="9">
        <f>-IF(C502=1,LN(W502),LN(1-W502))</f>
        <v/>
      </c>
      <c r="Y502" s="8">
        <f>IF(C502=1,$AE$32,$AE$33)</f>
        <v/>
      </c>
      <c r="Z502" s="9">
        <f>Y502*X502</f>
        <v/>
      </c>
      <c r="AA502" s="10">
        <f>IF(W502&gt;$AE$34,1,0)</f>
        <v/>
      </c>
      <c r="AB502">
        <f>IF(AA502=C502,1,0)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$AE$12+D503*$AE$13+E503*$AE$14+F503*$AE$15+G503*$AE$16+H503*$AE$17+I503*$AE$18+J503*$AE$19+K503*$AE$20+L503*$AE$21+M503*$AE$22+N503*$AE$23+O503*$AE$24+P503*$AE$25+Q503*$AE$26+R503*$AE$27+S503*$AE$28+T503*$AE$29+U503*$AE$30</f>
        <v/>
      </c>
      <c r="W503" s="8">
        <f>1/(1+EXP(-V503))</f>
        <v/>
      </c>
      <c r="X503" s="9">
        <f>-IF(C503=1,LN(W503),LN(1-W503))</f>
        <v/>
      </c>
      <c r="Y503" s="8">
        <f>IF(C503=1,$AE$32,$AE$33)</f>
        <v/>
      </c>
      <c r="Z503" s="9">
        <f>Y503*X503</f>
        <v/>
      </c>
      <c r="AA503" s="10">
        <f>IF(W503&gt;$AE$34,1,0)</f>
        <v/>
      </c>
      <c r="AB503">
        <f>IF(AA503=C503,1,0)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$AE$12+D504*$AE$13+E504*$AE$14+F504*$AE$15+G504*$AE$16+H504*$AE$17+I504*$AE$18+J504*$AE$19+K504*$AE$20+L504*$AE$21+M504*$AE$22+N504*$AE$23+O504*$AE$24+P504*$AE$25+Q504*$AE$26+R504*$AE$27+S504*$AE$28+T504*$AE$29+U504*$AE$30</f>
        <v/>
      </c>
      <c r="W504" s="8">
        <f>1/(1+EXP(-V504))</f>
        <v/>
      </c>
      <c r="X504" s="9">
        <f>-IF(C504=1,LN(W504),LN(1-W504))</f>
        <v/>
      </c>
      <c r="Y504" s="8">
        <f>IF(C504=1,$AE$32,$AE$33)</f>
        <v/>
      </c>
      <c r="Z504" s="9">
        <f>Y504*X504</f>
        <v/>
      </c>
      <c r="AA504" s="10">
        <f>IF(W504&gt;$AE$34,1,0)</f>
        <v/>
      </c>
      <c r="AB504">
        <f>IF(AA504=C504,1,0)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$AE$12+D505*$AE$13+E505*$AE$14+F505*$AE$15+G505*$AE$16+H505*$AE$17+I505*$AE$18+J505*$AE$19+K505*$AE$20+L505*$AE$21+M505*$AE$22+N505*$AE$23+O505*$AE$24+P505*$AE$25+Q505*$AE$26+R505*$AE$27+S505*$AE$28+T505*$AE$29+U505*$AE$30</f>
        <v/>
      </c>
      <c r="W505" s="8">
        <f>1/(1+EXP(-V505))</f>
        <v/>
      </c>
      <c r="X505" s="9">
        <f>-IF(C505=1,LN(W505),LN(1-W505))</f>
        <v/>
      </c>
      <c r="Y505" s="8">
        <f>IF(C505=1,$AE$32,$AE$33)</f>
        <v/>
      </c>
      <c r="Z505" s="9">
        <f>Y505*X505</f>
        <v/>
      </c>
      <c r="AA505" s="10">
        <f>IF(W505&gt;$AE$34,1,0)</f>
        <v/>
      </c>
      <c r="AB505">
        <f>IF(AA505=C505,1,0)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$AE$12+D506*$AE$13+E506*$AE$14+F506*$AE$15+G506*$AE$16+H506*$AE$17+I506*$AE$18+J506*$AE$19+K506*$AE$20+L506*$AE$21+M506*$AE$22+N506*$AE$23+O506*$AE$24+P506*$AE$25+Q506*$AE$26+R506*$AE$27+S506*$AE$28+T506*$AE$29+U506*$AE$30</f>
        <v/>
      </c>
      <c r="W506" s="8">
        <f>1/(1+EXP(-V506))</f>
        <v/>
      </c>
      <c r="X506" s="9">
        <f>-IF(C506=1,LN(W506),LN(1-W506))</f>
        <v/>
      </c>
      <c r="Y506" s="8">
        <f>IF(C506=1,$AE$32,$AE$33)</f>
        <v/>
      </c>
      <c r="Z506" s="9">
        <f>Y506*X506</f>
        <v/>
      </c>
      <c r="AA506" s="10">
        <f>IF(W506&gt;$AE$34,1,0)</f>
        <v/>
      </c>
      <c r="AB506">
        <f>IF(AA506=C506,1,0)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$AE$12+D507*$AE$13+E507*$AE$14+F507*$AE$15+G507*$AE$16+H507*$AE$17+I507*$AE$18+J507*$AE$19+K507*$AE$20+L507*$AE$21+M507*$AE$22+N507*$AE$23+O507*$AE$24+P507*$AE$25+Q507*$AE$26+R507*$AE$27+S507*$AE$28+T507*$AE$29+U507*$AE$30</f>
        <v/>
      </c>
      <c r="W507" s="8">
        <f>1/(1+EXP(-V507))</f>
        <v/>
      </c>
      <c r="X507" s="9">
        <f>-IF(C507=1,LN(W507),LN(1-W507))</f>
        <v/>
      </c>
      <c r="Y507" s="8">
        <f>IF(C507=1,$AE$32,$AE$33)</f>
        <v/>
      </c>
      <c r="Z507" s="9">
        <f>Y507*X507</f>
        <v/>
      </c>
      <c r="AA507" s="10">
        <f>IF(W507&gt;$AE$34,1,0)</f>
        <v/>
      </c>
      <c r="AB507">
        <f>IF(AA507=C507,1,0)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$AE$12+D508*$AE$13+E508*$AE$14+F508*$AE$15+G508*$AE$16+H508*$AE$17+I508*$AE$18+J508*$AE$19+K508*$AE$20+L508*$AE$21+M508*$AE$22+N508*$AE$23+O508*$AE$24+P508*$AE$25+Q508*$AE$26+R508*$AE$27+S508*$AE$28+T508*$AE$29+U508*$AE$30</f>
        <v/>
      </c>
      <c r="W508" s="8">
        <f>1/(1+EXP(-V508))</f>
        <v/>
      </c>
      <c r="X508" s="9">
        <f>-IF(C508=1,LN(W508),LN(1-W508))</f>
        <v/>
      </c>
      <c r="Y508" s="8">
        <f>IF(C508=1,$AE$32,$AE$33)</f>
        <v/>
      </c>
      <c r="Z508" s="9">
        <f>Y508*X508</f>
        <v/>
      </c>
      <c r="AA508" s="10">
        <f>IF(W508&gt;$AE$34,1,0)</f>
        <v/>
      </c>
      <c r="AB508">
        <f>IF(AA508=C508,1,0)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$AE$12+D509*$AE$13+E509*$AE$14+F509*$AE$15+G509*$AE$16+H509*$AE$17+I509*$AE$18+J509*$AE$19+K509*$AE$20+L509*$AE$21+M509*$AE$22+N509*$AE$23+O509*$AE$24+P509*$AE$25+Q509*$AE$26+R509*$AE$27+S509*$AE$28+T509*$AE$29+U509*$AE$30</f>
        <v/>
      </c>
      <c r="W509" s="8">
        <f>1/(1+EXP(-V509))</f>
        <v/>
      </c>
      <c r="X509" s="9">
        <f>-IF(C509=1,LN(W509),LN(1-W509))</f>
        <v/>
      </c>
      <c r="Y509" s="8">
        <f>IF(C509=1,$AE$32,$AE$33)</f>
        <v/>
      </c>
      <c r="Z509" s="9">
        <f>Y509*X509</f>
        <v/>
      </c>
      <c r="AA509" s="10">
        <f>IF(W509&gt;$AE$34,1,0)</f>
        <v/>
      </c>
      <c r="AB509">
        <f>IF(AA509=C509,1,0)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$AE$12+D510*$AE$13+E510*$AE$14+F510*$AE$15+G510*$AE$16+H510*$AE$17+I510*$AE$18+J510*$AE$19+K510*$AE$20+L510*$AE$21+M510*$AE$22+N510*$AE$23+O510*$AE$24+P510*$AE$25+Q510*$AE$26+R510*$AE$27+S510*$AE$28+T510*$AE$29+U510*$AE$30</f>
        <v/>
      </c>
      <c r="W510" s="8">
        <f>1/(1+EXP(-V510))</f>
        <v/>
      </c>
      <c r="X510" s="9">
        <f>-IF(C510=1,LN(W510),LN(1-W510))</f>
        <v/>
      </c>
      <c r="Y510" s="8">
        <f>IF(C510=1,$AE$32,$AE$33)</f>
        <v/>
      </c>
      <c r="Z510" s="9">
        <f>Y510*X510</f>
        <v/>
      </c>
      <c r="AA510" s="10">
        <f>IF(W510&gt;$AE$34,1,0)</f>
        <v/>
      </c>
      <c r="AB510">
        <f>IF(AA510=C510,1,0)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$AE$12+D511*$AE$13+E511*$AE$14+F511*$AE$15+G511*$AE$16+H511*$AE$17+I511*$AE$18+J511*$AE$19+K511*$AE$20+L511*$AE$21+M511*$AE$22+N511*$AE$23+O511*$AE$24+P511*$AE$25+Q511*$AE$26+R511*$AE$27+S511*$AE$28+T511*$AE$29+U511*$AE$30</f>
        <v/>
      </c>
      <c r="W511" s="8">
        <f>1/(1+EXP(-V511))</f>
        <v/>
      </c>
      <c r="X511" s="9">
        <f>-IF(C511=1,LN(W511),LN(1-W511))</f>
        <v/>
      </c>
      <c r="Y511" s="8">
        <f>IF(C511=1,$AE$32,$AE$33)</f>
        <v/>
      </c>
      <c r="Z511" s="9">
        <f>Y511*X511</f>
        <v/>
      </c>
      <c r="AA511" s="10">
        <f>IF(W511&gt;$AE$34,1,0)</f>
        <v/>
      </c>
      <c r="AB511">
        <f>IF(AA511=C511,1,0)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$AE$12+D512*$AE$13+E512*$AE$14+F512*$AE$15+G512*$AE$16+H512*$AE$17+I512*$AE$18+J512*$AE$19+K512*$AE$20+L512*$AE$21+M512*$AE$22+N512*$AE$23+O512*$AE$24+P512*$AE$25+Q512*$AE$26+R512*$AE$27+S512*$AE$28+T512*$AE$29+U512*$AE$30</f>
        <v/>
      </c>
      <c r="W512" s="8">
        <f>1/(1+EXP(-V512))</f>
        <v/>
      </c>
      <c r="X512" s="9">
        <f>-IF(C512=1,LN(W512),LN(1-W512))</f>
        <v/>
      </c>
      <c r="Y512" s="8">
        <f>IF(C512=1,$AE$32,$AE$33)</f>
        <v/>
      </c>
      <c r="Z512" s="9">
        <f>Y512*X512</f>
        <v/>
      </c>
      <c r="AA512" s="10">
        <f>IF(W512&gt;$AE$34,1,0)</f>
        <v/>
      </c>
      <c r="AB512">
        <f>IF(AA512=C512,1,0)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$AE$12+D513*$AE$13+E513*$AE$14+F513*$AE$15+G513*$AE$16+H513*$AE$17+I513*$AE$18+J513*$AE$19+K513*$AE$20+L513*$AE$21+M513*$AE$22+N513*$AE$23+O513*$AE$24+P513*$AE$25+Q513*$AE$26+R513*$AE$27+S513*$AE$28+T513*$AE$29+U513*$AE$30</f>
        <v/>
      </c>
      <c r="W513" s="8">
        <f>1/(1+EXP(-V513))</f>
        <v/>
      </c>
      <c r="X513" s="9">
        <f>-IF(C513=1,LN(W513),LN(1-W513))</f>
        <v/>
      </c>
      <c r="Y513" s="8">
        <f>IF(C513=1,$AE$32,$AE$33)</f>
        <v/>
      </c>
      <c r="Z513" s="9">
        <f>Y513*X513</f>
        <v/>
      </c>
      <c r="AA513" s="10">
        <f>IF(W513&gt;$AE$34,1,0)</f>
        <v/>
      </c>
      <c r="AB513">
        <f>IF(AA513=C513,1,0)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$AE$12+D514*$AE$13+E514*$AE$14+F514*$AE$15+G514*$AE$16+H514*$AE$17+I514*$AE$18+J514*$AE$19+K514*$AE$20+L514*$AE$21+M514*$AE$22+N514*$AE$23+O514*$AE$24+P514*$AE$25+Q514*$AE$26+R514*$AE$27+S514*$AE$28+T514*$AE$29+U514*$AE$30</f>
        <v/>
      </c>
      <c r="W514" s="8">
        <f>1/(1+EXP(-V514))</f>
        <v/>
      </c>
      <c r="X514" s="9">
        <f>-IF(C514=1,LN(W514),LN(1-W514))</f>
        <v/>
      </c>
      <c r="Y514" s="8">
        <f>IF(C514=1,$AE$32,$AE$33)</f>
        <v/>
      </c>
      <c r="Z514" s="9">
        <f>Y514*X514</f>
        <v/>
      </c>
      <c r="AA514" s="10">
        <f>IF(W514&gt;$AE$34,1,0)</f>
        <v/>
      </c>
      <c r="AB514">
        <f>IF(AA514=C514,1,0)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$AE$12+D515*$AE$13+E515*$AE$14+F515*$AE$15+G515*$AE$16+H515*$AE$17+I515*$AE$18+J515*$AE$19+K515*$AE$20+L515*$AE$21+M515*$AE$22+N515*$AE$23+O515*$AE$24+P515*$AE$25+Q515*$AE$26+R515*$AE$27+S515*$AE$28+T515*$AE$29+U515*$AE$30</f>
        <v/>
      </c>
      <c r="W515" s="8">
        <f>1/(1+EXP(-V515))</f>
        <v/>
      </c>
      <c r="X515" s="9">
        <f>-IF(C515=1,LN(W515),LN(1-W515))</f>
        <v/>
      </c>
      <c r="Y515" s="8">
        <f>IF(C515=1,$AE$32,$AE$33)</f>
        <v/>
      </c>
      <c r="Z515" s="9">
        <f>Y515*X515</f>
        <v/>
      </c>
      <c r="AA515" s="10">
        <f>IF(W515&gt;$AE$34,1,0)</f>
        <v/>
      </c>
      <c r="AB515">
        <f>IF(AA515=C515,1,0)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$AE$12+D516*$AE$13+E516*$AE$14+F516*$AE$15+G516*$AE$16+H516*$AE$17+I516*$AE$18+J516*$AE$19+K516*$AE$20+L516*$AE$21+M516*$AE$22+N516*$AE$23+O516*$AE$24+P516*$AE$25+Q516*$AE$26+R516*$AE$27+S516*$AE$28+T516*$AE$29+U516*$AE$30</f>
        <v/>
      </c>
      <c r="W516" s="8">
        <f>1/(1+EXP(-V516))</f>
        <v/>
      </c>
      <c r="X516" s="9">
        <f>-IF(C516=1,LN(W516),LN(1-W516))</f>
        <v/>
      </c>
      <c r="Y516" s="8">
        <f>IF(C516=1,$AE$32,$AE$33)</f>
        <v/>
      </c>
      <c r="Z516" s="9">
        <f>Y516*X516</f>
        <v/>
      </c>
      <c r="AA516" s="10">
        <f>IF(W516&gt;$AE$34,1,0)</f>
        <v/>
      </c>
      <c r="AB516">
        <f>IF(AA516=C516,1,0)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$AE$12+D517*$AE$13+E517*$AE$14+F517*$AE$15+G517*$AE$16+H517*$AE$17+I517*$AE$18+J517*$AE$19+K517*$AE$20+L517*$AE$21+M517*$AE$22+N517*$AE$23+O517*$AE$24+P517*$AE$25+Q517*$AE$26+R517*$AE$27+S517*$AE$28+T517*$AE$29+U517*$AE$30</f>
        <v/>
      </c>
      <c r="W517" s="8">
        <f>1/(1+EXP(-V517))</f>
        <v/>
      </c>
      <c r="X517" s="9">
        <f>-IF(C517=1,LN(W517),LN(1-W517))</f>
        <v/>
      </c>
      <c r="Y517" s="8">
        <f>IF(C517=1,$AE$32,$AE$33)</f>
        <v/>
      </c>
      <c r="Z517" s="9">
        <f>Y517*X517</f>
        <v/>
      </c>
      <c r="AA517" s="10">
        <f>IF(W517&gt;$AE$34,1,0)</f>
        <v/>
      </c>
      <c r="AB517">
        <f>IF(AA517=C517,1,0)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$AE$12+D518*$AE$13+E518*$AE$14+F518*$AE$15+G518*$AE$16+H518*$AE$17+I518*$AE$18+J518*$AE$19+K518*$AE$20+L518*$AE$21+M518*$AE$22+N518*$AE$23+O518*$AE$24+P518*$AE$25+Q518*$AE$26+R518*$AE$27+S518*$AE$28+T518*$AE$29+U518*$AE$30</f>
        <v/>
      </c>
      <c r="W518" s="8">
        <f>1/(1+EXP(-V518))</f>
        <v/>
      </c>
      <c r="X518" s="9">
        <f>-IF(C518=1,LN(W518),LN(1-W518))</f>
        <v/>
      </c>
      <c r="Y518" s="8">
        <f>IF(C518=1,$AE$32,$AE$33)</f>
        <v/>
      </c>
      <c r="Z518" s="9">
        <f>Y518*X518</f>
        <v/>
      </c>
      <c r="AA518" s="10">
        <f>IF(W518&gt;$AE$34,1,0)</f>
        <v/>
      </c>
      <c r="AB518">
        <f>IF(AA518=C518,1,0)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$AE$12+D519*$AE$13+E519*$AE$14+F519*$AE$15+G519*$AE$16+H519*$AE$17+I519*$AE$18+J519*$AE$19+K519*$AE$20+L519*$AE$21+M519*$AE$22+N519*$AE$23+O519*$AE$24+P519*$AE$25+Q519*$AE$26+R519*$AE$27+S519*$AE$28+T519*$AE$29+U519*$AE$30</f>
        <v/>
      </c>
      <c r="W519" s="8">
        <f>1/(1+EXP(-V519))</f>
        <v/>
      </c>
      <c r="X519" s="9">
        <f>-IF(C519=1,LN(W519),LN(1-W519))</f>
        <v/>
      </c>
      <c r="Y519" s="8">
        <f>IF(C519=1,$AE$32,$AE$33)</f>
        <v/>
      </c>
      <c r="Z519" s="9">
        <f>Y519*X519</f>
        <v/>
      </c>
      <c r="AA519" s="10">
        <f>IF(W519&gt;$AE$34,1,0)</f>
        <v/>
      </c>
      <c r="AB519">
        <f>IF(AA519=C519,1,0)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$AE$12+D520*$AE$13+E520*$AE$14+F520*$AE$15+G520*$AE$16+H520*$AE$17+I520*$AE$18+J520*$AE$19+K520*$AE$20+L520*$AE$21+M520*$AE$22+N520*$AE$23+O520*$AE$24+P520*$AE$25+Q520*$AE$26+R520*$AE$27+S520*$AE$28+T520*$AE$29+U520*$AE$30</f>
        <v/>
      </c>
      <c r="W520" s="8">
        <f>1/(1+EXP(-V520))</f>
        <v/>
      </c>
      <c r="X520" s="9">
        <f>-IF(C520=1,LN(W520),LN(1-W520))</f>
        <v/>
      </c>
      <c r="Y520" s="8">
        <f>IF(C520=1,$AE$32,$AE$33)</f>
        <v/>
      </c>
      <c r="Z520" s="9">
        <f>Y520*X520</f>
        <v/>
      </c>
      <c r="AA520" s="10">
        <f>IF(W520&gt;$AE$34,1,0)</f>
        <v/>
      </c>
      <c r="AB520">
        <f>IF(AA520=C520,1,0)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$AE$12+D521*$AE$13+E521*$AE$14+F521*$AE$15+G521*$AE$16+H521*$AE$17+I521*$AE$18+J521*$AE$19+K521*$AE$20+L521*$AE$21+M521*$AE$22+N521*$AE$23+O521*$AE$24+P521*$AE$25+Q521*$AE$26+R521*$AE$27+S521*$AE$28+T521*$AE$29+U521*$AE$30</f>
        <v/>
      </c>
      <c r="W521" s="8">
        <f>1/(1+EXP(-V521))</f>
        <v/>
      </c>
      <c r="X521" s="9">
        <f>-IF(C521=1,LN(W521),LN(1-W521))</f>
        <v/>
      </c>
      <c r="Y521" s="8">
        <f>IF(C521=1,$AE$32,$AE$33)</f>
        <v/>
      </c>
      <c r="Z521" s="9">
        <f>Y521*X521</f>
        <v/>
      </c>
      <c r="AA521" s="10">
        <f>IF(W521&gt;$AE$34,1,0)</f>
        <v/>
      </c>
      <c r="AB521">
        <f>IF(AA521=C521,1,0)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$AE$12+D522*$AE$13+E522*$AE$14+F522*$AE$15+G522*$AE$16+H522*$AE$17+I522*$AE$18+J522*$AE$19+K522*$AE$20+L522*$AE$21+M522*$AE$22+N522*$AE$23+O522*$AE$24+P522*$AE$25+Q522*$AE$26+R522*$AE$27+S522*$AE$28+T522*$AE$29+U522*$AE$30</f>
        <v/>
      </c>
      <c r="W522" s="8">
        <f>1/(1+EXP(-V522))</f>
        <v/>
      </c>
      <c r="X522" s="9">
        <f>-IF(C522=1,LN(W522),LN(1-W522))</f>
        <v/>
      </c>
      <c r="Y522" s="8">
        <f>IF(C522=1,$AE$32,$AE$33)</f>
        <v/>
      </c>
      <c r="Z522" s="9">
        <f>Y522*X522</f>
        <v/>
      </c>
      <c r="AA522" s="10">
        <f>IF(W522&gt;$AE$34,1,0)</f>
        <v/>
      </c>
      <c r="AB522">
        <f>IF(AA522=C522,1,0)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$AE$12+D523*$AE$13+E523*$AE$14+F523*$AE$15+G523*$AE$16+H523*$AE$17+I523*$AE$18+J523*$AE$19+K523*$AE$20+L523*$AE$21+M523*$AE$22+N523*$AE$23+O523*$AE$24+P523*$AE$25+Q523*$AE$26+R523*$AE$27+S523*$AE$28+T523*$AE$29+U523*$AE$30</f>
        <v/>
      </c>
      <c r="W523" s="8">
        <f>1/(1+EXP(-V523))</f>
        <v/>
      </c>
      <c r="X523" s="9">
        <f>-IF(C523=1,LN(W523),LN(1-W523))</f>
        <v/>
      </c>
      <c r="Y523" s="8">
        <f>IF(C523=1,$AE$32,$AE$33)</f>
        <v/>
      </c>
      <c r="Z523" s="9">
        <f>Y523*X523</f>
        <v/>
      </c>
      <c r="AA523" s="10">
        <f>IF(W523&gt;$AE$34,1,0)</f>
        <v/>
      </c>
      <c r="AB523">
        <f>IF(AA523=C523,1,0)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$AE$12+D524*$AE$13+E524*$AE$14+F524*$AE$15+G524*$AE$16+H524*$AE$17+I524*$AE$18+J524*$AE$19+K524*$AE$20+L524*$AE$21+M524*$AE$22+N524*$AE$23+O524*$AE$24+P524*$AE$25+Q524*$AE$26+R524*$AE$27+S524*$AE$28+T524*$AE$29+U524*$AE$30</f>
        <v/>
      </c>
      <c r="W524" s="8">
        <f>1/(1+EXP(-V524))</f>
        <v/>
      </c>
      <c r="X524" s="9">
        <f>-IF(C524=1,LN(W524),LN(1-W524))</f>
        <v/>
      </c>
      <c r="Y524" s="8">
        <f>IF(C524=1,$AE$32,$AE$33)</f>
        <v/>
      </c>
      <c r="Z524" s="9">
        <f>Y524*X524</f>
        <v/>
      </c>
      <c r="AA524" s="10">
        <f>IF(W524&gt;$AE$34,1,0)</f>
        <v/>
      </c>
      <c r="AB524">
        <f>IF(AA524=C524,1,0)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$AE$12+D525*$AE$13+E525*$AE$14+F525*$AE$15+G525*$AE$16+H525*$AE$17+I525*$AE$18+J525*$AE$19+K525*$AE$20+L525*$AE$21+M525*$AE$22+N525*$AE$23+O525*$AE$24+P525*$AE$25+Q525*$AE$26+R525*$AE$27+S525*$AE$28+T525*$AE$29+U525*$AE$30</f>
        <v/>
      </c>
      <c r="W525" s="8">
        <f>1/(1+EXP(-V525))</f>
        <v/>
      </c>
      <c r="X525" s="9">
        <f>-IF(C525=1,LN(W525),LN(1-W525))</f>
        <v/>
      </c>
      <c r="Y525" s="8">
        <f>IF(C525=1,$AE$32,$AE$33)</f>
        <v/>
      </c>
      <c r="Z525" s="9">
        <f>Y525*X525</f>
        <v/>
      </c>
      <c r="AA525" s="10">
        <f>IF(W525&gt;$AE$34,1,0)</f>
        <v/>
      </c>
      <c r="AB525">
        <f>IF(AA525=C525,1,0)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$AE$12+D526*$AE$13+E526*$AE$14+F526*$AE$15+G526*$AE$16+H526*$AE$17+I526*$AE$18+J526*$AE$19+K526*$AE$20+L526*$AE$21+M526*$AE$22+N526*$AE$23+O526*$AE$24+P526*$AE$25+Q526*$AE$26+R526*$AE$27+S526*$AE$28+T526*$AE$29+U526*$AE$30</f>
        <v/>
      </c>
      <c r="W526" s="8">
        <f>1/(1+EXP(-V526))</f>
        <v/>
      </c>
      <c r="X526" s="9">
        <f>-IF(C526=1,LN(W526),LN(1-W526))</f>
        <v/>
      </c>
      <c r="Y526" s="8">
        <f>IF(C526=1,$AE$32,$AE$33)</f>
        <v/>
      </c>
      <c r="Z526" s="9">
        <f>Y526*X526</f>
        <v/>
      </c>
      <c r="AA526" s="10">
        <f>IF(W526&gt;$AE$34,1,0)</f>
        <v/>
      </c>
      <c r="AB526">
        <f>IF(AA526=C526,1,0)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$AE$12+D527*$AE$13+E527*$AE$14+F527*$AE$15+G527*$AE$16+H527*$AE$17+I527*$AE$18+J527*$AE$19+K527*$AE$20+L527*$AE$21+M527*$AE$22+N527*$AE$23+O527*$AE$24+P527*$AE$25+Q527*$AE$26+R527*$AE$27+S527*$AE$28+T527*$AE$29+U527*$AE$30</f>
        <v/>
      </c>
      <c r="W527" s="8">
        <f>1/(1+EXP(-V527))</f>
        <v/>
      </c>
      <c r="X527" s="9">
        <f>-IF(C527=1,LN(W527),LN(1-W527))</f>
        <v/>
      </c>
      <c r="Y527" s="8">
        <f>IF(C527=1,$AE$32,$AE$33)</f>
        <v/>
      </c>
      <c r="Z527" s="9">
        <f>Y527*X527</f>
        <v/>
      </c>
      <c r="AA527" s="10">
        <f>IF(W527&gt;$AE$34,1,0)</f>
        <v/>
      </c>
      <c r="AB527">
        <f>IF(AA527=C527,1,0)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$AE$12+D528*$AE$13+E528*$AE$14+F528*$AE$15+G528*$AE$16+H528*$AE$17+I528*$AE$18+J528*$AE$19+K528*$AE$20+L528*$AE$21+M528*$AE$22+N528*$AE$23+O528*$AE$24+P528*$AE$25+Q528*$AE$26+R528*$AE$27+S528*$AE$28+T528*$AE$29+U528*$AE$30</f>
        <v/>
      </c>
      <c r="W528" s="8">
        <f>1/(1+EXP(-V528))</f>
        <v/>
      </c>
      <c r="X528" s="9">
        <f>-IF(C528=1,LN(W528),LN(1-W528))</f>
        <v/>
      </c>
      <c r="Y528" s="8">
        <f>IF(C528=1,$AE$32,$AE$33)</f>
        <v/>
      </c>
      <c r="Z528" s="9">
        <f>Y528*X528</f>
        <v/>
      </c>
      <c r="AA528" s="10">
        <f>IF(W528&gt;$AE$34,1,0)</f>
        <v/>
      </c>
      <c r="AB528">
        <f>IF(AA528=C528,1,0)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$AE$12+D529*$AE$13+E529*$AE$14+F529*$AE$15+G529*$AE$16+H529*$AE$17+I529*$AE$18+J529*$AE$19+K529*$AE$20+L529*$AE$21+M529*$AE$22+N529*$AE$23+O529*$AE$24+P529*$AE$25+Q529*$AE$26+R529*$AE$27+S529*$AE$28+T529*$AE$29+U529*$AE$30</f>
        <v/>
      </c>
      <c r="W529" s="8">
        <f>1/(1+EXP(-V529))</f>
        <v/>
      </c>
      <c r="X529" s="9">
        <f>-IF(C529=1,LN(W529),LN(1-W529))</f>
        <v/>
      </c>
      <c r="Y529" s="8">
        <f>IF(C529=1,$AE$32,$AE$33)</f>
        <v/>
      </c>
      <c r="Z529" s="9">
        <f>Y529*X529</f>
        <v/>
      </c>
      <c r="AA529" s="10">
        <f>IF(W529&gt;$AE$34,1,0)</f>
        <v/>
      </c>
      <c r="AB529">
        <f>IF(AA529=C529,1,0)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$AE$12+D530*$AE$13+E530*$AE$14+F530*$AE$15+G530*$AE$16+H530*$AE$17+I530*$AE$18+J530*$AE$19+K530*$AE$20+L530*$AE$21+M530*$AE$22+N530*$AE$23+O530*$AE$24+P530*$AE$25+Q530*$AE$26+R530*$AE$27+S530*$AE$28+T530*$AE$29+U530*$AE$30</f>
        <v/>
      </c>
      <c r="W530" s="8">
        <f>1/(1+EXP(-V530))</f>
        <v/>
      </c>
      <c r="X530" s="9">
        <f>-IF(C530=1,LN(W530),LN(1-W530))</f>
        <v/>
      </c>
      <c r="Y530" s="8">
        <f>IF(C530=1,$AE$32,$AE$33)</f>
        <v/>
      </c>
      <c r="Z530" s="9">
        <f>Y530*X530</f>
        <v/>
      </c>
      <c r="AA530" s="10">
        <f>IF(W530&gt;$AE$34,1,0)</f>
        <v/>
      </c>
      <c r="AB530">
        <f>IF(AA530=C530,1,0)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$AE$12+D531*$AE$13+E531*$AE$14+F531*$AE$15+G531*$AE$16+H531*$AE$17+I531*$AE$18+J531*$AE$19+K531*$AE$20+L531*$AE$21+M531*$AE$22+N531*$AE$23+O531*$AE$24+P531*$AE$25+Q531*$AE$26+R531*$AE$27+S531*$AE$28+T531*$AE$29+U531*$AE$30</f>
        <v/>
      </c>
      <c r="W531" s="8">
        <f>1/(1+EXP(-V531))</f>
        <v/>
      </c>
      <c r="X531" s="9">
        <f>-IF(C531=1,LN(W531),LN(1-W531))</f>
        <v/>
      </c>
      <c r="Y531" s="8">
        <f>IF(C531=1,$AE$32,$AE$33)</f>
        <v/>
      </c>
      <c r="Z531" s="9">
        <f>Y531*X531</f>
        <v/>
      </c>
      <c r="AA531" s="10">
        <f>IF(W531&gt;$AE$34,1,0)</f>
        <v/>
      </c>
      <c r="AB531">
        <f>IF(AA531=C531,1,0)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$AE$12+D532*$AE$13+E532*$AE$14+F532*$AE$15+G532*$AE$16+H532*$AE$17+I532*$AE$18+J532*$AE$19+K532*$AE$20+L532*$AE$21+M532*$AE$22+N532*$AE$23+O532*$AE$24+P532*$AE$25+Q532*$AE$26+R532*$AE$27+S532*$AE$28+T532*$AE$29+U532*$AE$30</f>
        <v/>
      </c>
      <c r="W532" s="8">
        <f>1/(1+EXP(-V532))</f>
        <v/>
      </c>
      <c r="X532" s="9">
        <f>-IF(C532=1,LN(W532),LN(1-W532))</f>
        <v/>
      </c>
      <c r="Y532" s="8">
        <f>IF(C532=1,$AE$32,$AE$33)</f>
        <v/>
      </c>
      <c r="Z532" s="9">
        <f>Y532*X532</f>
        <v/>
      </c>
      <c r="AA532" s="10">
        <f>IF(W532&gt;$AE$34,1,0)</f>
        <v/>
      </c>
      <c r="AB532">
        <f>IF(AA532=C532,1,0)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$AE$12+D533*$AE$13+E533*$AE$14+F533*$AE$15+G533*$AE$16+H533*$AE$17+I533*$AE$18+J533*$AE$19+K533*$AE$20+L533*$AE$21+M533*$AE$22+N533*$AE$23+O533*$AE$24+P533*$AE$25+Q533*$AE$26+R533*$AE$27+S533*$AE$28+T533*$AE$29+U533*$AE$30</f>
        <v/>
      </c>
      <c r="W533" s="8">
        <f>1/(1+EXP(-V533))</f>
        <v/>
      </c>
      <c r="X533" s="9">
        <f>-IF(C533=1,LN(W533),LN(1-W533))</f>
        <v/>
      </c>
      <c r="Y533" s="8">
        <f>IF(C533=1,$AE$32,$AE$33)</f>
        <v/>
      </c>
      <c r="Z533" s="9">
        <f>Y533*X533</f>
        <v/>
      </c>
      <c r="AA533" s="10">
        <f>IF(W533&gt;$AE$34,1,0)</f>
        <v/>
      </c>
      <c r="AB533">
        <f>IF(AA533=C533,1,0)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$AE$12+D534*$AE$13+E534*$AE$14+F534*$AE$15+G534*$AE$16+H534*$AE$17+I534*$AE$18+J534*$AE$19+K534*$AE$20+L534*$AE$21+M534*$AE$22+N534*$AE$23+O534*$AE$24+P534*$AE$25+Q534*$AE$26+R534*$AE$27+S534*$AE$28+T534*$AE$29+U534*$AE$30</f>
        <v/>
      </c>
      <c r="W534" s="8">
        <f>1/(1+EXP(-V534))</f>
        <v/>
      </c>
      <c r="X534" s="9">
        <f>-IF(C534=1,LN(W534),LN(1-W534))</f>
        <v/>
      </c>
      <c r="Y534" s="8">
        <f>IF(C534=1,$AE$32,$AE$33)</f>
        <v/>
      </c>
      <c r="Z534" s="9">
        <f>Y534*X534</f>
        <v/>
      </c>
      <c r="AA534" s="10">
        <f>IF(W534&gt;$AE$34,1,0)</f>
        <v/>
      </c>
      <c r="AB534">
        <f>IF(AA534=C534,1,0)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$AE$12+D535*$AE$13+E535*$AE$14+F535*$AE$15+G535*$AE$16+H535*$AE$17+I535*$AE$18+J535*$AE$19+K535*$AE$20+L535*$AE$21+M535*$AE$22+N535*$AE$23+O535*$AE$24+P535*$AE$25+Q535*$AE$26+R535*$AE$27+S535*$AE$28+T535*$AE$29+U535*$AE$30</f>
        <v/>
      </c>
      <c r="W535" s="8">
        <f>1/(1+EXP(-V535))</f>
        <v/>
      </c>
      <c r="X535" s="9">
        <f>-IF(C535=1,LN(W535),LN(1-W535))</f>
        <v/>
      </c>
      <c r="Y535" s="8">
        <f>IF(C535=1,$AE$32,$AE$33)</f>
        <v/>
      </c>
      <c r="Z535" s="9">
        <f>Y535*X535</f>
        <v/>
      </c>
      <c r="AA535" s="10">
        <f>IF(W535&gt;$AE$34,1,0)</f>
        <v/>
      </c>
      <c r="AB535">
        <f>IF(AA535=C535,1,0)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$AE$12+D536*$AE$13+E536*$AE$14+F536*$AE$15+G536*$AE$16+H536*$AE$17+I536*$AE$18+J536*$AE$19+K536*$AE$20+L536*$AE$21+M536*$AE$22+N536*$AE$23+O536*$AE$24+P536*$AE$25+Q536*$AE$26+R536*$AE$27+S536*$AE$28+T536*$AE$29+U536*$AE$30</f>
        <v/>
      </c>
      <c r="W536" s="8">
        <f>1/(1+EXP(-V536))</f>
        <v/>
      </c>
      <c r="X536" s="9">
        <f>-IF(C536=1,LN(W536),LN(1-W536))</f>
        <v/>
      </c>
      <c r="Y536" s="8">
        <f>IF(C536=1,$AE$32,$AE$33)</f>
        <v/>
      </c>
      <c r="Z536" s="9">
        <f>Y536*X536</f>
        <v/>
      </c>
      <c r="AA536" s="10">
        <f>IF(W536&gt;$AE$34,1,0)</f>
        <v/>
      </c>
      <c r="AB536">
        <f>IF(AA536=C536,1,0)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$AE$12+D537*$AE$13+E537*$AE$14+F537*$AE$15+G537*$AE$16+H537*$AE$17+I537*$AE$18+J537*$AE$19+K537*$AE$20+L537*$AE$21+M537*$AE$22+N537*$AE$23+O537*$AE$24+P537*$AE$25+Q537*$AE$26+R537*$AE$27+S537*$AE$28+T537*$AE$29+U537*$AE$30</f>
        <v/>
      </c>
      <c r="W537" s="8">
        <f>1/(1+EXP(-V537))</f>
        <v/>
      </c>
      <c r="X537" s="9">
        <f>-IF(C537=1,LN(W537),LN(1-W537))</f>
        <v/>
      </c>
      <c r="Y537" s="8">
        <f>IF(C537=1,$AE$32,$AE$33)</f>
        <v/>
      </c>
      <c r="Z537" s="9">
        <f>Y537*X537</f>
        <v/>
      </c>
      <c r="AA537" s="10">
        <f>IF(W537&gt;$AE$34,1,0)</f>
        <v/>
      </c>
      <c r="AB537">
        <f>IF(AA537=C537,1,0)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$AE$12+D538*$AE$13+E538*$AE$14+F538*$AE$15+G538*$AE$16+H538*$AE$17+I538*$AE$18+J538*$AE$19+K538*$AE$20+L538*$AE$21+M538*$AE$22+N538*$AE$23+O538*$AE$24+P538*$AE$25+Q538*$AE$26+R538*$AE$27+S538*$AE$28+T538*$AE$29+U538*$AE$30</f>
        <v/>
      </c>
      <c r="W538" s="8">
        <f>1/(1+EXP(-V538))</f>
        <v/>
      </c>
      <c r="X538" s="9">
        <f>-IF(C538=1,LN(W538),LN(1-W538))</f>
        <v/>
      </c>
      <c r="Y538" s="8">
        <f>IF(C538=1,$AE$32,$AE$33)</f>
        <v/>
      </c>
      <c r="Z538" s="9">
        <f>Y538*X538</f>
        <v/>
      </c>
      <c r="AA538" s="10">
        <f>IF(W538&gt;$AE$34,1,0)</f>
        <v/>
      </c>
      <c r="AB538">
        <f>IF(AA538=C538,1,0)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$AE$12+D539*$AE$13+E539*$AE$14+F539*$AE$15+G539*$AE$16+H539*$AE$17+I539*$AE$18+J539*$AE$19+K539*$AE$20+L539*$AE$21+M539*$AE$22+N539*$AE$23+O539*$AE$24+P539*$AE$25+Q539*$AE$26+R539*$AE$27+S539*$AE$28+T539*$AE$29+U539*$AE$30</f>
        <v/>
      </c>
      <c r="W539" s="8">
        <f>1/(1+EXP(-V539))</f>
        <v/>
      </c>
      <c r="X539" s="9">
        <f>-IF(C539=1,LN(W539),LN(1-W539))</f>
        <v/>
      </c>
      <c r="Y539" s="8">
        <f>IF(C539=1,$AE$32,$AE$33)</f>
        <v/>
      </c>
      <c r="Z539" s="9">
        <f>Y539*X539</f>
        <v/>
      </c>
      <c r="AA539" s="10">
        <f>IF(W539&gt;$AE$34,1,0)</f>
        <v/>
      </c>
      <c r="AB539">
        <f>IF(AA539=C539,1,0)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$AE$12+D540*$AE$13+E540*$AE$14+F540*$AE$15+G540*$AE$16+H540*$AE$17+I540*$AE$18+J540*$AE$19+K540*$AE$20+L540*$AE$21+M540*$AE$22+N540*$AE$23+O540*$AE$24+P540*$AE$25+Q540*$AE$26+R540*$AE$27+S540*$AE$28+T540*$AE$29+U540*$AE$30</f>
        <v/>
      </c>
      <c r="W540" s="8">
        <f>1/(1+EXP(-V540))</f>
        <v/>
      </c>
      <c r="X540" s="9">
        <f>-IF(C540=1,LN(W540),LN(1-W540))</f>
        <v/>
      </c>
      <c r="Y540" s="8">
        <f>IF(C540=1,$AE$32,$AE$33)</f>
        <v/>
      </c>
      <c r="Z540" s="9">
        <f>Y540*X540</f>
        <v/>
      </c>
      <c r="AA540" s="10">
        <f>IF(W540&gt;$AE$34,1,0)</f>
        <v/>
      </c>
      <c r="AB540">
        <f>IF(AA540=C540,1,0)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$AE$12+D541*$AE$13+E541*$AE$14+F541*$AE$15+G541*$AE$16+H541*$AE$17+I541*$AE$18+J541*$AE$19+K541*$AE$20+L541*$AE$21+M541*$AE$22+N541*$AE$23+O541*$AE$24+P541*$AE$25+Q541*$AE$26+R541*$AE$27+S541*$AE$28+T541*$AE$29+U541*$AE$30</f>
        <v/>
      </c>
      <c r="W541" s="8">
        <f>1/(1+EXP(-V541))</f>
        <v/>
      </c>
      <c r="X541" s="9">
        <f>-IF(C541=1,LN(W541),LN(1-W541))</f>
        <v/>
      </c>
      <c r="Y541" s="8">
        <f>IF(C541=1,$AE$32,$AE$33)</f>
        <v/>
      </c>
      <c r="Z541" s="9">
        <f>Y541*X541</f>
        <v/>
      </c>
      <c r="AA541" s="10">
        <f>IF(W541&gt;$AE$34,1,0)</f>
        <v/>
      </c>
      <c r="AB541">
        <f>IF(AA541=C541,1,0)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$AE$12+D542*$AE$13+E542*$AE$14+F542*$AE$15+G542*$AE$16+H542*$AE$17+I542*$AE$18+J542*$AE$19+K542*$AE$20+L542*$AE$21+M542*$AE$22+N542*$AE$23+O542*$AE$24+P542*$AE$25+Q542*$AE$26+R542*$AE$27+S542*$AE$28+T542*$AE$29+U542*$AE$30</f>
        <v/>
      </c>
      <c r="W542" s="8">
        <f>1/(1+EXP(-V542))</f>
        <v/>
      </c>
      <c r="X542" s="9">
        <f>-IF(C542=1,LN(W542),LN(1-W542))</f>
        <v/>
      </c>
      <c r="Y542" s="8">
        <f>IF(C542=1,$AE$32,$AE$33)</f>
        <v/>
      </c>
      <c r="Z542" s="9">
        <f>Y542*X542</f>
        <v/>
      </c>
      <c r="AA542" s="10">
        <f>IF(W542&gt;$AE$34,1,0)</f>
        <v/>
      </c>
      <c r="AB542">
        <f>IF(AA542=C542,1,0)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$AE$12+D543*$AE$13+E543*$AE$14+F543*$AE$15+G543*$AE$16+H543*$AE$17+I543*$AE$18+J543*$AE$19+K543*$AE$20+L543*$AE$21+M543*$AE$22+N543*$AE$23+O543*$AE$24+P543*$AE$25+Q543*$AE$26+R543*$AE$27+S543*$AE$28+T543*$AE$29+U543*$AE$30</f>
        <v/>
      </c>
      <c r="W543" s="8">
        <f>1/(1+EXP(-V543))</f>
        <v/>
      </c>
      <c r="X543" s="9">
        <f>-IF(C543=1,LN(W543),LN(1-W543))</f>
        <v/>
      </c>
      <c r="Y543" s="8">
        <f>IF(C543=1,$AE$32,$AE$33)</f>
        <v/>
      </c>
      <c r="Z543" s="9">
        <f>Y543*X543</f>
        <v/>
      </c>
      <c r="AA543" s="10">
        <f>IF(W543&gt;$AE$34,1,0)</f>
        <v/>
      </c>
      <c r="AB543">
        <f>IF(AA543=C543,1,0)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$AE$12+D544*$AE$13+E544*$AE$14+F544*$AE$15+G544*$AE$16+H544*$AE$17+I544*$AE$18+J544*$AE$19+K544*$AE$20+L544*$AE$21+M544*$AE$22+N544*$AE$23+O544*$AE$24+P544*$AE$25+Q544*$AE$26+R544*$AE$27+S544*$AE$28+T544*$AE$29+U544*$AE$30</f>
        <v/>
      </c>
      <c r="W544" s="8">
        <f>1/(1+EXP(-V544))</f>
        <v/>
      </c>
      <c r="X544" s="9">
        <f>-IF(C544=1,LN(W544),LN(1-W544))</f>
        <v/>
      </c>
      <c r="Y544" s="8">
        <f>IF(C544=1,$AE$32,$AE$33)</f>
        <v/>
      </c>
      <c r="Z544" s="9">
        <f>Y544*X544</f>
        <v/>
      </c>
      <c r="AA544" s="10">
        <f>IF(W544&gt;$AE$34,1,0)</f>
        <v/>
      </c>
      <c r="AB544">
        <f>IF(AA544=C544,1,0)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$AE$12+D545*$AE$13+E545*$AE$14+F545*$AE$15+G545*$AE$16+H545*$AE$17+I545*$AE$18+J545*$AE$19+K545*$AE$20+L545*$AE$21+M545*$AE$22+N545*$AE$23+O545*$AE$24+P545*$AE$25+Q545*$AE$26+R545*$AE$27+S545*$AE$28+T545*$AE$29+U545*$AE$30</f>
        <v/>
      </c>
      <c r="W545" s="8">
        <f>1/(1+EXP(-V545))</f>
        <v/>
      </c>
      <c r="X545" s="9">
        <f>-IF(C545=1,LN(W545),LN(1-W545))</f>
        <v/>
      </c>
      <c r="Y545" s="8">
        <f>IF(C545=1,$AE$32,$AE$33)</f>
        <v/>
      </c>
      <c r="Z545" s="9">
        <f>Y545*X545</f>
        <v/>
      </c>
      <c r="AA545" s="10">
        <f>IF(W545&gt;$AE$34,1,0)</f>
        <v/>
      </c>
      <c r="AB545">
        <f>IF(AA545=C545,1,0)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$AE$12+D546*$AE$13+E546*$AE$14+F546*$AE$15+G546*$AE$16+H546*$AE$17+I546*$AE$18+J546*$AE$19+K546*$AE$20+L546*$AE$21+M546*$AE$22+N546*$AE$23+O546*$AE$24+P546*$AE$25+Q546*$AE$26+R546*$AE$27+S546*$AE$28+T546*$AE$29+U546*$AE$30</f>
        <v/>
      </c>
      <c r="W546" s="8">
        <f>1/(1+EXP(-V546))</f>
        <v/>
      </c>
      <c r="X546" s="9">
        <f>-IF(C546=1,LN(W546),LN(1-W546))</f>
        <v/>
      </c>
      <c r="Y546" s="8">
        <f>IF(C546=1,$AE$32,$AE$33)</f>
        <v/>
      </c>
      <c r="Z546" s="9">
        <f>Y546*X546</f>
        <v/>
      </c>
      <c r="AA546" s="10">
        <f>IF(W546&gt;$AE$34,1,0)</f>
        <v/>
      </c>
      <c r="AB546">
        <f>IF(AA546=C546,1,0)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$AE$12+D547*$AE$13+E547*$AE$14+F547*$AE$15+G547*$AE$16+H547*$AE$17+I547*$AE$18+J547*$AE$19+K547*$AE$20+L547*$AE$21+M547*$AE$22+N547*$AE$23+O547*$AE$24+P547*$AE$25+Q547*$AE$26+R547*$AE$27+S547*$AE$28+T547*$AE$29+U547*$AE$30</f>
        <v/>
      </c>
      <c r="W547" s="8">
        <f>1/(1+EXP(-V547))</f>
        <v/>
      </c>
      <c r="X547" s="9">
        <f>-IF(C547=1,LN(W547),LN(1-W547))</f>
        <v/>
      </c>
      <c r="Y547" s="8">
        <f>IF(C547=1,$AE$32,$AE$33)</f>
        <v/>
      </c>
      <c r="Z547" s="9">
        <f>Y547*X547</f>
        <v/>
      </c>
      <c r="AA547" s="10">
        <f>IF(W547&gt;$AE$34,1,0)</f>
        <v/>
      </c>
      <c r="AB547">
        <f>IF(AA547=C547,1,0)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$AE$12+D548*$AE$13+E548*$AE$14+F548*$AE$15+G548*$AE$16+H548*$AE$17+I548*$AE$18+J548*$AE$19+K548*$AE$20+L548*$AE$21+M548*$AE$22+N548*$AE$23+O548*$AE$24+P548*$AE$25+Q548*$AE$26+R548*$AE$27+S548*$AE$28+T548*$AE$29+U548*$AE$30</f>
        <v/>
      </c>
      <c r="W548" s="8">
        <f>1/(1+EXP(-V548))</f>
        <v/>
      </c>
      <c r="X548" s="9">
        <f>-IF(C548=1,LN(W548),LN(1-W548))</f>
        <v/>
      </c>
      <c r="Y548" s="8">
        <f>IF(C548=1,$AE$32,$AE$33)</f>
        <v/>
      </c>
      <c r="Z548" s="9">
        <f>Y548*X548</f>
        <v/>
      </c>
      <c r="AA548" s="10">
        <f>IF(W548&gt;$AE$34,1,0)</f>
        <v/>
      </c>
      <c r="AB548">
        <f>IF(AA548=C548,1,0)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$AE$12+D549*$AE$13+E549*$AE$14+F549*$AE$15+G549*$AE$16+H549*$AE$17+I549*$AE$18+J549*$AE$19+K549*$AE$20+L549*$AE$21+M549*$AE$22+N549*$AE$23+O549*$AE$24+P549*$AE$25+Q549*$AE$26+R549*$AE$27+S549*$AE$28+T549*$AE$29+U549*$AE$30</f>
        <v/>
      </c>
      <c r="W549" s="8">
        <f>1/(1+EXP(-V549))</f>
        <v/>
      </c>
      <c r="X549" s="9">
        <f>-IF(C549=1,LN(W549),LN(1-W549))</f>
        <v/>
      </c>
      <c r="Y549" s="8">
        <f>IF(C549=1,$AE$32,$AE$33)</f>
        <v/>
      </c>
      <c r="Z549" s="9">
        <f>Y549*X549</f>
        <v/>
      </c>
      <c r="AA549" s="10">
        <f>IF(W549&gt;$AE$34,1,0)</f>
        <v/>
      </c>
      <c r="AB549">
        <f>IF(AA549=C549,1,0)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$AE$12+D550*$AE$13+E550*$AE$14+F550*$AE$15+G550*$AE$16+H550*$AE$17+I550*$AE$18+J550*$AE$19+K550*$AE$20+L550*$AE$21+M550*$AE$22+N550*$AE$23+O550*$AE$24+P550*$AE$25+Q550*$AE$26+R550*$AE$27+S550*$AE$28+T550*$AE$29+U550*$AE$30</f>
        <v/>
      </c>
      <c r="W550" s="8">
        <f>1/(1+EXP(-V550))</f>
        <v/>
      </c>
      <c r="X550" s="9">
        <f>-IF(C550=1,LN(W550),LN(1-W550))</f>
        <v/>
      </c>
      <c r="Y550" s="8">
        <f>IF(C550=1,$AE$32,$AE$33)</f>
        <v/>
      </c>
      <c r="Z550" s="9">
        <f>Y550*X550</f>
        <v/>
      </c>
      <c r="AA550" s="10">
        <f>IF(W550&gt;$AE$34,1,0)</f>
        <v/>
      </c>
      <c r="AB550">
        <f>IF(AA550=C550,1,0)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$AE$12+D551*$AE$13+E551*$AE$14+F551*$AE$15+G551*$AE$16+H551*$AE$17+I551*$AE$18+J551*$AE$19+K551*$AE$20+L551*$AE$21+M551*$AE$22+N551*$AE$23+O551*$AE$24+P551*$AE$25+Q551*$AE$26+R551*$AE$27+S551*$AE$28+T551*$AE$29+U551*$AE$30</f>
        <v/>
      </c>
      <c r="W551" s="8">
        <f>1/(1+EXP(-V551))</f>
        <v/>
      </c>
      <c r="X551" s="9">
        <f>-IF(C551=1,LN(W551),LN(1-W551))</f>
        <v/>
      </c>
      <c r="Y551" s="8">
        <f>IF(C551=1,$AE$32,$AE$33)</f>
        <v/>
      </c>
      <c r="Z551" s="9">
        <f>Y551*X551</f>
        <v/>
      </c>
      <c r="AA551" s="10">
        <f>IF(W551&gt;$AE$34,1,0)</f>
        <v/>
      </c>
      <c r="AB551">
        <f>IF(AA551=C551,1,0)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$AE$12+D552*$AE$13+E552*$AE$14+F552*$AE$15+G552*$AE$16+H552*$AE$17+I552*$AE$18+J552*$AE$19+K552*$AE$20+L552*$AE$21+M552*$AE$22+N552*$AE$23+O552*$AE$24+P552*$AE$25+Q552*$AE$26+R552*$AE$27+S552*$AE$28+T552*$AE$29+U552*$AE$30</f>
        <v/>
      </c>
      <c r="W552" s="8">
        <f>1/(1+EXP(-V552))</f>
        <v/>
      </c>
      <c r="X552" s="9">
        <f>-IF(C552=1,LN(W552),LN(1-W552))</f>
        <v/>
      </c>
      <c r="Y552" s="8">
        <f>IF(C552=1,$AE$32,$AE$33)</f>
        <v/>
      </c>
      <c r="Z552" s="9">
        <f>Y552*X552</f>
        <v/>
      </c>
      <c r="AA552" s="10">
        <f>IF(W552&gt;$AE$34,1,0)</f>
        <v/>
      </c>
      <c r="AB552">
        <f>IF(AA552=C552,1,0)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$AE$12+D553*$AE$13+E553*$AE$14+F553*$AE$15+G553*$AE$16+H553*$AE$17+I553*$AE$18+J553*$AE$19+K553*$AE$20+L553*$AE$21+M553*$AE$22+N553*$AE$23+O553*$AE$24+P553*$AE$25+Q553*$AE$26+R553*$AE$27+S553*$AE$28+T553*$AE$29+U553*$AE$30</f>
        <v/>
      </c>
      <c r="W553" s="8">
        <f>1/(1+EXP(-V553))</f>
        <v/>
      </c>
      <c r="X553" s="9">
        <f>-IF(C553=1,LN(W553),LN(1-W553))</f>
        <v/>
      </c>
      <c r="Y553" s="8">
        <f>IF(C553=1,$AE$32,$AE$33)</f>
        <v/>
      </c>
      <c r="Z553" s="9">
        <f>Y553*X553</f>
        <v/>
      </c>
      <c r="AA553" s="10">
        <f>IF(W553&gt;$AE$34,1,0)</f>
        <v/>
      </c>
      <c r="AB553">
        <f>IF(AA553=C553,1,0)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$AE$12+D554*$AE$13+E554*$AE$14+F554*$AE$15+G554*$AE$16+H554*$AE$17+I554*$AE$18+J554*$AE$19+K554*$AE$20+L554*$AE$21+M554*$AE$22+N554*$AE$23+O554*$AE$24+P554*$AE$25+Q554*$AE$26+R554*$AE$27+S554*$AE$28+T554*$AE$29+U554*$AE$30</f>
        <v/>
      </c>
      <c r="W554" s="8">
        <f>1/(1+EXP(-V554))</f>
        <v/>
      </c>
      <c r="X554" s="9">
        <f>-IF(C554=1,LN(W554),LN(1-W554))</f>
        <v/>
      </c>
      <c r="Y554" s="8">
        <f>IF(C554=1,$AE$32,$AE$33)</f>
        <v/>
      </c>
      <c r="Z554" s="9">
        <f>Y554*X554</f>
        <v/>
      </c>
      <c r="AA554" s="10">
        <f>IF(W554&gt;$AE$34,1,0)</f>
        <v/>
      </c>
      <c r="AB554">
        <f>IF(AA554=C554,1,0)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$AE$12+D555*$AE$13+E555*$AE$14+F555*$AE$15+G555*$AE$16+H555*$AE$17+I555*$AE$18+J555*$AE$19+K555*$AE$20+L555*$AE$21+M555*$AE$22+N555*$AE$23+O555*$AE$24+P555*$AE$25+Q555*$AE$26+R555*$AE$27+S555*$AE$28+T555*$AE$29+U555*$AE$30</f>
        <v/>
      </c>
      <c r="W555" s="8">
        <f>1/(1+EXP(-V555))</f>
        <v/>
      </c>
      <c r="X555" s="9">
        <f>-IF(C555=1,LN(W555),LN(1-W555))</f>
        <v/>
      </c>
      <c r="Y555" s="8">
        <f>IF(C555=1,$AE$32,$AE$33)</f>
        <v/>
      </c>
      <c r="Z555" s="9">
        <f>Y555*X555</f>
        <v/>
      </c>
      <c r="AA555" s="10">
        <f>IF(W555&gt;$AE$34,1,0)</f>
        <v/>
      </c>
      <c r="AB555">
        <f>IF(AA555=C555,1,0)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$AE$12+D556*$AE$13+E556*$AE$14+F556*$AE$15+G556*$AE$16+H556*$AE$17+I556*$AE$18+J556*$AE$19+K556*$AE$20+L556*$AE$21+M556*$AE$22+N556*$AE$23+O556*$AE$24+P556*$AE$25+Q556*$AE$26+R556*$AE$27+S556*$AE$28+T556*$AE$29+U556*$AE$30</f>
        <v/>
      </c>
      <c r="W556" s="8">
        <f>1/(1+EXP(-V556))</f>
        <v/>
      </c>
      <c r="X556" s="9">
        <f>-IF(C556=1,LN(W556),LN(1-W556))</f>
        <v/>
      </c>
      <c r="Y556" s="8">
        <f>IF(C556=1,$AE$32,$AE$33)</f>
        <v/>
      </c>
      <c r="Z556" s="9">
        <f>Y556*X556</f>
        <v/>
      </c>
      <c r="AA556" s="10">
        <f>IF(W556&gt;$AE$34,1,0)</f>
        <v/>
      </c>
      <c r="AB556">
        <f>IF(AA556=C556,1,0)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$AE$12+D557*$AE$13+E557*$AE$14+F557*$AE$15+G557*$AE$16+H557*$AE$17+I557*$AE$18+J557*$AE$19+K557*$AE$20+L557*$AE$21+M557*$AE$22+N557*$AE$23+O557*$AE$24+P557*$AE$25+Q557*$AE$26+R557*$AE$27+S557*$AE$28+T557*$AE$29+U557*$AE$30</f>
        <v/>
      </c>
      <c r="W557" s="8">
        <f>1/(1+EXP(-V557))</f>
        <v/>
      </c>
      <c r="X557" s="9">
        <f>-IF(C557=1,LN(W557),LN(1-W557))</f>
        <v/>
      </c>
      <c r="Y557" s="8">
        <f>IF(C557=1,$AE$32,$AE$33)</f>
        <v/>
      </c>
      <c r="Z557" s="9">
        <f>Y557*X557</f>
        <v/>
      </c>
      <c r="AA557" s="10">
        <f>IF(W557&gt;$AE$34,1,0)</f>
        <v/>
      </c>
      <c r="AB557">
        <f>IF(AA557=C557,1,0)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$AE$12+D558*$AE$13+E558*$AE$14+F558*$AE$15+G558*$AE$16+H558*$AE$17+I558*$AE$18+J558*$AE$19+K558*$AE$20+L558*$AE$21+M558*$AE$22+N558*$AE$23+O558*$AE$24+P558*$AE$25+Q558*$AE$26+R558*$AE$27+S558*$AE$28+T558*$AE$29+U558*$AE$30</f>
        <v/>
      </c>
      <c r="W558" s="8">
        <f>1/(1+EXP(-V558))</f>
        <v/>
      </c>
      <c r="X558" s="9">
        <f>-IF(C558=1,LN(W558),LN(1-W558))</f>
        <v/>
      </c>
      <c r="Y558" s="8">
        <f>IF(C558=1,$AE$32,$AE$33)</f>
        <v/>
      </c>
      <c r="Z558" s="9">
        <f>Y558*X558</f>
        <v/>
      </c>
      <c r="AA558" s="10">
        <f>IF(W558&gt;$AE$34,1,0)</f>
        <v/>
      </c>
      <c r="AB558">
        <f>IF(AA558=C558,1,0)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$AE$12+D559*$AE$13+E559*$AE$14+F559*$AE$15+G559*$AE$16+H559*$AE$17+I559*$AE$18+J559*$AE$19+K559*$AE$20+L559*$AE$21+M559*$AE$22+N559*$AE$23+O559*$AE$24+P559*$AE$25+Q559*$AE$26+R559*$AE$27+S559*$AE$28+T559*$AE$29+U559*$AE$30</f>
        <v/>
      </c>
      <c r="W559" s="8">
        <f>1/(1+EXP(-V559))</f>
        <v/>
      </c>
      <c r="X559" s="9">
        <f>-IF(C559=1,LN(W559),LN(1-W559))</f>
        <v/>
      </c>
      <c r="Y559" s="8">
        <f>IF(C559=1,$AE$32,$AE$33)</f>
        <v/>
      </c>
      <c r="Z559" s="9">
        <f>Y559*X559</f>
        <v/>
      </c>
      <c r="AA559" s="10">
        <f>IF(W559&gt;$AE$34,1,0)</f>
        <v/>
      </c>
      <c r="AB559">
        <f>IF(AA559=C559,1,0)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$AE$12+D560*$AE$13+E560*$AE$14+F560*$AE$15+G560*$AE$16+H560*$AE$17+I560*$AE$18+J560*$AE$19+K560*$AE$20+L560*$AE$21+M560*$AE$22+N560*$AE$23+O560*$AE$24+P560*$AE$25+Q560*$AE$26+R560*$AE$27+S560*$AE$28+T560*$AE$29+U560*$AE$30</f>
        <v/>
      </c>
      <c r="W560" s="8">
        <f>1/(1+EXP(-V560))</f>
        <v/>
      </c>
      <c r="X560" s="9">
        <f>-IF(C560=1,LN(W560),LN(1-W560))</f>
        <v/>
      </c>
      <c r="Y560" s="8">
        <f>IF(C560=1,$AE$32,$AE$33)</f>
        <v/>
      </c>
      <c r="Z560" s="9">
        <f>Y560*X560</f>
        <v/>
      </c>
      <c r="AA560" s="10">
        <f>IF(W560&gt;$AE$34,1,0)</f>
        <v/>
      </c>
      <c r="AB560">
        <f>IF(AA560=C560,1,0)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$AE$12+D561*$AE$13+E561*$AE$14+F561*$AE$15+G561*$AE$16+H561*$AE$17+I561*$AE$18+J561*$AE$19+K561*$AE$20+L561*$AE$21+M561*$AE$22+N561*$AE$23+O561*$AE$24+P561*$AE$25+Q561*$AE$26+R561*$AE$27+S561*$AE$28+T561*$AE$29+U561*$AE$30</f>
        <v/>
      </c>
      <c r="W561" s="8">
        <f>1/(1+EXP(-V561))</f>
        <v/>
      </c>
      <c r="X561" s="9">
        <f>-IF(C561=1,LN(W561),LN(1-W561))</f>
        <v/>
      </c>
      <c r="Y561" s="8">
        <f>IF(C561=1,$AE$32,$AE$33)</f>
        <v/>
      </c>
      <c r="Z561" s="9">
        <f>Y561*X561</f>
        <v/>
      </c>
      <c r="AA561" s="10">
        <f>IF(W561&gt;$AE$34,1,0)</f>
        <v/>
      </c>
      <c r="AB561">
        <f>IF(AA561=C561,1,0)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$AE$12+D562*$AE$13+E562*$AE$14+F562*$AE$15+G562*$AE$16+H562*$AE$17+I562*$AE$18+J562*$AE$19+K562*$AE$20+L562*$AE$21+M562*$AE$22+N562*$AE$23+O562*$AE$24+P562*$AE$25+Q562*$AE$26+R562*$AE$27+S562*$AE$28+T562*$AE$29+U562*$AE$30</f>
        <v/>
      </c>
      <c r="W562" s="8">
        <f>1/(1+EXP(-V562))</f>
        <v/>
      </c>
      <c r="X562" s="9">
        <f>-IF(C562=1,LN(W562),LN(1-W562))</f>
        <v/>
      </c>
      <c r="Y562" s="8">
        <f>IF(C562=1,$AE$32,$AE$33)</f>
        <v/>
      </c>
      <c r="Z562" s="9">
        <f>Y562*X562</f>
        <v/>
      </c>
      <c r="AA562" s="10">
        <f>IF(W562&gt;$AE$34,1,0)</f>
        <v/>
      </c>
      <c r="AB562">
        <f>IF(AA562=C562,1,0)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$AE$12+D563*$AE$13+E563*$AE$14+F563*$AE$15+G563*$AE$16+H563*$AE$17+I563*$AE$18+J563*$AE$19+K563*$AE$20+L563*$AE$21+M563*$AE$22+N563*$AE$23+O563*$AE$24+P563*$AE$25+Q563*$AE$26+R563*$AE$27+S563*$AE$28+T563*$AE$29+U563*$AE$30</f>
        <v/>
      </c>
      <c r="W563" s="8">
        <f>1/(1+EXP(-V563))</f>
        <v/>
      </c>
      <c r="X563" s="9">
        <f>-IF(C563=1,LN(W563),LN(1-W563))</f>
        <v/>
      </c>
      <c r="Y563" s="8">
        <f>IF(C563=1,$AE$32,$AE$33)</f>
        <v/>
      </c>
      <c r="Z563" s="9">
        <f>Y563*X563</f>
        <v/>
      </c>
      <c r="AA563" s="10">
        <f>IF(W563&gt;$AE$34,1,0)</f>
        <v/>
      </c>
      <c r="AB563">
        <f>IF(AA563=C563,1,0)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$AE$12+D564*$AE$13+E564*$AE$14+F564*$AE$15+G564*$AE$16+H564*$AE$17+I564*$AE$18+J564*$AE$19+K564*$AE$20+L564*$AE$21+M564*$AE$22+N564*$AE$23+O564*$AE$24+P564*$AE$25+Q564*$AE$26+R564*$AE$27+S564*$AE$28+T564*$AE$29+U564*$AE$30</f>
        <v/>
      </c>
      <c r="W564" s="8">
        <f>1/(1+EXP(-V564))</f>
        <v/>
      </c>
      <c r="X564" s="9">
        <f>-IF(C564=1,LN(W564),LN(1-W564))</f>
        <v/>
      </c>
      <c r="Y564" s="8">
        <f>IF(C564=1,$AE$32,$AE$33)</f>
        <v/>
      </c>
      <c r="Z564" s="9">
        <f>Y564*X564</f>
        <v/>
      </c>
      <c r="AA564" s="10">
        <f>IF(W564&gt;$AE$34,1,0)</f>
        <v/>
      </c>
      <c r="AB564">
        <f>IF(AA564=C564,1,0)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$AE$12+D565*$AE$13+E565*$AE$14+F565*$AE$15+G565*$AE$16+H565*$AE$17+I565*$AE$18+J565*$AE$19+K565*$AE$20+L565*$AE$21+M565*$AE$22+N565*$AE$23+O565*$AE$24+P565*$AE$25+Q565*$AE$26+R565*$AE$27+S565*$AE$28+T565*$AE$29+U565*$AE$30</f>
        <v/>
      </c>
      <c r="W565" s="8">
        <f>1/(1+EXP(-V565))</f>
        <v/>
      </c>
      <c r="X565" s="9">
        <f>-IF(C565=1,LN(W565),LN(1-W565))</f>
        <v/>
      </c>
      <c r="Y565" s="8">
        <f>IF(C565=1,$AE$32,$AE$33)</f>
        <v/>
      </c>
      <c r="Z565" s="9">
        <f>Y565*X565</f>
        <v/>
      </c>
      <c r="AA565" s="10">
        <f>IF(W565&gt;$AE$34,1,0)</f>
        <v/>
      </c>
      <c r="AB565">
        <f>IF(AA565=C565,1,0)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$AE$12+D566*$AE$13+E566*$AE$14+F566*$AE$15+G566*$AE$16+H566*$AE$17+I566*$AE$18+J566*$AE$19+K566*$AE$20+L566*$AE$21+M566*$AE$22+N566*$AE$23+O566*$AE$24+P566*$AE$25+Q566*$AE$26+R566*$AE$27+S566*$AE$28+T566*$AE$29+U566*$AE$30</f>
        <v/>
      </c>
      <c r="W566" s="8">
        <f>1/(1+EXP(-V566))</f>
        <v/>
      </c>
      <c r="X566" s="9">
        <f>-IF(C566=1,LN(W566),LN(1-W566))</f>
        <v/>
      </c>
      <c r="Y566" s="8">
        <f>IF(C566=1,$AE$32,$AE$33)</f>
        <v/>
      </c>
      <c r="Z566" s="9">
        <f>Y566*X566</f>
        <v/>
      </c>
      <c r="AA566" s="10">
        <f>IF(W566&gt;$AE$34,1,0)</f>
        <v/>
      </c>
      <c r="AB566">
        <f>IF(AA566=C566,1,0)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$AE$12+D567*$AE$13+E567*$AE$14+F567*$AE$15+G567*$AE$16+H567*$AE$17+I567*$AE$18+J567*$AE$19+K567*$AE$20+L567*$AE$21+M567*$AE$22+N567*$AE$23+O567*$AE$24+P567*$AE$25+Q567*$AE$26+R567*$AE$27+S567*$AE$28+T567*$AE$29+U567*$AE$30</f>
        <v/>
      </c>
      <c r="W567" s="8">
        <f>1/(1+EXP(-V567))</f>
        <v/>
      </c>
      <c r="X567" s="9">
        <f>-IF(C567=1,LN(W567),LN(1-W567))</f>
        <v/>
      </c>
      <c r="Y567" s="8">
        <f>IF(C567=1,$AE$32,$AE$33)</f>
        <v/>
      </c>
      <c r="Z567" s="9">
        <f>Y567*X567</f>
        <v/>
      </c>
      <c r="AA567" s="10">
        <f>IF(W567&gt;$AE$34,1,0)</f>
        <v/>
      </c>
      <c r="AB567">
        <f>IF(AA567=C567,1,0)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$AE$12+D568*$AE$13+E568*$AE$14+F568*$AE$15+G568*$AE$16+H568*$AE$17+I568*$AE$18+J568*$AE$19+K568*$AE$20+L568*$AE$21+M568*$AE$22+N568*$AE$23+O568*$AE$24+P568*$AE$25+Q568*$AE$26+R568*$AE$27+S568*$AE$28+T568*$AE$29+U568*$AE$30</f>
        <v/>
      </c>
      <c r="W568" s="8">
        <f>1/(1+EXP(-V568))</f>
        <v/>
      </c>
      <c r="X568" s="9">
        <f>-IF(C568=1,LN(W568),LN(1-W568))</f>
        <v/>
      </c>
      <c r="Y568" s="8">
        <f>IF(C568=1,$AE$32,$AE$33)</f>
        <v/>
      </c>
      <c r="Z568" s="9">
        <f>Y568*X568</f>
        <v/>
      </c>
      <c r="AA568" s="10">
        <f>IF(W568&gt;$AE$34,1,0)</f>
        <v/>
      </c>
      <c r="AB568">
        <f>IF(AA568=C568,1,0)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$AE$12+D569*$AE$13+E569*$AE$14+F569*$AE$15+G569*$AE$16+H569*$AE$17+I569*$AE$18+J569*$AE$19+K569*$AE$20+L569*$AE$21+M569*$AE$22+N569*$AE$23+O569*$AE$24+P569*$AE$25+Q569*$AE$26+R569*$AE$27+S569*$AE$28+T569*$AE$29+U569*$AE$30</f>
        <v/>
      </c>
      <c r="W569" s="8">
        <f>1/(1+EXP(-V569))</f>
        <v/>
      </c>
      <c r="X569" s="9">
        <f>-IF(C569=1,LN(W569),LN(1-W569))</f>
        <v/>
      </c>
      <c r="Y569" s="8">
        <f>IF(C569=1,$AE$32,$AE$33)</f>
        <v/>
      </c>
      <c r="Z569" s="9">
        <f>Y569*X569</f>
        <v/>
      </c>
      <c r="AA569" s="10">
        <f>IF(W569&gt;$AE$34,1,0)</f>
        <v/>
      </c>
      <c r="AB569">
        <f>IF(AA569=C569,1,0)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$AE$12+D570*$AE$13+E570*$AE$14+F570*$AE$15+G570*$AE$16+H570*$AE$17+I570*$AE$18+J570*$AE$19+K570*$AE$20+L570*$AE$21+M570*$AE$22+N570*$AE$23+O570*$AE$24+P570*$AE$25+Q570*$AE$26+R570*$AE$27+S570*$AE$28+T570*$AE$29+U570*$AE$30</f>
        <v/>
      </c>
      <c r="W570" s="8">
        <f>1/(1+EXP(-V570))</f>
        <v/>
      </c>
      <c r="X570" s="9">
        <f>-IF(C570=1,LN(W570),LN(1-W570))</f>
        <v/>
      </c>
      <c r="Y570" s="8">
        <f>IF(C570=1,$AE$32,$AE$33)</f>
        <v/>
      </c>
      <c r="Z570" s="9">
        <f>Y570*X570</f>
        <v/>
      </c>
      <c r="AA570" s="10">
        <f>IF(W570&gt;$AE$34,1,0)</f>
        <v/>
      </c>
      <c r="AB570">
        <f>IF(AA570=C570,1,0)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$AE$12+D571*$AE$13+E571*$AE$14+F571*$AE$15+G571*$AE$16+H571*$AE$17+I571*$AE$18+J571*$AE$19+K571*$AE$20+L571*$AE$21+M571*$AE$22+N571*$AE$23+O571*$AE$24+P571*$AE$25+Q571*$AE$26+R571*$AE$27+S571*$AE$28+T571*$AE$29+U571*$AE$30</f>
        <v/>
      </c>
      <c r="W571" s="8">
        <f>1/(1+EXP(-V571))</f>
        <v/>
      </c>
      <c r="X571" s="9">
        <f>-IF(C571=1,LN(W571),LN(1-W571))</f>
        <v/>
      </c>
      <c r="Y571" s="8">
        <f>IF(C571=1,$AE$32,$AE$33)</f>
        <v/>
      </c>
      <c r="Z571" s="9">
        <f>Y571*X571</f>
        <v/>
      </c>
      <c r="AA571" s="10">
        <f>IF(W571&gt;$AE$34,1,0)</f>
        <v/>
      </c>
      <c r="AB571">
        <f>IF(AA571=C571,1,0)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$AE$12+D572*$AE$13+E572*$AE$14+F572*$AE$15+G572*$AE$16+H572*$AE$17+I572*$AE$18+J572*$AE$19+K572*$AE$20+L572*$AE$21+M572*$AE$22+N572*$AE$23+O572*$AE$24+P572*$AE$25+Q572*$AE$26+R572*$AE$27+S572*$AE$28+T572*$AE$29+U572*$AE$30</f>
        <v/>
      </c>
      <c r="W572" s="8">
        <f>1/(1+EXP(-V572))</f>
        <v/>
      </c>
      <c r="X572" s="9">
        <f>-IF(C572=1,LN(W572),LN(1-W572))</f>
        <v/>
      </c>
      <c r="Y572" s="8">
        <f>IF(C572=1,$AE$32,$AE$33)</f>
        <v/>
      </c>
      <c r="Z572" s="9">
        <f>Y572*X572</f>
        <v/>
      </c>
      <c r="AA572" s="10">
        <f>IF(W572&gt;$AE$34,1,0)</f>
        <v/>
      </c>
      <c r="AB572">
        <f>IF(AA572=C572,1,0)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$AE$12+D573*$AE$13+E573*$AE$14+F573*$AE$15+G573*$AE$16+H573*$AE$17+I573*$AE$18+J573*$AE$19+K573*$AE$20+L573*$AE$21+M573*$AE$22+N573*$AE$23+O573*$AE$24+P573*$AE$25+Q573*$AE$26+R573*$AE$27+S573*$AE$28+T573*$AE$29+U573*$AE$30</f>
        <v/>
      </c>
      <c r="W573" s="8">
        <f>1/(1+EXP(-V573))</f>
        <v/>
      </c>
      <c r="X573" s="9">
        <f>-IF(C573=1,LN(W573),LN(1-W573))</f>
        <v/>
      </c>
      <c r="Y573" s="8">
        <f>IF(C573=1,$AE$32,$AE$33)</f>
        <v/>
      </c>
      <c r="Z573" s="9">
        <f>Y573*X573</f>
        <v/>
      </c>
      <c r="AA573" s="10">
        <f>IF(W573&gt;$AE$34,1,0)</f>
        <v/>
      </c>
      <c r="AB573">
        <f>IF(AA573=C573,1,0)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$AE$12+D574*$AE$13+E574*$AE$14+F574*$AE$15+G574*$AE$16+H574*$AE$17+I574*$AE$18+J574*$AE$19+K574*$AE$20+L574*$AE$21+M574*$AE$22+N574*$AE$23+O574*$AE$24+P574*$AE$25+Q574*$AE$26+R574*$AE$27+S574*$AE$28+T574*$AE$29+U574*$AE$30</f>
        <v/>
      </c>
      <c r="W574" s="8">
        <f>1/(1+EXP(-V574))</f>
        <v/>
      </c>
      <c r="X574" s="9">
        <f>-IF(C574=1,LN(W574),LN(1-W574))</f>
        <v/>
      </c>
      <c r="Y574" s="8">
        <f>IF(C574=1,$AE$32,$AE$33)</f>
        <v/>
      </c>
      <c r="Z574" s="9">
        <f>Y574*X574</f>
        <v/>
      </c>
      <c r="AA574" s="10">
        <f>IF(W574&gt;$AE$34,1,0)</f>
        <v/>
      </c>
      <c r="AB574">
        <f>IF(AA574=C574,1,0)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$AE$12+D575*$AE$13+E575*$AE$14+F575*$AE$15+G575*$AE$16+H575*$AE$17+I575*$AE$18+J575*$AE$19+K575*$AE$20+L575*$AE$21+M575*$AE$22+N575*$AE$23+O575*$AE$24+P575*$AE$25+Q575*$AE$26+R575*$AE$27+S575*$AE$28+T575*$AE$29+U575*$AE$30</f>
        <v/>
      </c>
      <c r="W575" s="8">
        <f>1/(1+EXP(-V575))</f>
        <v/>
      </c>
      <c r="X575" s="9">
        <f>-IF(C575=1,LN(W575),LN(1-W575))</f>
        <v/>
      </c>
      <c r="Y575" s="8">
        <f>IF(C575=1,$AE$32,$AE$33)</f>
        <v/>
      </c>
      <c r="Z575" s="9">
        <f>Y575*X575</f>
        <v/>
      </c>
      <c r="AA575" s="10">
        <f>IF(W575&gt;$AE$34,1,0)</f>
        <v/>
      </c>
      <c r="AB575">
        <f>IF(AA575=C575,1,0)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$AE$12+D576*$AE$13+E576*$AE$14+F576*$AE$15+G576*$AE$16+H576*$AE$17+I576*$AE$18+J576*$AE$19+K576*$AE$20+L576*$AE$21+M576*$AE$22+N576*$AE$23+O576*$AE$24+P576*$AE$25+Q576*$AE$26+R576*$AE$27+S576*$AE$28+T576*$AE$29+U576*$AE$30</f>
        <v/>
      </c>
      <c r="W576" s="8">
        <f>1/(1+EXP(-V576))</f>
        <v/>
      </c>
      <c r="X576" s="9">
        <f>-IF(C576=1,LN(W576),LN(1-W576))</f>
        <v/>
      </c>
      <c r="Y576" s="8">
        <f>IF(C576=1,$AE$32,$AE$33)</f>
        <v/>
      </c>
      <c r="Z576" s="9">
        <f>Y576*X576</f>
        <v/>
      </c>
      <c r="AA576" s="10">
        <f>IF(W576&gt;$AE$34,1,0)</f>
        <v/>
      </c>
      <c r="AB576">
        <f>IF(AA576=C576,1,0)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$AE$12+D577*$AE$13+E577*$AE$14+F577*$AE$15+G577*$AE$16+H577*$AE$17+I577*$AE$18+J577*$AE$19+K577*$AE$20+L577*$AE$21+M577*$AE$22+N577*$AE$23+O577*$AE$24+P577*$AE$25+Q577*$AE$26+R577*$AE$27+S577*$AE$28+T577*$AE$29+U577*$AE$30</f>
        <v/>
      </c>
      <c r="W577" s="8">
        <f>1/(1+EXP(-V577))</f>
        <v/>
      </c>
      <c r="X577" s="9">
        <f>-IF(C577=1,LN(W577),LN(1-W577))</f>
        <v/>
      </c>
      <c r="Y577" s="8">
        <f>IF(C577=1,$AE$32,$AE$33)</f>
        <v/>
      </c>
      <c r="Z577" s="9">
        <f>Y577*X577</f>
        <v/>
      </c>
      <c r="AA577" s="10">
        <f>IF(W577&gt;$AE$34,1,0)</f>
        <v/>
      </c>
      <c r="AB577">
        <f>IF(AA577=C577,1,0)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$AE$12+D578*$AE$13+E578*$AE$14+F578*$AE$15+G578*$AE$16+H578*$AE$17+I578*$AE$18+J578*$AE$19+K578*$AE$20+L578*$AE$21+M578*$AE$22+N578*$AE$23+O578*$AE$24+P578*$AE$25+Q578*$AE$26+R578*$AE$27+S578*$AE$28+T578*$AE$29+U578*$AE$30</f>
        <v/>
      </c>
      <c r="W578" s="8">
        <f>1/(1+EXP(-V578))</f>
        <v/>
      </c>
      <c r="X578" s="9">
        <f>-IF(C578=1,LN(W578),LN(1-W578))</f>
        <v/>
      </c>
      <c r="Y578" s="8">
        <f>IF(C578=1,$AE$32,$AE$33)</f>
        <v/>
      </c>
      <c r="Z578" s="9">
        <f>Y578*X578</f>
        <v/>
      </c>
      <c r="AA578" s="10">
        <f>IF(W578&gt;$AE$34,1,0)</f>
        <v/>
      </c>
      <c r="AB578">
        <f>IF(AA578=C578,1,0)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$AE$12+D579*$AE$13+E579*$AE$14+F579*$AE$15+G579*$AE$16+H579*$AE$17+I579*$AE$18+J579*$AE$19+K579*$AE$20+L579*$AE$21+M579*$AE$22+N579*$AE$23+O579*$AE$24+P579*$AE$25+Q579*$AE$26+R579*$AE$27+S579*$AE$28+T579*$AE$29+U579*$AE$30</f>
        <v/>
      </c>
      <c r="W579" s="8">
        <f>1/(1+EXP(-V579))</f>
        <v/>
      </c>
      <c r="X579" s="9">
        <f>-IF(C579=1,LN(W579),LN(1-W579))</f>
        <v/>
      </c>
      <c r="Y579" s="8">
        <f>IF(C579=1,$AE$32,$AE$33)</f>
        <v/>
      </c>
      <c r="Z579" s="9">
        <f>Y579*X579</f>
        <v/>
      </c>
      <c r="AA579" s="10">
        <f>IF(W579&gt;$AE$34,1,0)</f>
        <v/>
      </c>
      <c r="AB579">
        <f>IF(AA579=C579,1,0)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$AE$12+D580*$AE$13+E580*$AE$14+F580*$AE$15+G580*$AE$16+H580*$AE$17+I580*$AE$18+J580*$AE$19+K580*$AE$20+L580*$AE$21+M580*$AE$22+N580*$AE$23+O580*$AE$24+P580*$AE$25+Q580*$AE$26+R580*$AE$27+S580*$AE$28+T580*$AE$29+U580*$AE$30</f>
        <v/>
      </c>
      <c r="W580" s="8">
        <f>1/(1+EXP(-V580))</f>
        <v/>
      </c>
      <c r="X580" s="9">
        <f>-IF(C580=1,LN(W580),LN(1-W580))</f>
        <v/>
      </c>
      <c r="Y580" s="8">
        <f>IF(C580=1,$AE$32,$AE$33)</f>
        <v/>
      </c>
      <c r="Z580" s="9">
        <f>Y580*X580</f>
        <v/>
      </c>
      <c r="AA580" s="10">
        <f>IF(W580&gt;$AE$34,1,0)</f>
        <v/>
      </c>
      <c r="AB580">
        <f>IF(AA580=C580,1,0)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$AE$12+D581*$AE$13+E581*$AE$14+F581*$AE$15+G581*$AE$16+H581*$AE$17+I581*$AE$18+J581*$AE$19+K581*$AE$20+L581*$AE$21+M581*$AE$22+N581*$AE$23+O581*$AE$24+P581*$AE$25+Q581*$AE$26+R581*$AE$27+S581*$AE$28+T581*$AE$29+U581*$AE$30</f>
        <v/>
      </c>
      <c r="W581" s="8">
        <f>1/(1+EXP(-V581))</f>
        <v/>
      </c>
      <c r="X581" s="9">
        <f>-IF(C581=1,LN(W581),LN(1-W581))</f>
        <v/>
      </c>
      <c r="Y581" s="8">
        <f>IF(C581=1,$AE$32,$AE$33)</f>
        <v/>
      </c>
      <c r="Z581" s="9">
        <f>Y581*X581</f>
        <v/>
      </c>
      <c r="AA581" s="10">
        <f>IF(W581&gt;$AE$34,1,0)</f>
        <v/>
      </c>
      <c r="AB581">
        <f>IF(AA581=C581,1,0)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$AE$12+D582*$AE$13+E582*$AE$14+F582*$AE$15+G582*$AE$16+H582*$AE$17+I582*$AE$18+J582*$AE$19+K582*$AE$20+L582*$AE$21+M582*$AE$22+N582*$AE$23+O582*$AE$24+P582*$AE$25+Q582*$AE$26+R582*$AE$27+S582*$AE$28+T582*$AE$29+U582*$AE$30</f>
        <v/>
      </c>
      <c r="W582" s="8">
        <f>1/(1+EXP(-V582))</f>
        <v/>
      </c>
      <c r="X582" s="9">
        <f>-IF(C582=1,LN(W582),LN(1-W582))</f>
        <v/>
      </c>
      <c r="Y582" s="8">
        <f>IF(C582=1,$AE$32,$AE$33)</f>
        <v/>
      </c>
      <c r="Z582" s="9">
        <f>Y582*X582</f>
        <v/>
      </c>
      <c r="AA582" s="10">
        <f>IF(W582&gt;$AE$34,1,0)</f>
        <v/>
      </c>
      <c r="AB582">
        <f>IF(AA582=C582,1,0)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$AE$12+D583*$AE$13+E583*$AE$14+F583*$AE$15+G583*$AE$16+H583*$AE$17+I583*$AE$18+J583*$AE$19+K583*$AE$20+L583*$AE$21+M583*$AE$22+N583*$AE$23+O583*$AE$24+P583*$AE$25+Q583*$AE$26+R583*$AE$27+S583*$AE$28+T583*$AE$29+U583*$AE$30</f>
        <v/>
      </c>
      <c r="W583" s="8">
        <f>1/(1+EXP(-V583))</f>
        <v/>
      </c>
      <c r="X583" s="9">
        <f>-IF(C583=1,LN(W583),LN(1-W583))</f>
        <v/>
      </c>
      <c r="Y583" s="8">
        <f>IF(C583=1,$AE$32,$AE$33)</f>
        <v/>
      </c>
      <c r="Z583" s="9">
        <f>Y583*X583</f>
        <v/>
      </c>
      <c r="AA583" s="10">
        <f>IF(W583&gt;$AE$34,1,0)</f>
        <v/>
      </c>
      <c r="AB583">
        <f>IF(AA583=C583,1,0)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$AE$12+D584*$AE$13+E584*$AE$14+F584*$AE$15+G584*$AE$16+H584*$AE$17+I584*$AE$18+J584*$AE$19+K584*$AE$20+L584*$AE$21+M584*$AE$22+N584*$AE$23+O584*$AE$24+P584*$AE$25+Q584*$AE$26+R584*$AE$27+S584*$AE$28+T584*$AE$29+U584*$AE$30</f>
        <v/>
      </c>
      <c r="W584" s="8">
        <f>1/(1+EXP(-V584))</f>
        <v/>
      </c>
      <c r="X584" s="9">
        <f>-IF(C584=1,LN(W584),LN(1-W584))</f>
        <v/>
      </c>
      <c r="Y584" s="8">
        <f>IF(C584=1,$AE$32,$AE$33)</f>
        <v/>
      </c>
      <c r="Z584" s="9">
        <f>Y584*X584</f>
        <v/>
      </c>
      <c r="AA584" s="10">
        <f>IF(W584&gt;$AE$34,1,0)</f>
        <v/>
      </c>
      <c r="AB584">
        <f>IF(AA584=C584,1,0)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$AE$12+D585*$AE$13+E585*$AE$14+F585*$AE$15+G585*$AE$16+H585*$AE$17+I585*$AE$18+J585*$AE$19+K585*$AE$20+L585*$AE$21+M585*$AE$22+N585*$AE$23+O585*$AE$24+P585*$AE$25+Q585*$AE$26+R585*$AE$27+S585*$AE$28+T585*$AE$29+U585*$AE$30</f>
        <v/>
      </c>
      <c r="W585" s="8">
        <f>1/(1+EXP(-V585))</f>
        <v/>
      </c>
      <c r="X585" s="9">
        <f>-IF(C585=1,LN(W585),LN(1-W585))</f>
        <v/>
      </c>
      <c r="Y585" s="8">
        <f>IF(C585=1,$AE$32,$AE$33)</f>
        <v/>
      </c>
      <c r="Z585" s="9">
        <f>Y585*X585</f>
        <v/>
      </c>
      <c r="AA585" s="10">
        <f>IF(W585&gt;$AE$34,1,0)</f>
        <v/>
      </c>
      <c r="AB585">
        <f>IF(AA585=C585,1,0)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$AE$12+D586*$AE$13+E586*$AE$14+F586*$AE$15+G586*$AE$16+H586*$AE$17+I586*$AE$18+J586*$AE$19+K586*$AE$20+L586*$AE$21+M586*$AE$22+N586*$AE$23+O586*$AE$24+P586*$AE$25+Q586*$AE$26+R586*$AE$27+S586*$AE$28+T586*$AE$29+U586*$AE$30</f>
        <v/>
      </c>
      <c r="W586" s="8">
        <f>1/(1+EXP(-V586))</f>
        <v/>
      </c>
      <c r="X586" s="9">
        <f>-IF(C586=1,LN(W586),LN(1-W586))</f>
        <v/>
      </c>
      <c r="Y586" s="8">
        <f>IF(C586=1,$AE$32,$AE$33)</f>
        <v/>
      </c>
      <c r="Z586" s="9">
        <f>Y586*X586</f>
        <v/>
      </c>
      <c r="AA586" s="10">
        <f>IF(W586&gt;$AE$34,1,0)</f>
        <v/>
      </c>
      <c r="AB586">
        <f>IF(AA586=C586,1,0)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$AE$12+D587*$AE$13+E587*$AE$14+F587*$AE$15+G587*$AE$16+H587*$AE$17+I587*$AE$18+J587*$AE$19+K587*$AE$20+L587*$AE$21+M587*$AE$22+N587*$AE$23+O587*$AE$24+P587*$AE$25+Q587*$AE$26+R587*$AE$27+S587*$AE$28+T587*$AE$29+U587*$AE$30</f>
        <v/>
      </c>
      <c r="W587" s="8">
        <f>1/(1+EXP(-V587))</f>
        <v/>
      </c>
      <c r="X587" s="9">
        <f>-IF(C587=1,LN(W587),LN(1-W587))</f>
        <v/>
      </c>
      <c r="Y587" s="8">
        <f>IF(C587=1,$AE$32,$AE$33)</f>
        <v/>
      </c>
      <c r="Z587" s="9">
        <f>Y587*X587</f>
        <v/>
      </c>
      <c r="AA587" s="10">
        <f>IF(W587&gt;$AE$34,1,0)</f>
        <v/>
      </c>
      <c r="AB587">
        <f>IF(AA587=C587,1,0)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$AE$12+D588*$AE$13+E588*$AE$14+F588*$AE$15+G588*$AE$16+H588*$AE$17+I588*$AE$18+J588*$AE$19+K588*$AE$20+L588*$AE$21+M588*$AE$22+N588*$AE$23+O588*$AE$24+P588*$AE$25+Q588*$AE$26+R588*$AE$27+S588*$AE$28+T588*$AE$29+U588*$AE$30</f>
        <v/>
      </c>
      <c r="W588" s="8">
        <f>1/(1+EXP(-V588))</f>
        <v/>
      </c>
      <c r="X588" s="9">
        <f>-IF(C588=1,LN(W588),LN(1-W588))</f>
        <v/>
      </c>
      <c r="Y588" s="8">
        <f>IF(C588=1,$AE$32,$AE$33)</f>
        <v/>
      </c>
      <c r="Z588" s="9">
        <f>Y588*X588</f>
        <v/>
      </c>
      <c r="AA588" s="10">
        <f>IF(W588&gt;$AE$34,1,0)</f>
        <v/>
      </c>
      <c r="AB588">
        <f>IF(AA588=C588,1,0)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$AE$12+D589*$AE$13+E589*$AE$14+F589*$AE$15+G589*$AE$16+H589*$AE$17+I589*$AE$18+J589*$AE$19+K589*$AE$20+L589*$AE$21+M589*$AE$22+N589*$AE$23+O589*$AE$24+P589*$AE$25+Q589*$AE$26+R589*$AE$27+S589*$AE$28+T589*$AE$29+U589*$AE$30</f>
        <v/>
      </c>
      <c r="W589" s="8">
        <f>1/(1+EXP(-V589))</f>
        <v/>
      </c>
      <c r="X589" s="9">
        <f>-IF(C589=1,LN(W589),LN(1-W589))</f>
        <v/>
      </c>
      <c r="Y589" s="8">
        <f>IF(C589=1,$AE$32,$AE$33)</f>
        <v/>
      </c>
      <c r="Z589" s="9">
        <f>Y589*X589</f>
        <v/>
      </c>
      <c r="AA589" s="10">
        <f>IF(W589&gt;$AE$34,1,0)</f>
        <v/>
      </c>
      <c r="AB589">
        <f>IF(AA589=C589,1,0)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$AE$12+D590*$AE$13+E590*$AE$14+F590*$AE$15+G590*$AE$16+H590*$AE$17+I590*$AE$18+J590*$AE$19+K590*$AE$20+L590*$AE$21+M590*$AE$22+N590*$AE$23+O590*$AE$24+P590*$AE$25+Q590*$AE$26+R590*$AE$27+S590*$AE$28+T590*$AE$29+U590*$AE$30</f>
        <v/>
      </c>
      <c r="W590" s="8">
        <f>1/(1+EXP(-V590))</f>
        <v/>
      </c>
      <c r="X590" s="9">
        <f>-IF(C590=1,LN(W590),LN(1-W590))</f>
        <v/>
      </c>
      <c r="Y590" s="8">
        <f>IF(C590=1,$AE$32,$AE$33)</f>
        <v/>
      </c>
      <c r="Z590" s="9">
        <f>Y590*X590</f>
        <v/>
      </c>
      <c r="AA590" s="10">
        <f>IF(W590&gt;$AE$34,1,0)</f>
        <v/>
      </c>
      <c r="AB590">
        <f>IF(AA590=C590,1,0)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$AE$12+D591*$AE$13+E591*$AE$14+F591*$AE$15+G591*$AE$16+H591*$AE$17+I591*$AE$18+J591*$AE$19+K591*$AE$20+L591*$AE$21+M591*$AE$22+N591*$AE$23+O591*$AE$24+P591*$AE$25+Q591*$AE$26+R591*$AE$27+S591*$AE$28+T591*$AE$29+U591*$AE$30</f>
        <v/>
      </c>
      <c r="W591" s="8">
        <f>1/(1+EXP(-V591))</f>
        <v/>
      </c>
      <c r="X591" s="9">
        <f>-IF(C591=1,LN(W591),LN(1-W591))</f>
        <v/>
      </c>
      <c r="Y591" s="8">
        <f>IF(C591=1,$AE$32,$AE$33)</f>
        <v/>
      </c>
      <c r="Z591" s="9">
        <f>Y591*X591</f>
        <v/>
      </c>
      <c r="AA591" s="10">
        <f>IF(W591&gt;$AE$34,1,0)</f>
        <v/>
      </c>
      <c r="AB591">
        <f>IF(AA591=C591,1,0)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$AE$12+D592*$AE$13+E592*$AE$14+F592*$AE$15+G592*$AE$16+H592*$AE$17+I592*$AE$18+J592*$AE$19+K592*$AE$20+L592*$AE$21+M592*$AE$22+N592*$AE$23+O592*$AE$24+P592*$AE$25+Q592*$AE$26+R592*$AE$27+S592*$AE$28+T592*$AE$29+U592*$AE$30</f>
        <v/>
      </c>
      <c r="W592" s="8">
        <f>1/(1+EXP(-V592))</f>
        <v/>
      </c>
      <c r="X592" s="9">
        <f>-IF(C592=1,LN(W592),LN(1-W592))</f>
        <v/>
      </c>
      <c r="Y592" s="8">
        <f>IF(C592=1,$AE$32,$AE$33)</f>
        <v/>
      </c>
      <c r="Z592" s="9">
        <f>Y592*X592</f>
        <v/>
      </c>
      <c r="AA592" s="10">
        <f>IF(W592&gt;$AE$34,1,0)</f>
        <v/>
      </c>
      <c r="AB592">
        <f>IF(AA592=C592,1,0)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$AE$12+D593*$AE$13+E593*$AE$14+F593*$AE$15+G593*$AE$16+H593*$AE$17+I593*$AE$18+J593*$AE$19+K593*$AE$20+L593*$AE$21+M593*$AE$22+N593*$AE$23+O593*$AE$24+P593*$AE$25+Q593*$AE$26+R593*$AE$27+S593*$AE$28+T593*$AE$29+U593*$AE$30</f>
        <v/>
      </c>
      <c r="W593" s="8">
        <f>1/(1+EXP(-V593))</f>
        <v/>
      </c>
      <c r="X593" s="9">
        <f>-IF(C593=1,LN(W593),LN(1-W593))</f>
        <v/>
      </c>
      <c r="Y593" s="8">
        <f>IF(C593=1,$AE$32,$AE$33)</f>
        <v/>
      </c>
      <c r="Z593" s="9">
        <f>Y593*X593</f>
        <v/>
      </c>
      <c r="AA593" s="10">
        <f>IF(W593&gt;$AE$34,1,0)</f>
        <v/>
      </c>
      <c r="AB593">
        <f>IF(AA593=C593,1,0)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$AE$12+D594*$AE$13+E594*$AE$14+F594*$AE$15+G594*$AE$16+H594*$AE$17+I594*$AE$18+J594*$AE$19+K594*$AE$20+L594*$AE$21+M594*$AE$22+N594*$AE$23+O594*$AE$24+P594*$AE$25+Q594*$AE$26+R594*$AE$27+S594*$AE$28+T594*$AE$29+U594*$AE$30</f>
        <v/>
      </c>
      <c r="W594" s="8">
        <f>1/(1+EXP(-V594))</f>
        <v/>
      </c>
      <c r="X594" s="9">
        <f>-IF(C594=1,LN(W594),LN(1-W594))</f>
        <v/>
      </c>
      <c r="Y594" s="8">
        <f>IF(C594=1,$AE$32,$AE$33)</f>
        <v/>
      </c>
      <c r="Z594" s="9">
        <f>Y594*X594</f>
        <v/>
      </c>
      <c r="AA594" s="10">
        <f>IF(W594&gt;$AE$34,1,0)</f>
        <v/>
      </c>
      <c r="AB594">
        <f>IF(AA594=C594,1,0)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$AE$12+D595*$AE$13+E595*$AE$14+F595*$AE$15+G595*$AE$16+H595*$AE$17+I595*$AE$18+J595*$AE$19+K595*$AE$20+L595*$AE$21+M595*$AE$22+N595*$AE$23+O595*$AE$24+P595*$AE$25+Q595*$AE$26+R595*$AE$27+S595*$AE$28+T595*$AE$29+U595*$AE$30</f>
        <v/>
      </c>
      <c r="W595" s="8">
        <f>1/(1+EXP(-V595))</f>
        <v/>
      </c>
      <c r="X595" s="9">
        <f>-IF(C595=1,LN(W595),LN(1-W595))</f>
        <v/>
      </c>
      <c r="Y595" s="8">
        <f>IF(C595=1,$AE$32,$AE$33)</f>
        <v/>
      </c>
      <c r="Z595" s="9">
        <f>Y595*X595</f>
        <v/>
      </c>
      <c r="AA595" s="10">
        <f>IF(W595&gt;$AE$34,1,0)</f>
        <v/>
      </c>
      <c r="AB595">
        <f>IF(AA595=C595,1,0)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$AE$12+D596*$AE$13+E596*$AE$14+F596*$AE$15+G596*$AE$16+H596*$AE$17+I596*$AE$18+J596*$AE$19+K596*$AE$20+L596*$AE$21+M596*$AE$22+N596*$AE$23+O596*$AE$24+P596*$AE$25+Q596*$AE$26+R596*$AE$27+S596*$AE$28+T596*$AE$29+U596*$AE$30</f>
        <v/>
      </c>
      <c r="W596" s="8">
        <f>1/(1+EXP(-V596))</f>
        <v/>
      </c>
      <c r="X596" s="9">
        <f>-IF(C596=1,LN(W596),LN(1-W596))</f>
        <v/>
      </c>
      <c r="Y596" s="8">
        <f>IF(C596=1,$AE$32,$AE$33)</f>
        <v/>
      </c>
      <c r="Z596" s="9">
        <f>Y596*X596</f>
        <v/>
      </c>
      <c r="AA596" s="10">
        <f>IF(W596&gt;$AE$34,1,0)</f>
        <v/>
      </c>
      <c r="AB596">
        <f>IF(AA596=C596,1,0)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$AE$12+D597*$AE$13+E597*$AE$14+F597*$AE$15+G597*$AE$16+H597*$AE$17+I597*$AE$18+J597*$AE$19+K597*$AE$20+L597*$AE$21+M597*$AE$22+N597*$AE$23+O597*$AE$24+P597*$AE$25+Q597*$AE$26+R597*$AE$27+S597*$AE$28+T597*$AE$29+U597*$AE$30</f>
        <v/>
      </c>
      <c r="W597" s="8">
        <f>1/(1+EXP(-V597))</f>
        <v/>
      </c>
      <c r="X597" s="9">
        <f>-IF(C597=1,LN(W597),LN(1-W597))</f>
        <v/>
      </c>
      <c r="Y597" s="8">
        <f>IF(C597=1,$AE$32,$AE$33)</f>
        <v/>
      </c>
      <c r="Z597" s="9">
        <f>Y597*X597</f>
        <v/>
      </c>
      <c r="AA597" s="10">
        <f>IF(W597&gt;$AE$34,1,0)</f>
        <v/>
      </c>
      <c r="AB597">
        <f>IF(AA597=C597,1,0)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$AE$12+D598*$AE$13+E598*$AE$14+F598*$AE$15+G598*$AE$16+H598*$AE$17+I598*$AE$18+J598*$AE$19+K598*$AE$20+L598*$AE$21+M598*$AE$22+N598*$AE$23+O598*$AE$24+P598*$AE$25+Q598*$AE$26+R598*$AE$27+S598*$AE$28+T598*$AE$29+U598*$AE$30</f>
        <v/>
      </c>
      <c r="W598" s="8">
        <f>1/(1+EXP(-V598))</f>
        <v/>
      </c>
      <c r="X598" s="9">
        <f>-IF(C598=1,LN(W598),LN(1-W598))</f>
        <v/>
      </c>
      <c r="Y598" s="8">
        <f>IF(C598=1,$AE$32,$AE$33)</f>
        <v/>
      </c>
      <c r="Z598" s="9">
        <f>Y598*X598</f>
        <v/>
      </c>
      <c r="AA598" s="10">
        <f>IF(W598&gt;$AE$34,1,0)</f>
        <v/>
      </c>
      <c r="AB598">
        <f>IF(AA598=C598,1,0)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$AE$12+D599*$AE$13+E599*$AE$14+F599*$AE$15+G599*$AE$16+H599*$AE$17+I599*$AE$18+J599*$AE$19+K599*$AE$20+L599*$AE$21+M599*$AE$22+N599*$AE$23+O599*$AE$24+P599*$AE$25+Q599*$AE$26+R599*$AE$27+S599*$AE$28+T599*$AE$29+U599*$AE$30</f>
        <v/>
      </c>
      <c r="W599" s="8">
        <f>1/(1+EXP(-V599))</f>
        <v/>
      </c>
      <c r="X599" s="9">
        <f>-IF(C599=1,LN(W599),LN(1-W599))</f>
        <v/>
      </c>
      <c r="Y599" s="8">
        <f>IF(C599=1,$AE$32,$AE$33)</f>
        <v/>
      </c>
      <c r="Z599" s="9">
        <f>Y599*X599</f>
        <v/>
      </c>
      <c r="AA599" s="10">
        <f>IF(W599&gt;$AE$34,1,0)</f>
        <v/>
      </c>
      <c r="AB599">
        <f>IF(AA599=C599,1,0)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$AE$12+D600*$AE$13+E600*$AE$14+F600*$AE$15+G600*$AE$16+H600*$AE$17+I600*$AE$18+J600*$AE$19+K600*$AE$20+L600*$AE$21+M600*$AE$22+N600*$AE$23+O600*$AE$24+P600*$AE$25+Q600*$AE$26+R600*$AE$27+S600*$AE$28+T600*$AE$29+U600*$AE$30</f>
        <v/>
      </c>
      <c r="W600" s="8">
        <f>1/(1+EXP(-V600))</f>
        <v/>
      </c>
      <c r="X600" s="9">
        <f>-IF(C600=1,LN(W600),LN(1-W600))</f>
        <v/>
      </c>
      <c r="Y600" s="8">
        <f>IF(C600=1,$AE$32,$AE$33)</f>
        <v/>
      </c>
      <c r="Z600" s="9">
        <f>Y600*X600</f>
        <v/>
      </c>
      <c r="AA600" s="10">
        <f>IF(W600&gt;$AE$34,1,0)</f>
        <v/>
      </c>
      <c r="AB600">
        <f>IF(AA600=C600,1,0)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$AE$12+D601*$AE$13+E601*$AE$14+F601*$AE$15+G601*$AE$16+H601*$AE$17+I601*$AE$18+J601*$AE$19+K601*$AE$20+L601*$AE$21+M601*$AE$22+N601*$AE$23+O601*$AE$24+P601*$AE$25+Q601*$AE$26+R601*$AE$27+S601*$AE$28+T601*$AE$29+U601*$AE$30</f>
        <v/>
      </c>
      <c r="W601" s="8">
        <f>1/(1+EXP(-V601))</f>
        <v/>
      </c>
      <c r="X601" s="9">
        <f>-IF(C601=1,LN(W601),LN(1-W601))</f>
        <v/>
      </c>
      <c r="Y601" s="8">
        <f>IF(C601=1,$AE$32,$AE$33)</f>
        <v/>
      </c>
      <c r="Z601" s="9">
        <f>Y601*X601</f>
        <v/>
      </c>
      <c r="AA601" s="10">
        <f>IF(W601&gt;$AE$34,1,0)</f>
        <v/>
      </c>
      <c r="AB601">
        <f>IF(AA601=C601,1,0)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$AE$12+D602*$AE$13+E602*$AE$14+F602*$AE$15+G602*$AE$16+H602*$AE$17+I602*$AE$18+J602*$AE$19+K602*$AE$20+L602*$AE$21+M602*$AE$22+N602*$AE$23+O602*$AE$24+P602*$AE$25+Q602*$AE$26+R602*$AE$27+S602*$AE$28+T602*$AE$29+U602*$AE$30</f>
        <v/>
      </c>
      <c r="W602" s="8">
        <f>1/(1+EXP(-V602))</f>
        <v/>
      </c>
      <c r="X602" s="9">
        <f>-IF(C602=1,LN(W602),LN(1-W602))</f>
        <v/>
      </c>
      <c r="Y602" s="8">
        <f>IF(C602=1,$AE$32,$AE$33)</f>
        <v/>
      </c>
      <c r="Z602" s="9">
        <f>Y602*X602</f>
        <v/>
      </c>
      <c r="AA602" s="10">
        <f>IF(W602&gt;$AE$34,1,0)</f>
        <v/>
      </c>
      <c r="AB602">
        <f>IF(AA602=C602,1,0)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$AE$12+D603*$AE$13+E603*$AE$14+F603*$AE$15+G603*$AE$16+H603*$AE$17+I603*$AE$18+J603*$AE$19+K603*$AE$20+L603*$AE$21+M603*$AE$22+N603*$AE$23+O603*$AE$24+P603*$AE$25+Q603*$AE$26+R603*$AE$27+S603*$AE$28+T603*$AE$29+U603*$AE$30</f>
        <v/>
      </c>
      <c r="W603" s="8">
        <f>1/(1+EXP(-V603))</f>
        <v/>
      </c>
      <c r="X603" s="9">
        <f>-IF(C603=1,LN(W603),LN(1-W603))</f>
        <v/>
      </c>
      <c r="Y603" s="8">
        <f>IF(C603=1,$AE$32,$AE$33)</f>
        <v/>
      </c>
      <c r="Z603" s="9">
        <f>Y603*X603</f>
        <v/>
      </c>
      <c r="AA603" s="10">
        <f>IF(W603&gt;$AE$34,1,0)</f>
        <v/>
      </c>
      <c r="AB603">
        <f>IF(AA603=C603,1,0)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$AE$12+D604*$AE$13+E604*$AE$14+F604*$AE$15+G604*$AE$16+H604*$AE$17+I604*$AE$18+J604*$AE$19+K604*$AE$20+L604*$AE$21+M604*$AE$22+N604*$AE$23+O604*$AE$24+P604*$AE$25+Q604*$AE$26+R604*$AE$27+S604*$AE$28+T604*$AE$29+U604*$AE$30</f>
        <v/>
      </c>
      <c r="W604" s="8">
        <f>1/(1+EXP(-V604))</f>
        <v/>
      </c>
      <c r="X604" s="9">
        <f>-IF(C604=1,LN(W604),LN(1-W604))</f>
        <v/>
      </c>
      <c r="Y604" s="8">
        <f>IF(C604=1,$AE$32,$AE$33)</f>
        <v/>
      </c>
      <c r="Z604" s="9">
        <f>Y604*X604</f>
        <v/>
      </c>
      <c r="AA604" s="10">
        <f>IF(W604&gt;$AE$34,1,0)</f>
        <v/>
      </c>
      <c r="AB604">
        <f>IF(AA604=C604,1,0)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$AE$12+D605*$AE$13+E605*$AE$14+F605*$AE$15+G605*$AE$16+H605*$AE$17+I605*$AE$18+J605*$AE$19+K605*$AE$20+L605*$AE$21+M605*$AE$22+N605*$AE$23+O605*$AE$24+P605*$AE$25+Q605*$AE$26+R605*$AE$27+S605*$AE$28+T605*$AE$29+U605*$AE$30</f>
        <v/>
      </c>
      <c r="W605" s="8">
        <f>1/(1+EXP(-V605))</f>
        <v/>
      </c>
      <c r="X605" s="9">
        <f>-IF(C605=1,LN(W605),LN(1-W605))</f>
        <v/>
      </c>
      <c r="Y605" s="8">
        <f>IF(C605=1,$AE$32,$AE$33)</f>
        <v/>
      </c>
      <c r="Z605" s="9">
        <f>Y605*X605</f>
        <v/>
      </c>
      <c r="AA605" s="10">
        <f>IF(W605&gt;$AE$34,1,0)</f>
        <v/>
      </c>
      <c r="AB605">
        <f>IF(AA605=C605,1,0)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$AE$12+D606*$AE$13+E606*$AE$14+F606*$AE$15+G606*$AE$16+H606*$AE$17+I606*$AE$18+J606*$AE$19+K606*$AE$20+L606*$AE$21+M606*$AE$22+N606*$AE$23+O606*$AE$24+P606*$AE$25+Q606*$AE$26+R606*$AE$27+S606*$AE$28+T606*$AE$29+U606*$AE$30</f>
        <v/>
      </c>
      <c r="W606" s="8">
        <f>1/(1+EXP(-V606))</f>
        <v/>
      </c>
      <c r="X606" s="9">
        <f>-IF(C606=1,LN(W606),LN(1-W606))</f>
        <v/>
      </c>
      <c r="Y606" s="8">
        <f>IF(C606=1,$AE$32,$AE$33)</f>
        <v/>
      </c>
      <c r="Z606" s="9">
        <f>Y606*X606</f>
        <v/>
      </c>
      <c r="AA606" s="10">
        <f>IF(W606&gt;$AE$34,1,0)</f>
        <v/>
      </c>
      <c r="AB606">
        <f>IF(AA606=C606,1,0)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$AE$12+D607*$AE$13+E607*$AE$14+F607*$AE$15+G607*$AE$16+H607*$AE$17+I607*$AE$18+J607*$AE$19+K607*$AE$20+L607*$AE$21+M607*$AE$22+N607*$AE$23+O607*$AE$24+P607*$AE$25+Q607*$AE$26+R607*$AE$27+S607*$AE$28+T607*$AE$29+U607*$AE$30</f>
        <v/>
      </c>
      <c r="W607" s="8">
        <f>1/(1+EXP(-V607))</f>
        <v/>
      </c>
      <c r="X607" s="9">
        <f>-IF(C607=1,LN(W607),LN(1-W607))</f>
        <v/>
      </c>
      <c r="Y607" s="8">
        <f>IF(C607=1,$AE$32,$AE$33)</f>
        <v/>
      </c>
      <c r="Z607" s="9">
        <f>Y607*X607</f>
        <v/>
      </c>
      <c r="AA607" s="10">
        <f>IF(W607&gt;$AE$34,1,0)</f>
        <v/>
      </c>
      <c r="AB607">
        <f>IF(AA607=C607,1,0)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$AE$12+D608*$AE$13+E608*$AE$14+F608*$AE$15+G608*$AE$16+H608*$AE$17+I608*$AE$18+J608*$AE$19+K608*$AE$20+L608*$AE$21+M608*$AE$22+N608*$AE$23+O608*$AE$24+P608*$AE$25+Q608*$AE$26+R608*$AE$27+S608*$AE$28+T608*$AE$29+U608*$AE$30</f>
        <v/>
      </c>
      <c r="W608" s="8">
        <f>1/(1+EXP(-V608))</f>
        <v/>
      </c>
      <c r="X608" s="9">
        <f>-IF(C608=1,LN(W608),LN(1-W608))</f>
        <v/>
      </c>
      <c r="Y608" s="8">
        <f>IF(C608=1,$AE$32,$AE$33)</f>
        <v/>
      </c>
      <c r="Z608" s="9">
        <f>Y608*X608</f>
        <v/>
      </c>
      <c r="AA608" s="10">
        <f>IF(W608&gt;$AE$34,1,0)</f>
        <v/>
      </c>
      <c r="AB608">
        <f>IF(AA608=C608,1,0)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$AE$12+D609*$AE$13+E609*$AE$14+F609*$AE$15+G609*$AE$16+H609*$AE$17+I609*$AE$18+J609*$AE$19+K609*$AE$20+L609*$AE$21+M609*$AE$22+N609*$AE$23+O609*$AE$24+P609*$AE$25+Q609*$AE$26+R609*$AE$27+S609*$AE$28+T609*$AE$29+U609*$AE$30</f>
        <v/>
      </c>
      <c r="W609" s="8">
        <f>1/(1+EXP(-V609))</f>
        <v/>
      </c>
      <c r="X609" s="9">
        <f>-IF(C609=1,LN(W609),LN(1-W609))</f>
        <v/>
      </c>
      <c r="Y609" s="8">
        <f>IF(C609=1,$AE$32,$AE$33)</f>
        <v/>
      </c>
      <c r="Z609" s="9">
        <f>Y609*X609</f>
        <v/>
      </c>
      <c r="AA609" s="10">
        <f>IF(W609&gt;$AE$34,1,0)</f>
        <v/>
      </c>
      <c r="AB609">
        <f>IF(AA609=C609,1,0)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$AE$12+D610*$AE$13+E610*$AE$14+F610*$AE$15+G610*$AE$16+H610*$AE$17+I610*$AE$18+J610*$AE$19+K610*$AE$20+L610*$AE$21+M610*$AE$22+N610*$AE$23+O610*$AE$24+P610*$AE$25+Q610*$AE$26+R610*$AE$27+S610*$AE$28+T610*$AE$29+U610*$AE$30</f>
        <v/>
      </c>
      <c r="W610" s="8">
        <f>1/(1+EXP(-V610))</f>
        <v/>
      </c>
      <c r="X610" s="9">
        <f>-IF(C610=1,LN(W610),LN(1-W610))</f>
        <v/>
      </c>
      <c r="Y610" s="8">
        <f>IF(C610=1,$AE$32,$AE$33)</f>
        <v/>
      </c>
      <c r="Z610" s="9">
        <f>Y610*X610</f>
        <v/>
      </c>
      <c r="AA610" s="10">
        <f>IF(W610&gt;$AE$34,1,0)</f>
        <v/>
      </c>
      <c r="AB610">
        <f>IF(AA610=C610,1,0)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$AE$12+D611*$AE$13+E611*$AE$14+F611*$AE$15+G611*$AE$16+H611*$AE$17+I611*$AE$18+J611*$AE$19+K611*$AE$20+L611*$AE$21+M611*$AE$22+N611*$AE$23+O611*$AE$24+P611*$AE$25+Q611*$AE$26+R611*$AE$27+S611*$AE$28+T611*$AE$29+U611*$AE$30</f>
        <v/>
      </c>
      <c r="W611" s="8">
        <f>1/(1+EXP(-V611))</f>
        <v/>
      </c>
      <c r="X611" s="9">
        <f>-IF(C611=1,LN(W611),LN(1-W611))</f>
        <v/>
      </c>
      <c r="Y611" s="8">
        <f>IF(C611=1,$AE$32,$AE$33)</f>
        <v/>
      </c>
      <c r="Z611" s="9">
        <f>Y611*X611</f>
        <v/>
      </c>
      <c r="AA611" s="10">
        <f>IF(W611&gt;$AE$34,1,0)</f>
        <v/>
      </c>
      <c r="AB611">
        <f>IF(AA611=C611,1,0)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$AE$12+D612*$AE$13+E612*$AE$14+F612*$AE$15+G612*$AE$16+H612*$AE$17+I612*$AE$18+J612*$AE$19+K612*$AE$20+L612*$AE$21+M612*$AE$22+N612*$AE$23+O612*$AE$24+P612*$AE$25+Q612*$AE$26+R612*$AE$27+S612*$AE$28+T612*$AE$29+U612*$AE$30</f>
        <v/>
      </c>
      <c r="W612" s="8">
        <f>1/(1+EXP(-V612))</f>
        <v/>
      </c>
      <c r="X612" s="9">
        <f>-IF(C612=1,LN(W612),LN(1-W612))</f>
        <v/>
      </c>
      <c r="Y612" s="8">
        <f>IF(C612=1,$AE$32,$AE$33)</f>
        <v/>
      </c>
      <c r="Z612" s="9">
        <f>Y612*X612</f>
        <v/>
      </c>
      <c r="AA612" s="10">
        <f>IF(W612&gt;$AE$34,1,0)</f>
        <v/>
      </c>
      <c r="AB612">
        <f>IF(AA612=C612,1,0)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$AE$12+D613*$AE$13+E613*$AE$14+F613*$AE$15+G613*$AE$16+H613*$AE$17+I613*$AE$18+J613*$AE$19+K613*$AE$20+L613*$AE$21+M613*$AE$22+N613*$AE$23+O613*$AE$24+P613*$AE$25+Q613*$AE$26+R613*$AE$27+S613*$AE$28+T613*$AE$29+U613*$AE$30</f>
        <v/>
      </c>
      <c r="W613" s="8">
        <f>1/(1+EXP(-V613))</f>
        <v/>
      </c>
      <c r="X613" s="9">
        <f>-IF(C613=1,LN(W613),LN(1-W613))</f>
        <v/>
      </c>
      <c r="Y613" s="8">
        <f>IF(C613=1,$AE$32,$AE$33)</f>
        <v/>
      </c>
      <c r="Z613" s="9">
        <f>Y613*X613</f>
        <v/>
      </c>
      <c r="AA613" s="10">
        <f>IF(W613&gt;$AE$34,1,0)</f>
        <v/>
      </c>
      <c r="AB613">
        <f>IF(AA613=C613,1,0)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$AE$12+D614*$AE$13+E614*$AE$14+F614*$AE$15+G614*$AE$16+H614*$AE$17+I614*$AE$18+J614*$AE$19+K614*$AE$20+L614*$AE$21+M614*$AE$22+N614*$AE$23+O614*$AE$24+P614*$AE$25+Q614*$AE$26+R614*$AE$27+S614*$AE$28+T614*$AE$29+U614*$AE$30</f>
        <v/>
      </c>
      <c r="W614" s="8">
        <f>1/(1+EXP(-V614))</f>
        <v/>
      </c>
      <c r="X614" s="9">
        <f>-IF(C614=1,LN(W614),LN(1-W614))</f>
        <v/>
      </c>
      <c r="Y614" s="8">
        <f>IF(C614=1,$AE$32,$AE$33)</f>
        <v/>
      </c>
      <c r="Z614" s="9">
        <f>Y614*X614</f>
        <v/>
      </c>
      <c r="AA614" s="10">
        <f>IF(W614&gt;$AE$34,1,0)</f>
        <v/>
      </c>
      <c r="AB614">
        <f>IF(AA614=C614,1,0)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$AE$12+D615*$AE$13+E615*$AE$14+F615*$AE$15+G615*$AE$16+H615*$AE$17+I615*$AE$18+J615*$AE$19+K615*$AE$20+L615*$AE$21+M615*$AE$22+N615*$AE$23+O615*$AE$24+P615*$AE$25+Q615*$AE$26+R615*$AE$27+S615*$AE$28+T615*$AE$29+U615*$AE$30</f>
        <v/>
      </c>
      <c r="W615" s="8">
        <f>1/(1+EXP(-V615))</f>
        <v/>
      </c>
      <c r="X615" s="9">
        <f>-IF(C615=1,LN(W615),LN(1-W615))</f>
        <v/>
      </c>
      <c r="Y615" s="8">
        <f>IF(C615=1,$AE$32,$AE$33)</f>
        <v/>
      </c>
      <c r="Z615" s="9">
        <f>Y615*X615</f>
        <v/>
      </c>
      <c r="AA615" s="10">
        <f>IF(W615&gt;$AE$34,1,0)</f>
        <v/>
      </c>
      <c r="AB615">
        <f>IF(AA615=C615,1,0)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$AE$12+D616*$AE$13+E616*$AE$14+F616*$AE$15+G616*$AE$16+H616*$AE$17+I616*$AE$18+J616*$AE$19+K616*$AE$20+L616*$AE$21+M616*$AE$22+N616*$AE$23+O616*$AE$24+P616*$AE$25+Q616*$AE$26+R616*$AE$27+S616*$AE$28+T616*$AE$29+U616*$AE$30</f>
        <v/>
      </c>
      <c r="W616" s="8">
        <f>1/(1+EXP(-V616))</f>
        <v/>
      </c>
      <c r="X616" s="9">
        <f>-IF(C616=1,LN(W616),LN(1-W616))</f>
        <v/>
      </c>
      <c r="Y616" s="8">
        <f>IF(C616=1,$AE$32,$AE$33)</f>
        <v/>
      </c>
      <c r="Z616" s="9">
        <f>Y616*X616</f>
        <v/>
      </c>
      <c r="AA616" s="10">
        <f>IF(W616&gt;$AE$34,1,0)</f>
        <v/>
      </c>
      <c r="AB616">
        <f>IF(AA616=C616,1,0)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$AE$12+D617*$AE$13+E617*$AE$14+F617*$AE$15+G617*$AE$16+H617*$AE$17+I617*$AE$18+J617*$AE$19+K617*$AE$20+L617*$AE$21+M617*$AE$22+N617*$AE$23+O617*$AE$24+P617*$AE$25+Q617*$AE$26+R617*$AE$27+S617*$AE$28+T617*$AE$29+U617*$AE$30</f>
        <v/>
      </c>
      <c r="W617" s="8">
        <f>1/(1+EXP(-V617))</f>
        <v/>
      </c>
      <c r="X617" s="9">
        <f>-IF(C617=1,LN(W617),LN(1-W617))</f>
        <v/>
      </c>
      <c r="Y617" s="8">
        <f>IF(C617=1,$AE$32,$AE$33)</f>
        <v/>
      </c>
      <c r="Z617" s="9">
        <f>Y617*X617</f>
        <v/>
      </c>
      <c r="AA617" s="10">
        <f>IF(W617&gt;$AE$34,1,0)</f>
        <v/>
      </c>
      <c r="AB617">
        <f>IF(AA617=C617,1,0)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$AE$12+D618*$AE$13+E618*$AE$14+F618*$AE$15+G618*$AE$16+H618*$AE$17+I618*$AE$18+J618*$AE$19+K618*$AE$20+L618*$AE$21+M618*$AE$22+N618*$AE$23+O618*$AE$24+P618*$AE$25+Q618*$AE$26+R618*$AE$27+S618*$AE$28+T618*$AE$29+U618*$AE$30</f>
        <v/>
      </c>
      <c r="W618" s="8">
        <f>1/(1+EXP(-V618))</f>
        <v/>
      </c>
      <c r="X618" s="9">
        <f>-IF(C618=1,LN(W618),LN(1-W618))</f>
        <v/>
      </c>
      <c r="Y618" s="8">
        <f>IF(C618=1,$AE$32,$AE$33)</f>
        <v/>
      </c>
      <c r="Z618" s="9">
        <f>Y618*X618</f>
        <v/>
      </c>
      <c r="AA618" s="10">
        <f>IF(W618&gt;$AE$34,1,0)</f>
        <v/>
      </c>
      <c r="AB618">
        <f>IF(AA618=C618,1,0)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$AE$12+D619*$AE$13+E619*$AE$14+F619*$AE$15+G619*$AE$16+H619*$AE$17+I619*$AE$18+J619*$AE$19+K619*$AE$20+L619*$AE$21+M619*$AE$22+N619*$AE$23+O619*$AE$24+P619*$AE$25+Q619*$AE$26+R619*$AE$27+S619*$AE$28+T619*$AE$29+U619*$AE$30</f>
        <v/>
      </c>
      <c r="W619" s="8">
        <f>1/(1+EXP(-V619))</f>
        <v/>
      </c>
      <c r="X619" s="9">
        <f>-IF(C619=1,LN(W619),LN(1-W619))</f>
        <v/>
      </c>
      <c r="Y619" s="8">
        <f>IF(C619=1,$AE$32,$AE$33)</f>
        <v/>
      </c>
      <c r="Z619" s="9">
        <f>Y619*X619</f>
        <v/>
      </c>
      <c r="AA619" s="10">
        <f>IF(W619&gt;$AE$34,1,0)</f>
        <v/>
      </c>
      <c r="AB619">
        <f>IF(AA619=C619,1,0)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$AE$12+D620*$AE$13+E620*$AE$14+F620*$AE$15+G620*$AE$16+H620*$AE$17+I620*$AE$18+J620*$AE$19+K620*$AE$20+L620*$AE$21+M620*$AE$22+N620*$AE$23+O620*$AE$24+P620*$AE$25+Q620*$AE$26+R620*$AE$27+S620*$AE$28+T620*$AE$29+U620*$AE$30</f>
        <v/>
      </c>
      <c r="W620" s="8">
        <f>1/(1+EXP(-V620))</f>
        <v/>
      </c>
      <c r="X620" s="9">
        <f>-IF(C620=1,LN(W620),LN(1-W620))</f>
        <v/>
      </c>
      <c r="Y620" s="8">
        <f>IF(C620=1,$AE$32,$AE$33)</f>
        <v/>
      </c>
      <c r="Z620" s="9">
        <f>Y620*X620</f>
        <v/>
      </c>
      <c r="AA620" s="10">
        <f>IF(W620&gt;$AE$34,1,0)</f>
        <v/>
      </c>
      <c r="AB620">
        <f>IF(AA620=C620,1,0)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$AE$12+D621*$AE$13+E621*$AE$14+F621*$AE$15+G621*$AE$16+H621*$AE$17+I621*$AE$18+J621*$AE$19+K621*$AE$20+L621*$AE$21+M621*$AE$22+N621*$AE$23+O621*$AE$24+P621*$AE$25+Q621*$AE$26+R621*$AE$27+S621*$AE$28+T621*$AE$29+U621*$AE$30</f>
        <v/>
      </c>
      <c r="W621" s="8">
        <f>1/(1+EXP(-V621))</f>
        <v/>
      </c>
      <c r="X621" s="9">
        <f>-IF(C621=1,LN(W621),LN(1-W621))</f>
        <v/>
      </c>
      <c r="Y621" s="8">
        <f>IF(C621=1,$AE$32,$AE$33)</f>
        <v/>
      </c>
      <c r="Z621" s="9">
        <f>Y621*X621</f>
        <v/>
      </c>
      <c r="AA621" s="10">
        <f>IF(W621&gt;$AE$34,1,0)</f>
        <v/>
      </c>
      <c r="AB621">
        <f>IF(AA621=C621,1,0)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$AE$12+D622*$AE$13+E622*$AE$14+F622*$AE$15+G622*$AE$16+H622*$AE$17+I622*$AE$18+J622*$AE$19+K622*$AE$20+L622*$AE$21+M622*$AE$22+N622*$AE$23+O622*$AE$24+P622*$AE$25+Q622*$AE$26+R622*$AE$27+S622*$AE$28+T622*$AE$29+U622*$AE$30</f>
        <v/>
      </c>
      <c r="W622" s="8">
        <f>1/(1+EXP(-V622))</f>
        <v/>
      </c>
      <c r="X622" s="9">
        <f>-IF(C622=1,LN(W622),LN(1-W622))</f>
        <v/>
      </c>
      <c r="Y622" s="8">
        <f>IF(C622=1,$AE$32,$AE$33)</f>
        <v/>
      </c>
      <c r="Z622" s="9">
        <f>Y622*X622</f>
        <v/>
      </c>
      <c r="AA622" s="10">
        <f>IF(W622&gt;$AE$34,1,0)</f>
        <v/>
      </c>
      <c r="AB622">
        <f>IF(AA622=C622,1,0)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$AE$12+D623*$AE$13+E623*$AE$14+F623*$AE$15+G623*$AE$16+H623*$AE$17+I623*$AE$18+J623*$AE$19+K623*$AE$20+L623*$AE$21+M623*$AE$22+N623*$AE$23+O623*$AE$24+P623*$AE$25+Q623*$AE$26+R623*$AE$27+S623*$AE$28+T623*$AE$29+U623*$AE$30</f>
        <v/>
      </c>
      <c r="W623" s="8">
        <f>1/(1+EXP(-V623))</f>
        <v/>
      </c>
      <c r="X623" s="9">
        <f>-IF(C623=1,LN(W623),LN(1-W623))</f>
        <v/>
      </c>
      <c r="Y623" s="8">
        <f>IF(C623=1,$AE$32,$AE$33)</f>
        <v/>
      </c>
      <c r="Z623" s="9">
        <f>Y623*X623</f>
        <v/>
      </c>
      <c r="AA623" s="10">
        <f>IF(W623&gt;$AE$34,1,0)</f>
        <v/>
      </c>
      <c r="AB623">
        <f>IF(AA623=C623,1,0)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$AE$12+D624*$AE$13+E624*$AE$14+F624*$AE$15+G624*$AE$16+H624*$AE$17+I624*$AE$18+J624*$AE$19+K624*$AE$20+L624*$AE$21+M624*$AE$22+N624*$AE$23+O624*$AE$24+P624*$AE$25+Q624*$AE$26+R624*$AE$27+S624*$AE$28+T624*$AE$29+U624*$AE$30</f>
        <v/>
      </c>
      <c r="W624" s="8">
        <f>1/(1+EXP(-V624))</f>
        <v/>
      </c>
      <c r="X624" s="9">
        <f>-IF(C624=1,LN(W624),LN(1-W624))</f>
        <v/>
      </c>
      <c r="Y624" s="8">
        <f>IF(C624=1,$AE$32,$AE$33)</f>
        <v/>
      </c>
      <c r="Z624" s="9">
        <f>Y624*X624</f>
        <v/>
      </c>
      <c r="AA624" s="10">
        <f>IF(W624&gt;$AE$34,1,0)</f>
        <v/>
      </c>
      <c r="AB624">
        <f>IF(AA624=C624,1,0)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$AE$12+D625*$AE$13+E625*$AE$14+F625*$AE$15+G625*$AE$16+H625*$AE$17+I625*$AE$18+J625*$AE$19+K625*$AE$20+L625*$AE$21+M625*$AE$22+N625*$AE$23+O625*$AE$24+P625*$AE$25+Q625*$AE$26+R625*$AE$27+S625*$AE$28+T625*$AE$29+U625*$AE$30</f>
        <v/>
      </c>
      <c r="W625" s="8">
        <f>1/(1+EXP(-V625))</f>
        <v/>
      </c>
      <c r="X625" s="9">
        <f>-IF(C625=1,LN(W625),LN(1-W625))</f>
        <v/>
      </c>
      <c r="Y625" s="8">
        <f>IF(C625=1,$AE$32,$AE$33)</f>
        <v/>
      </c>
      <c r="Z625" s="9">
        <f>Y625*X625</f>
        <v/>
      </c>
      <c r="AA625" s="10">
        <f>IF(W625&gt;$AE$34,1,0)</f>
        <v/>
      </c>
      <c r="AB625">
        <f>IF(AA625=C625,1,0)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$AE$12+D626*$AE$13+E626*$AE$14+F626*$AE$15+G626*$AE$16+H626*$AE$17+I626*$AE$18+J626*$AE$19+K626*$AE$20+L626*$AE$21+M626*$AE$22+N626*$AE$23+O626*$AE$24+P626*$AE$25+Q626*$AE$26+R626*$AE$27+S626*$AE$28+T626*$AE$29+U626*$AE$30</f>
        <v/>
      </c>
      <c r="W626" s="8">
        <f>1/(1+EXP(-V626))</f>
        <v/>
      </c>
      <c r="X626" s="9">
        <f>-IF(C626=1,LN(W626),LN(1-W626))</f>
        <v/>
      </c>
      <c r="Y626" s="8">
        <f>IF(C626=1,$AE$32,$AE$33)</f>
        <v/>
      </c>
      <c r="Z626" s="9">
        <f>Y626*X626</f>
        <v/>
      </c>
      <c r="AA626" s="10">
        <f>IF(W626&gt;$AE$34,1,0)</f>
        <v/>
      </c>
      <c r="AB626">
        <f>IF(AA626=C626,1,0)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$AE$12+D627*$AE$13+E627*$AE$14+F627*$AE$15+G627*$AE$16+H627*$AE$17+I627*$AE$18+J627*$AE$19+K627*$AE$20+L627*$AE$21+M627*$AE$22+N627*$AE$23+O627*$AE$24+P627*$AE$25+Q627*$AE$26+R627*$AE$27+S627*$AE$28+T627*$AE$29+U627*$AE$30</f>
        <v/>
      </c>
      <c r="W627" s="8">
        <f>1/(1+EXP(-V627))</f>
        <v/>
      </c>
      <c r="X627" s="9">
        <f>-IF(C627=1,LN(W627),LN(1-W627))</f>
        <v/>
      </c>
      <c r="Y627" s="8">
        <f>IF(C627=1,$AE$32,$AE$33)</f>
        <v/>
      </c>
      <c r="Z627" s="9">
        <f>Y627*X627</f>
        <v/>
      </c>
      <c r="AA627" s="10">
        <f>IF(W627&gt;$AE$34,1,0)</f>
        <v/>
      </c>
      <c r="AB627">
        <f>IF(AA627=C627,1,0)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$AE$12+D628*$AE$13+E628*$AE$14+F628*$AE$15+G628*$AE$16+H628*$AE$17+I628*$AE$18+J628*$AE$19+K628*$AE$20+L628*$AE$21+M628*$AE$22+N628*$AE$23+O628*$AE$24+P628*$AE$25+Q628*$AE$26+R628*$AE$27+S628*$AE$28+T628*$AE$29+U628*$AE$30</f>
        <v/>
      </c>
      <c r="W628" s="8">
        <f>1/(1+EXP(-V628))</f>
        <v/>
      </c>
      <c r="X628" s="9">
        <f>-IF(C628=1,LN(W628),LN(1-W628))</f>
        <v/>
      </c>
      <c r="Y628" s="8">
        <f>IF(C628=1,$AE$32,$AE$33)</f>
        <v/>
      </c>
      <c r="Z628" s="9">
        <f>Y628*X628</f>
        <v/>
      </c>
      <c r="AA628" s="10">
        <f>IF(W628&gt;$AE$34,1,0)</f>
        <v/>
      </c>
      <c r="AB628">
        <f>IF(AA628=C628,1,0)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$AE$12+D629*$AE$13+E629*$AE$14+F629*$AE$15+G629*$AE$16+H629*$AE$17+I629*$AE$18+J629*$AE$19+K629*$AE$20+L629*$AE$21+M629*$AE$22+N629*$AE$23+O629*$AE$24+P629*$AE$25+Q629*$AE$26+R629*$AE$27+S629*$AE$28+T629*$AE$29+U629*$AE$30</f>
        <v/>
      </c>
      <c r="W629" s="8">
        <f>1/(1+EXP(-V629))</f>
        <v/>
      </c>
      <c r="X629" s="9">
        <f>-IF(C629=1,LN(W629),LN(1-W629))</f>
        <v/>
      </c>
      <c r="Y629" s="8">
        <f>IF(C629=1,$AE$32,$AE$33)</f>
        <v/>
      </c>
      <c r="Z629" s="9">
        <f>Y629*X629</f>
        <v/>
      </c>
      <c r="AA629" s="10">
        <f>IF(W629&gt;$AE$34,1,0)</f>
        <v/>
      </c>
      <c r="AB629">
        <f>IF(AA629=C629,1,0)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$AE$12+D630*$AE$13+E630*$AE$14+F630*$AE$15+G630*$AE$16+H630*$AE$17+I630*$AE$18+J630*$AE$19+K630*$AE$20+L630*$AE$21+M630*$AE$22+N630*$AE$23+O630*$AE$24+P630*$AE$25+Q630*$AE$26+R630*$AE$27+S630*$AE$28+T630*$AE$29+U630*$AE$30</f>
        <v/>
      </c>
      <c r="W630" s="8">
        <f>1/(1+EXP(-V630))</f>
        <v/>
      </c>
      <c r="X630" s="9">
        <f>-IF(C630=1,LN(W630),LN(1-W630))</f>
        <v/>
      </c>
      <c r="Y630" s="8">
        <f>IF(C630=1,$AE$32,$AE$33)</f>
        <v/>
      </c>
      <c r="Z630" s="9">
        <f>Y630*X630</f>
        <v/>
      </c>
      <c r="AA630" s="10">
        <f>IF(W630&gt;$AE$34,1,0)</f>
        <v/>
      </c>
      <c r="AB630">
        <f>IF(AA630=C630,1,0)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$AE$12+D631*$AE$13+E631*$AE$14+F631*$AE$15+G631*$AE$16+H631*$AE$17+I631*$AE$18+J631*$AE$19+K631*$AE$20+L631*$AE$21+M631*$AE$22+N631*$AE$23+O631*$AE$24+P631*$AE$25+Q631*$AE$26+R631*$AE$27+S631*$AE$28+T631*$AE$29+U631*$AE$30</f>
        <v/>
      </c>
      <c r="W631" s="8">
        <f>1/(1+EXP(-V631))</f>
        <v/>
      </c>
      <c r="X631" s="9">
        <f>-IF(C631=1,LN(W631),LN(1-W631))</f>
        <v/>
      </c>
      <c r="Y631" s="8">
        <f>IF(C631=1,$AE$32,$AE$33)</f>
        <v/>
      </c>
      <c r="Z631" s="9">
        <f>Y631*X631</f>
        <v/>
      </c>
      <c r="AA631" s="10">
        <f>IF(W631&gt;$AE$34,1,0)</f>
        <v/>
      </c>
      <c r="AB631">
        <f>IF(AA631=C631,1,0)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$AE$12+D632*$AE$13+E632*$AE$14+F632*$AE$15+G632*$AE$16+H632*$AE$17+I632*$AE$18+J632*$AE$19+K632*$AE$20+L632*$AE$21+M632*$AE$22+N632*$AE$23+O632*$AE$24+P632*$AE$25+Q632*$AE$26+R632*$AE$27+S632*$AE$28+T632*$AE$29+U632*$AE$30</f>
        <v/>
      </c>
      <c r="W632" s="8">
        <f>1/(1+EXP(-V632))</f>
        <v/>
      </c>
      <c r="X632" s="9">
        <f>-IF(C632=1,LN(W632),LN(1-W632))</f>
        <v/>
      </c>
      <c r="Y632" s="8">
        <f>IF(C632=1,$AE$32,$AE$33)</f>
        <v/>
      </c>
      <c r="Z632" s="9">
        <f>Y632*X632</f>
        <v/>
      </c>
      <c r="AA632" s="10">
        <f>IF(W632&gt;$AE$34,1,0)</f>
        <v/>
      </c>
      <c r="AB632">
        <f>IF(AA632=C632,1,0)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$AE$12+D633*$AE$13+E633*$AE$14+F633*$AE$15+G633*$AE$16+H633*$AE$17+I633*$AE$18+J633*$AE$19+K633*$AE$20+L633*$AE$21+M633*$AE$22+N633*$AE$23+O633*$AE$24+P633*$AE$25+Q633*$AE$26+R633*$AE$27+S633*$AE$28+T633*$AE$29+U633*$AE$30</f>
        <v/>
      </c>
      <c r="W633" s="8">
        <f>1/(1+EXP(-V633))</f>
        <v/>
      </c>
      <c r="X633" s="9">
        <f>-IF(C633=1,LN(W633),LN(1-W633))</f>
        <v/>
      </c>
      <c r="Y633" s="8">
        <f>IF(C633=1,$AE$32,$AE$33)</f>
        <v/>
      </c>
      <c r="Z633" s="9">
        <f>Y633*X633</f>
        <v/>
      </c>
      <c r="AA633" s="10">
        <f>IF(W633&gt;$AE$34,1,0)</f>
        <v/>
      </c>
      <c r="AB633">
        <f>IF(AA633=C633,1,0)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$AE$12+D634*$AE$13+E634*$AE$14+F634*$AE$15+G634*$AE$16+H634*$AE$17+I634*$AE$18+J634*$AE$19+K634*$AE$20+L634*$AE$21+M634*$AE$22+N634*$AE$23+O634*$AE$24+P634*$AE$25+Q634*$AE$26+R634*$AE$27+S634*$AE$28+T634*$AE$29+U634*$AE$30</f>
        <v/>
      </c>
      <c r="W634" s="8">
        <f>1/(1+EXP(-V634))</f>
        <v/>
      </c>
      <c r="X634" s="9">
        <f>-IF(C634=1,LN(W634),LN(1-W634))</f>
        <v/>
      </c>
      <c r="Y634" s="8">
        <f>IF(C634=1,$AE$32,$AE$33)</f>
        <v/>
      </c>
      <c r="Z634" s="9">
        <f>Y634*X634</f>
        <v/>
      </c>
      <c r="AA634" s="10">
        <f>IF(W634&gt;$AE$34,1,0)</f>
        <v/>
      </c>
      <c r="AB634">
        <f>IF(AA634=C634,1,0)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$AE$12+D635*$AE$13+E635*$AE$14+F635*$AE$15+G635*$AE$16+H635*$AE$17+I635*$AE$18+J635*$AE$19+K635*$AE$20+L635*$AE$21+M635*$AE$22+N635*$AE$23+O635*$AE$24+P635*$AE$25+Q635*$AE$26+R635*$AE$27+S635*$AE$28+T635*$AE$29+U635*$AE$30</f>
        <v/>
      </c>
      <c r="W635" s="8">
        <f>1/(1+EXP(-V635))</f>
        <v/>
      </c>
      <c r="X635" s="9">
        <f>-IF(C635=1,LN(W635),LN(1-W635))</f>
        <v/>
      </c>
      <c r="Y635" s="8">
        <f>IF(C635=1,$AE$32,$AE$33)</f>
        <v/>
      </c>
      <c r="Z635" s="9">
        <f>Y635*X635</f>
        <v/>
      </c>
      <c r="AA635" s="10">
        <f>IF(W635&gt;$AE$34,1,0)</f>
        <v/>
      </c>
      <c r="AB635">
        <f>IF(AA635=C635,1,0)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$AE$12+D636*$AE$13+E636*$AE$14+F636*$AE$15+G636*$AE$16+H636*$AE$17+I636*$AE$18+J636*$AE$19+K636*$AE$20+L636*$AE$21+M636*$AE$22+N636*$AE$23+O636*$AE$24+P636*$AE$25+Q636*$AE$26+R636*$AE$27+S636*$AE$28+T636*$AE$29+U636*$AE$30</f>
        <v/>
      </c>
      <c r="W636" s="8">
        <f>1/(1+EXP(-V636))</f>
        <v/>
      </c>
      <c r="X636" s="9">
        <f>-IF(C636=1,LN(W636),LN(1-W636))</f>
        <v/>
      </c>
      <c r="Y636" s="8">
        <f>IF(C636=1,$AE$32,$AE$33)</f>
        <v/>
      </c>
      <c r="Z636" s="9">
        <f>Y636*X636</f>
        <v/>
      </c>
      <c r="AA636" s="10">
        <f>IF(W636&gt;$AE$34,1,0)</f>
        <v/>
      </c>
      <c r="AB636">
        <f>IF(AA636=C636,1,0)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$AE$12+D637*$AE$13+E637*$AE$14+F637*$AE$15+G637*$AE$16+H637*$AE$17+I637*$AE$18+J637*$AE$19+K637*$AE$20+L637*$AE$21+M637*$AE$22+N637*$AE$23+O637*$AE$24+P637*$AE$25+Q637*$AE$26+R637*$AE$27+S637*$AE$28+T637*$AE$29+U637*$AE$30</f>
        <v/>
      </c>
      <c r="W637" s="8">
        <f>1/(1+EXP(-V637))</f>
        <v/>
      </c>
      <c r="X637" s="9">
        <f>-IF(C637=1,LN(W637),LN(1-W637))</f>
        <v/>
      </c>
      <c r="Y637" s="8">
        <f>IF(C637=1,$AE$32,$AE$33)</f>
        <v/>
      </c>
      <c r="Z637" s="9">
        <f>Y637*X637</f>
        <v/>
      </c>
      <c r="AA637" s="10">
        <f>IF(W637&gt;$AE$34,1,0)</f>
        <v/>
      </c>
      <c r="AB637">
        <f>IF(AA637=C637,1,0)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$AE$12+D638*$AE$13+E638*$AE$14+F638*$AE$15+G638*$AE$16+H638*$AE$17+I638*$AE$18+J638*$AE$19+K638*$AE$20+L638*$AE$21+M638*$AE$22+N638*$AE$23+O638*$AE$24+P638*$AE$25+Q638*$AE$26+R638*$AE$27+S638*$AE$28+T638*$AE$29+U638*$AE$30</f>
        <v/>
      </c>
      <c r="W638" s="8">
        <f>1/(1+EXP(-V638))</f>
        <v/>
      </c>
      <c r="X638" s="9">
        <f>-IF(C638=1,LN(W638),LN(1-W638))</f>
        <v/>
      </c>
      <c r="Y638" s="8">
        <f>IF(C638=1,$AE$32,$AE$33)</f>
        <v/>
      </c>
      <c r="Z638" s="9">
        <f>Y638*X638</f>
        <v/>
      </c>
      <c r="AA638" s="10">
        <f>IF(W638&gt;$AE$34,1,0)</f>
        <v/>
      </c>
      <c r="AB638">
        <f>IF(AA638=C638,1,0)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$AE$12+D639*$AE$13+E639*$AE$14+F639*$AE$15+G639*$AE$16+H639*$AE$17+I639*$AE$18+J639*$AE$19+K639*$AE$20+L639*$AE$21+M639*$AE$22+N639*$AE$23+O639*$AE$24+P639*$AE$25+Q639*$AE$26+R639*$AE$27+S639*$AE$28+T639*$AE$29+U639*$AE$30</f>
        <v/>
      </c>
      <c r="W639" s="8">
        <f>1/(1+EXP(-V639))</f>
        <v/>
      </c>
      <c r="X639" s="9">
        <f>-IF(C639=1,LN(W639),LN(1-W639))</f>
        <v/>
      </c>
      <c r="Y639" s="8">
        <f>IF(C639=1,$AE$32,$AE$33)</f>
        <v/>
      </c>
      <c r="Z639" s="9">
        <f>Y639*X639</f>
        <v/>
      </c>
      <c r="AA639" s="10">
        <f>IF(W639&gt;$AE$34,1,0)</f>
        <v/>
      </c>
      <c r="AB639">
        <f>IF(AA639=C639,1,0)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$AE$12+D640*$AE$13+E640*$AE$14+F640*$AE$15+G640*$AE$16+H640*$AE$17+I640*$AE$18+J640*$AE$19+K640*$AE$20+L640*$AE$21+M640*$AE$22+N640*$AE$23+O640*$AE$24+P640*$AE$25+Q640*$AE$26+R640*$AE$27+S640*$AE$28+T640*$AE$29+U640*$AE$30</f>
        <v/>
      </c>
      <c r="W640" s="8">
        <f>1/(1+EXP(-V640))</f>
        <v/>
      </c>
      <c r="X640" s="9">
        <f>-IF(C640=1,LN(W640),LN(1-W640))</f>
        <v/>
      </c>
      <c r="Y640" s="8">
        <f>IF(C640=1,$AE$32,$AE$33)</f>
        <v/>
      </c>
      <c r="Z640" s="9">
        <f>Y640*X640</f>
        <v/>
      </c>
      <c r="AA640" s="10">
        <f>IF(W640&gt;$AE$34,1,0)</f>
        <v/>
      </c>
      <c r="AB640">
        <f>IF(AA640=C640,1,0)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$AE$12+D641*$AE$13+E641*$AE$14+F641*$AE$15+G641*$AE$16+H641*$AE$17+I641*$AE$18+J641*$AE$19+K641*$AE$20+L641*$AE$21+M641*$AE$22+N641*$AE$23+O641*$AE$24+P641*$AE$25+Q641*$AE$26+R641*$AE$27+S641*$AE$28+T641*$AE$29+U641*$AE$30</f>
        <v/>
      </c>
      <c r="W641" s="8">
        <f>1/(1+EXP(-V641))</f>
        <v/>
      </c>
      <c r="X641" s="9">
        <f>-IF(C641=1,LN(W641),LN(1-W641))</f>
        <v/>
      </c>
      <c r="Y641" s="8">
        <f>IF(C641=1,$AE$32,$AE$33)</f>
        <v/>
      </c>
      <c r="Z641" s="9">
        <f>Y641*X641</f>
        <v/>
      </c>
      <c r="AA641" s="10">
        <f>IF(W641&gt;$AE$34,1,0)</f>
        <v/>
      </c>
      <c r="AB641">
        <f>IF(AA641=C641,1,0)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$AE$12+D642*$AE$13+E642*$AE$14+F642*$AE$15+G642*$AE$16+H642*$AE$17+I642*$AE$18+J642*$AE$19+K642*$AE$20+L642*$AE$21+M642*$AE$22+N642*$AE$23+O642*$AE$24+P642*$AE$25+Q642*$AE$26+R642*$AE$27+S642*$AE$28+T642*$AE$29+U642*$AE$30</f>
        <v/>
      </c>
      <c r="W642" s="8">
        <f>1/(1+EXP(-V642))</f>
        <v/>
      </c>
      <c r="X642" s="9">
        <f>-IF(C642=1,LN(W642),LN(1-W642))</f>
        <v/>
      </c>
      <c r="Y642" s="8">
        <f>IF(C642=1,$AE$32,$AE$33)</f>
        <v/>
      </c>
      <c r="Z642" s="9">
        <f>Y642*X642</f>
        <v/>
      </c>
      <c r="AA642" s="10">
        <f>IF(W642&gt;$AE$34,1,0)</f>
        <v/>
      </c>
      <c r="AB642">
        <f>IF(AA642=C642,1,0)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$AE$12+D643*$AE$13+E643*$AE$14+F643*$AE$15+G643*$AE$16+H643*$AE$17+I643*$AE$18+J643*$AE$19+K643*$AE$20+L643*$AE$21+M643*$AE$22+N643*$AE$23+O643*$AE$24+P643*$AE$25+Q643*$AE$26+R643*$AE$27+S643*$AE$28+T643*$AE$29+U643*$AE$30</f>
        <v/>
      </c>
      <c r="W643" s="8">
        <f>1/(1+EXP(-V643))</f>
        <v/>
      </c>
      <c r="X643" s="9">
        <f>-IF(C643=1,LN(W643),LN(1-W643))</f>
        <v/>
      </c>
      <c r="Y643" s="8">
        <f>IF(C643=1,$AE$32,$AE$33)</f>
        <v/>
      </c>
      <c r="Z643" s="9">
        <f>Y643*X643</f>
        <v/>
      </c>
      <c r="AA643" s="10">
        <f>IF(W643&gt;$AE$34,1,0)</f>
        <v/>
      </c>
      <c r="AB643">
        <f>IF(AA643=C643,1,0)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$AE$12+D644*$AE$13+E644*$AE$14+F644*$AE$15+G644*$AE$16+H644*$AE$17+I644*$AE$18+J644*$AE$19+K644*$AE$20+L644*$AE$21+M644*$AE$22+N644*$AE$23+O644*$AE$24+P644*$AE$25+Q644*$AE$26+R644*$AE$27+S644*$AE$28+T644*$AE$29+U644*$AE$30</f>
        <v/>
      </c>
      <c r="W644" s="8">
        <f>1/(1+EXP(-V644))</f>
        <v/>
      </c>
      <c r="X644" s="9">
        <f>-IF(C644=1,LN(W644),LN(1-W644))</f>
        <v/>
      </c>
      <c r="Y644" s="8">
        <f>IF(C644=1,$AE$32,$AE$33)</f>
        <v/>
      </c>
      <c r="Z644" s="9">
        <f>Y644*X644</f>
        <v/>
      </c>
      <c r="AA644" s="10">
        <f>IF(W644&gt;$AE$34,1,0)</f>
        <v/>
      </c>
      <c r="AB644">
        <f>IF(AA644=C644,1,0)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$AE$12+D645*$AE$13+E645*$AE$14+F645*$AE$15+G645*$AE$16+H645*$AE$17+I645*$AE$18+J645*$AE$19+K645*$AE$20+L645*$AE$21+M645*$AE$22+N645*$AE$23+O645*$AE$24+P645*$AE$25+Q645*$AE$26+R645*$AE$27+S645*$AE$28+T645*$AE$29+U645*$AE$30</f>
        <v/>
      </c>
      <c r="W645" s="8">
        <f>1/(1+EXP(-V645))</f>
        <v/>
      </c>
      <c r="X645" s="9">
        <f>-IF(C645=1,LN(W645),LN(1-W645))</f>
        <v/>
      </c>
      <c r="Y645" s="8">
        <f>IF(C645=1,$AE$32,$AE$33)</f>
        <v/>
      </c>
      <c r="Z645" s="9">
        <f>Y645*X645</f>
        <v/>
      </c>
      <c r="AA645" s="10">
        <f>IF(W645&gt;$AE$34,1,0)</f>
        <v/>
      </c>
      <c r="AB645">
        <f>IF(AA645=C645,1,0)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$AE$12+D646*$AE$13+E646*$AE$14+F646*$AE$15+G646*$AE$16+H646*$AE$17+I646*$AE$18+J646*$AE$19+K646*$AE$20+L646*$AE$21+M646*$AE$22+N646*$AE$23+O646*$AE$24+P646*$AE$25+Q646*$AE$26+R646*$AE$27+S646*$AE$28+T646*$AE$29+U646*$AE$30</f>
        <v/>
      </c>
      <c r="W646" s="8">
        <f>1/(1+EXP(-V646))</f>
        <v/>
      </c>
      <c r="X646" s="9">
        <f>-IF(C646=1,LN(W646),LN(1-W646))</f>
        <v/>
      </c>
      <c r="Y646" s="8">
        <f>IF(C646=1,$AE$32,$AE$33)</f>
        <v/>
      </c>
      <c r="Z646" s="9">
        <f>Y646*X646</f>
        <v/>
      </c>
      <c r="AA646" s="10">
        <f>IF(W646&gt;$AE$34,1,0)</f>
        <v/>
      </c>
      <c r="AB646">
        <f>IF(AA646=C646,1,0)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$AE$12+D647*$AE$13+E647*$AE$14+F647*$AE$15+G647*$AE$16+H647*$AE$17+I647*$AE$18+J647*$AE$19+K647*$AE$20+L647*$AE$21+M647*$AE$22+N647*$AE$23+O647*$AE$24+P647*$AE$25+Q647*$AE$26+R647*$AE$27+S647*$AE$28+T647*$AE$29+U647*$AE$30</f>
        <v/>
      </c>
      <c r="W647" s="8">
        <f>1/(1+EXP(-V647))</f>
        <v/>
      </c>
      <c r="X647" s="9">
        <f>-IF(C647=1,LN(W647),LN(1-W647))</f>
        <v/>
      </c>
      <c r="Y647" s="8">
        <f>IF(C647=1,$AE$32,$AE$33)</f>
        <v/>
      </c>
      <c r="Z647" s="9">
        <f>Y647*X647</f>
        <v/>
      </c>
      <c r="AA647" s="10">
        <f>IF(W647&gt;$AE$34,1,0)</f>
        <v/>
      </c>
      <c r="AB647">
        <f>IF(AA647=C647,1,0)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$AE$12+D648*$AE$13+E648*$AE$14+F648*$AE$15+G648*$AE$16+H648*$AE$17+I648*$AE$18+J648*$AE$19+K648*$AE$20+L648*$AE$21+M648*$AE$22+N648*$AE$23+O648*$AE$24+P648*$AE$25+Q648*$AE$26+R648*$AE$27+S648*$AE$28+T648*$AE$29+U648*$AE$30</f>
        <v/>
      </c>
      <c r="W648" s="8">
        <f>1/(1+EXP(-V648))</f>
        <v/>
      </c>
      <c r="X648" s="9">
        <f>-IF(C648=1,LN(W648),LN(1-W648))</f>
        <v/>
      </c>
      <c r="Y648" s="8">
        <f>IF(C648=1,$AE$32,$AE$33)</f>
        <v/>
      </c>
      <c r="Z648" s="9">
        <f>Y648*X648</f>
        <v/>
      </c>
      <c r="AA648" s="10">
        <f>IF(W648&gt;$AE$34,1,0)</f>
        <v/>
      </c>
      <c r="AB648">
        <f>IF(AA648=C648,1,0)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$AE$12+D649*$AE$13+E649*$AE$14+F649*$AE$15+G649*$AE$16+H649*$AE$17+I649*$AE$18+J649*$AE$19+K649*$AE$20+L649*$AE$21+M649*$AE$22+N649*$AE$23+O649*$AE$24+P649*$AE$25+Q649*$AE$26+R649*$AE$27+S649*$AE$28+T649*$AE$29+U649*$AE$30</f>
        <v/>
      </c>
      <c r="W649" s="8">
        <f>1/(1+EXP(-V649))</f>
        <v/>
      </c>
      <c r="X649" s="9">
        <f>-IF(C649=1,LN(W649),LN(1-W649))</f>
        <v/>
      </c>
      <c r="Y649" s="8">
        <f>IF(C649=1,$AE$32,$AE$33)</f>
        <v/>
      </c>
      <c r="Z649" s="9">
        <f>Y649*X649</f>
        <v/>
      </c>
      <c r="AA649" s="10">
        <f>IF(W649&gt;$AE$34,1,0)</f>
        <v/>
      </c>
      <c r="AB649">
        <f>IF(AA649=C649,1,0)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$AE$12+D650*$AE$13+E650*$AE$14+F650*$AE$15+G650*$AE$16+H650*$AE$17+I650*$AE$18+J650*$AE$19+K650*$AE$20+L650*$AE$21+M650*$AE$22+N650*$AE$23+O650*$AE$24+P650*$AE$25+Q650*$AE$26+R650*$AE$27+S650*$AE$28+T650*$AE$29+U650*$AE$30</f>
        <v/>
      </c>
      <c r="W650" s="8">
        <f>1/(1+EXP(-V650))</f>
        <v/>
      </c>
      <c r="X650" s="9">
        <f>-IF(C650=1,LN(W650),LN(1-W650))</f>
        <v/>
      </c>
      <c r="Y650" s="8">
        <f>IF(C650=1,$AE$32,$AE$33)</f>
        <v/>
      </c>
      <c r="Z650" s="9">
        <f>Y650*X650</f>
        <v/>
      </c>
      <c r="AA650" s="10">
        <f>IF(W650&gt;$AE$34,1,0)</f>
        <v/>
      </c>
      <c r="AB650">
        <f>IF(AA650=C650,1,0)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$AE$12+D651*$AE$13+E651*$AE$14+F651*$AE$15+G651*$AE$16+H651*$AE$17+I651*$AE$18+J651*$AE$19+K651*$AE$20+L651*$AE$21+M651*$AE$22+N651*$AE$23+O651*$AE$24+P651*$AE$25+Q651*$AE$26+R651*$AE$27+S651*$AE$28+T651*$AE$29+U651*$AE$30</f>
        <v/>
      </c>
      <c r="W651" s="8">
        <f>1/(1+EXP(-V651))</f>
        <v/>
      </c>
      <c r="X651" s="9">
        <f>-IF(C651=1,LN(W651),LN(1-W651))</f>
        <v/>
      </c>
      <c r="Y651" s="8">
        <f>IF(C651=1,$AE$32,$AE$33)</f>
        <v/>
      </c>
      <c r="Z651" s="9">
        <f>Y651*X651</f>
        <v/>
      </c>
      <c r="AA651" s="10">
        <f>IF(W651&gt;$AE$34,1,0)</f>
        <v/>
      </c>
      <c r="AB651">
        <f>IF(AA651=C651,1,0)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$AE$12+D652*$AE$13+E652*$AE$14+F652*$AE$15+G652*$AE$16+H652*$AE$17+I652*$AE$18+J652*$AE$19+K652*$AE$20+L652*$AE$21+M652*$AE$22+N652*$AE$23+O652*$AE$24+P652*$AE$25+Q652*$AE$26+R652*$AE$27+S652*$AE$28+T652*$AE$29+U652*$AE$30</f>
        <v/>
      </c>
      <c r="W652" s="8">
        <f>1/(1+EXP(-V652))</f>
        <v/>
      </c>
      <c r="X652" s="9">
        <f>-IF(C652=1,LN(W652),LN(1-W652))</f>
        <v/>
      </c>
      <c r="Y652" s="8">
        <f>IF(C652=1,$AE$32,$AE$33)</f>
        <v/>
      </c>
      <c r="Z652" s="9">
        <f>Y652*X652</f>
        <v/>
      </c>
      <c r="AA652" s="10">
        <f>IF(W652&gt;$AE$34,1,0)</f>
        <v/>
      </c>
      <c r="AB652">
        <f>IF(AA652=C652,1,0)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$AE$12+D653*$AE$13+E653*$AE$14+F653*$AE$15+G653*$AE$16+H653*$AE$17+I653*$AE$18+J653*$AE$19+K653*$AE$20+L653*$AE$21+M653*$AE$22+N653*$AE$23+O653*$AE$24+P653*$AE$25+Q653*$AE$26+R653*$AE$27+S653*$AE$28+T653*$AE$29+U653*$AE$30</f>
        <v/>
      </c>
      <c r="W653" s="8">
        <f>1/(1+EXP(-V653))</f>
        <v/>
      </c>
      <c r="X653" s="9">
        <f>-IF(C653=1,LN(W653),LN(1-W653))</f>
        <v/>
      </c>
      <c r="Y653" s="8">
        <f>IF(C653=1,$AE$32,$AE$33)</f>
        <v/>
      </c>
      <c r="Z653" s="9">
        <f>Y653*X653</f>
        <v/>
      </c>
      <c r="AA653" s="10">
        <f>IF(W653&gt;$AE$34,1,0)</f>
        <v/>
      </c>
      <c r="AB653">
        <f>IF(AA653=C653,1,0)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$AE$12+D654*$AE$13+E654*$AE$14+F654*$AE$15+G654*$AE$16+H654*$AE$17+I654*$AE$18+J654*$AE$19+K654*$AE$20+L654*$AE$21+M654*$AE$22+N654*$AE$23+O654*$AE$24+P654*$AE$25+Q654*$AE$26+R654*$AE$27+S654*$AE$28+T654*$AE$29+U654*$AE$30</f>
        <v/>
      </c>
      <c r="W654" s="8">
        <f>1/(1+EXP(-V654))</f>
        <v/>
      </c>
      <c r="X654" s="9">
        <f>-IF(C654=1,LN(W654),LN(1-W654))</f>
        <v/>
      </c>
      <c r="Y654" s="8">
        <f>IF(C654=1,$AE$32,$AE$33)</f>
        <v/>
      </c>
      <c r="Z654" s="9">
        <f>Y654*X654</f>
        <v/>
      </c>
      <c r="AA654" s="10">
        <f>IF(W654&gt;$AE$34,1,0)</f>
        <v/>
      </c>
      <c r="AB654">
        <f>IF(AA654=C654,1,0)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$AE$12+D655*$AE$13+E655*$AE$14+F655*$AE$15+G655*$AE$16+H655*$AE$17+I655*$AE$18+J655*$AE$19+K655*$AE$20+L655*$AE$21+M655*$AE$22+N655*$AE$23+O655*$AE$24+P655*$AE$25+Q655*$AE$26+R655*$AE$27+S655*$AE$28+T655*$AE$29+U655*$AE$30</f>
        <v/>
      </c>
      <c r="W655" s="8">
        <f>1/(1+EXP(-V655))</f>
        <v/>
      </c>
      <c r="X655" s="9">
        <f>-IF(C655=1,LN(W655),LN(1-W655))</f>
        <v/>
      </c>
      <c r="Y655" s="8">
        <f>IF(C655=1,$AE$32,$AE$33)</f>
        <v/>
      </c>
      <c r="Z655" s="9">
        <f>Y655*X655</f>
        <v/>
      </c>
      <c r="AA655" s="10">
        <f>IF(W655&gt;$AE$34,1,0)</f>
        <v/>
      </c>
      <c r="AB655">
        <f>IF(AA655=C655,1,0)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$AE$12+D656*$AE$13+E656*$AE$14+F656*$AE$15+G656*$AE$16+H656*$AE$17+I656*$AE$18+J656*$AE$19+K656*$AE$20+L656*$AE$21+M656*$AE$22+N656*$AE$23+O656*$AE$24+P656*$AE$25+Q656*$AE$26+R656*$AE$27+S656*$AE$28+T656*$AE$29+U656*$AE$30</f>
        <v/>
      </c>
      <c r="W656" s="8">
        <f>1/(1+EXP(-V656))</f>
        <v/>
      </c>
      <c r="X656" s="9">
        <f>-IF(C656=1,LN(W656),LN(1-W656))</f>
        <v/>
      </c>
      <c r="Y656" s="8">
        <f>IF(C656=1,$AE$32,$AE$33)</f>
        <v/>
      </c>
      <c r="Z656" s="9">
        <f>Y656*X656</f>
        <v/>
      </c>
      <c r="AA656" s="10">
        <f>IF(W656&gt;$AE$34,1,0)</f>
        <v/>
      </c>
      <c r="AB656">
        <f>IF(AA656=C656,1,0)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$AE$12+D657*$AE$13+E657*$AE$14+F657*$AE$15+G657*$AE$16+H657*$AE$17+I657*$AE$18+J657*$AE$19+K657*$AE$20+L657*$AE$21+M657*$AE$22+N657*$AE$23+O657*$AE$24+P657*$AE$25+Q657*$AE$26+R657*$AE$27+S657*$AE$28+T657*$AE$29+U657*$AE$30</f>
        <v/>
      </c>
      <c r="W657" s="8">
        <f>1/(1+EXP(-V657))</f>
        <v/>
      </c>
      <c r="X657" s="9">
        <f>-IF(C657=1,LN(W657),LN(1-W657))</f>
        <v/>
      </c>
      <c r="Y657" s="8">
        <f>IF(C657=1,$AE$32,$AE$33)</f>
        <v/>
      </c>
      <c r="Z657" s="9">
        <f>Y657*X657</f>
        <v/>
      </c>
      <c r="AA657" s="10">
        <f>IF(W657&gt;$AE$34,1,0)</f>
        <v/>
      </c>
      <c r="AB657">
        <f>IF(AA657=C657,1,0)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$AE$12+D658*$AE$13+E658*$AE$14+F658*$AE$15+G658*$AE$16+H658*$AE$17+I658*$AE$18+J658*$AE$19+K658*$AE$20+L658*$AE$21+M658*$AE$22+N658*$AE$23+O658*$AE$24+P658*$AE$25+Q658*$AE$26+R658*$AE$27+S658*$AE$28+T658*$AE$29+U658*$AE$30</f>
        <v/>
      </c>
      <c r="W658" s="8">
        <f>1/(1+EXP(-V658))</f>
        <v/>
      </c>
      <c r="X658" s="9">
        <f>-IF(C658=1,LN(W658),LN(1-W658))</f>
        <v/>
      </c>
      <c r="Y658" s="8">
        <f>IF(C658=1,$AE$32,$AE$33)</f>
        <v/>
      </c>
      <c r="Z658" s="9">
        <f>Y658*X658</f>
        <v/>
      </c>
      <c r="AA658" s="10">
        <f>IF(W658&gt;$AE$34,1,0)</f>
        <v/>
      </c>
      <c r="AB658">
        <f>IF(AA658=C658,1,0)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$AE$12+D659*$AE$13+E659*$AE$14+F659*$AE$15+G659*$AE$16+H659*$AE$17+I659*$AE$18+J659*$AE$19+K659*$AE$20+L659*$AE$21+M659*$AE$22+N659*$AE$23+O659*$AE$24+P659*$AE$25+Q659*$AE$26+R659*$AE$27+S659*$AE$28+T659*$AE$29+U659*$AE$30</f>
        <v/>
      </c>
      <c r="W659" s="8">
        <f>1/(1+EXP(-V659))</f>
        <v/>
      </c>
      <c r="X659" s="9">
        <f>-IF(C659=1,LN(W659),LN(1-W659))</f>
        <v/>
      </c>
      <c r="Y659" s="8">
        <f>IF(C659=1,$AE$32,$AE$33)</f>
        <v/>
      </c>
      <c r="Z659" s="9">
        <f>Y659*X659</f>
        <v/>
      </c>
      <c r="AA659" s="10">
        <f>IF(W659&gt;$AE$34,1,0)</f>
        <v/>
      </c>
      <c r="AB659">
        <f>IF(AA659=C659,1,0)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$AE$12+D660*$AE$13+E660*$AE$14+F660*$AE$15+G660*$AE$16+H660*$AE$17+I660*$AE$18+J660*$AE$19+K660*$AE$20+L660*$AE$21+M660*$AE$22+N660*$AE$23+O660*$AE$24+P660*$AE$25+Q660*$AE$26+R660*$AE$27+S660*$AE$28+T660*$AE$29+U660*$AE$30</f>
        <v/>
      </c>
      <c r="W660" s="8">
        <f>1/(1+EXP(-V660))</f>
        <v/>
      </c>
      <c r="X660" s="9">
        <f>-IF(C660=1,LN(W660),LN(1-W660))</f>
        <v/>
      </c>
      <c r="Y660" s="8">
        <f>IF(C660=1,$AE$32,$AE$33)</f>
        <v/>
      </c>
      <c r="Z660" s="9">
        <f>Y660*X660</f>
        <v/>
      </c>
      <c r="AA660" s="10">
        <f>IF(W660&gt;$AE$34,1,0)</f>
        <v/>
      </c>
      <c r="AB660">
        <f>IF(AA660=C660,1,0)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$AE$12+D661*$AE$13+E661*$AE$14+F661*$AE$15+G661*$AE$16+H661*$AE$17+I661*$AE$18+J661*$AE$19+K661*$AE$20+L661*$AE$21+M661*$AE$22+N661*$AE$23+O661*$AE$24+P661*$AE$25+Q661*$AE$26+R661*$AE$27+S661*$AE$28+T661*$AE$29+U661*$AE$30</f>
        <v/>
      </c>
      <c r="W661" s="8">
        <f>1/(1+EXP(-V661))</f>
        <v/>
      </c>
      <c r="X661" s="9">
        <f>-IF(C661=1,LN(W661),LN(1-W661))</f>
        <v/>
      </c>
      <c r="Y661" s="8">
        <f>IF(C661=1,$AE$32,$AE$33)</f>
        <v/>
      </c>
      <c r="Z661" s="9">
        <f>Y661*X661</f>
        <v/>
      </c>
      <c r="AA661" s="10">
        <f>IF(W661&gt;$AE$34,1,0)</f>
        <v/>
      </c>
      <c r="AB661">
        <f>IF(AA661=C661,1,0)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$AE$12+D662*$AE$13+E662*$AE$14+F662*$AE$15+G662*$AE$16+H662*$AE$17+I662*$AE$18+J662*$AE$19+K662*$AE$20+L662*$AE$21+M662*$AE$22+N662*$AE$23+O662*$AE$24+P662*$AE$25+Q662*$AE$26+R662*$AE$27+S662*$AE$28+T662*$AE$29+U662*$AE$30</f>
        <v/>
      </c>
      <c r="W662" s="8">
        <f>1/(1+EXP(-V662))</f>
        <v/>
      </c>
      <c r="X662" s="9">
        <f>-IF(C662=1,LN(W662),LN(1-W662))</f>
        <v/>
      </c>
      <c r="Y662" s="8">
        <f>IF(C662=1,$AE$32,$AE$33)</f>
        <v/>
      </c>
      <c r="Z662" s="9">
        <f>Y662*X662</f>
        <v/>
      </c>
      <c r="AA662" s="10">
        <f>IF(W662&gt;$AE$34,1,0)</f>
        <v/>
      </c>
      <c r="AB662">
        <f>IF(AA662=C662,1,0)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$AE$12+D663*$AE$13+E663*$AE$14+F663*$AE$15+G663*$AE$16+H663*$AE$17+I663*$AE$18+J663*$AE$19+K663*$AE$20+L663*$AE$21+M663*$AE$22+N663*$AE$23+O663*$AE$24+P663*$AE$25+Q663*$AE$26+R663*$AE$27+S663*$AE$28+T663*$AE$29+U663*$AE$30</f>
        <v/>
      </c>
      <c r="W663" s="8">
        <f>1/(1+EXP(-V663))</f>
        <v/>
      </c>
      <c r="X663" s="9">
        <f>-IF(C663=1,LN(W663),LN(1-W663))</f>
        <v/>
      </c>
      <c r="Y663" s="8">
        <f>IF(C663=1,$AE$32,$AE$33)</f>
        <v/>
      </c>
      <c r="Z663" s="9">
        <f>Y663*X663</f>
        <v/>
      </c>
      <c r="AA663" s="10">
        <f>IF(W663&gt;$AE$34,1,0)</f>
        <v/>
      </c>
      <c r="AB663">
        <f>IF(AA663=C663,1,0)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$AE$12+D664*$AE$13+E664*$AE$14+F664*$AE$15+G664*$AE$16+H664*$AE$17+I664*$AE$18+J664*$AE$19+K664*$AE$20+L664*$AE$21+M664*$AE$22+N664*$AE$23+O664*$AE$24+P664*$AE$25+Q664*$AE$26+R664*$AE$27+S664*$AE$28+T664*$AE$29+U664*$AE$30</f>
        <v/>
      </c>
      <c r="W664" s="8">
        <f>1/(1+EXP(-V664))</f>
        <v/>
      </c>
      <c r="X664" s="9">
        <f>-IF(C664=1,LN(W664),LN(1-W664))</f>
        <v/>
      </c>
      <c r="Y664" s="8">
        <f>IF(C664=1,$AE$32,$AE$33)</f>
        <v/>
      </c>
      <c r="Z664" s="9">
        <f>Y664*X664</f>
        <v/>
      </c>
      <c r="AA664" s="10">
        <f>IF(W664&gt;$AE$34,1,0)</f>
        <v/>
      </c>
      <c r="AB664">
        <f>IF(AA664=C664,1,0)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$AE$12+D665*$AE$13+E665*$AE$14+F665*$AE$15+G665*$AE$16+H665*$AE$17+I665*$AE$18+J665*$AE$19+K665*$AE$20+L665*$AE$21+M665*$AE$22+N665*$AE$23+O665*$AE$24+P665*$AE$25+Q665*$AE$26+R665*$AE$27+S665*$AE$28+T665*$AE$29+U665*$AE$30</f>
        <v/>
      </c>
      <c r="W665" s="8">
        <f>1/(1+EXP(-V665))</f>
        <v/>
      </c>
      <c r="X665" s="9">
        <f>-IF(C665=1,LN(W665),LN(1-W665))</f>
        <v/>
      </c>
      <c r="Y665" s="8">
        <f>IF(C665=1,$AE$32,$AE$33)</f>
        <v/>
      </c>
      <c r="Z665" s="9">
        <f>Y665*X665</f>
        <v/>
      </c>
      <c r="AA665" s="10">
        <f>IF(W665&gt;$AE$34,1,0)</f>
        <v/>
      </c>
      <c r="AB665">
        <f>IF(AA665=C665,1,0)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$AE$12+D666*$AE$13+E666*$AE$14+F666*$AE$15+G666*$AE$16+H666*$AE$17+I666*$AE$18+J666*$AE$19+K666*$AE$20+L666*$AE$21+M666*$AE$22+N666*$AE$23+O666*$AE$24+P666*$AE$25+Q666*$AE$26+R666*$AE$27+S666*$AE$28+T666*$AE$29+U666*$AE$30</f>
        <v/>
      </c>
      <c r="W666" s="8">
        <f>1/(1+EXP(-V666))</f>
        <v/>
      </c>
      <c r="X666" s="9">
        <f>-IF(C666=1,LN(W666),LN(1-W666))</f>
        <v/>
      </c>
      <c r="Y666" s="8">
        <f>IF(C666=1,$AE$32,$AE$33)</f>
        <v/>
      </c>
      <c r="Z666" s="9">
        <f>Y666*X666</f>
        <v/>
      </c>
      <c r="AA666" s="10">
        <f>IF(W666&gt;$AE$34,1,0)</f>
        <v/>
      </c>
      <c r="AB666">
        <f>IF(AA666=C666,1,0)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$AE$12+D667*$AE$13+E667*$AE$14+F667*$AE$15+G667*$AE$16+H667*$AE$17+I667*$AE$18+J667*$AE$19+K667*$AE$20+L667*$AE$21+M667*$AE$22+N667*$AE$23+O667*$AE$24+P667*$AE$25+Q667*$AE$26+R667*$AE$27+S667*$AE$28+T667*$AE$29+U667*$AE$30</f>
        <v/>
      </c>
      <c r="W667" s="8">
        <f>1/(1+EXP(-V667))</f>
        <v/>
      </c>
      <c r="X667" s="9">
        <f>-IF(C667=1,LN(W667),LN(1-W667))</f>
        <v/>
      </c>
      <c r="Y667" s="8">
        <f>IF(C667=1,$AE$32,$AE$33)</f>
        <v/>
      </c>
      <c r="Z667" s="9">
        <f>Y667*X667</f>
        <v/>
      </c>
      <c r="AA667" s="10">
        <f>IF(W667&gt;$AE$34,1,0)</f>
        <v/>
      </c>
      <c r="AB667">
        <f>IF(AA667=C667,1,0)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$AE$12+D668*$AE$13+E668*$AE$14+F668*$AE$15+G668*$AE$16+H668*$AE$17+I668*$AE$18+J668*$AE$19+K668*$AE$20+L668*$AE$21+M668*$AE$22+N668*$AE$23+O668*$AE$24+P668*$AE$25+Q668*$AE$26+R668*$AE$27+S668*$AE$28+T668*$AE$29+U668*$AE$30</f>
        <v/>
      </c>
      <c r="W668" s="8">
        <f>1/(1+EXP(-V668))</f>
        <v/>
      </c>
      <c r="X668" s="9">
        <f>-IF(C668=1,LN(W668),LN(1-W668))</f>
        <v/>
      </c>
      <c r="Y668" s="8">
        <f>IF(C668=1,$AE$32,$AE$33)</f>
        <v/>
      </c>
      <c r="Z668" s="9">
        <f>Y668*X668</f>
        <v/>
      </c>
      <c r="AA668" s="10">
        <f>IF(W668&gt;$AE$34,1,0)</f>
        <v/>
      </c>
      <c r="AB668">
        <f>IF(AA668=C668,1,0)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$AE$12+D669*$AE$13+E669*$AE$14+F669*$AE$15+G669*$AE$16+H669*$AE$17+I669*$AE$18+J669*$AE$19+K669*$AE$20+L669*$AE$21+M669*$AE$22+N669*$AE$23+O669*$AE$24+P669*$AE$25+Q669*$AE$26+R669*$AE$27+S669*$AE$28+T669*$AE$29+U669*$AE$30</f>
        <v/>
      </c>
      <c r="W669" s="8">
        <f>1/(1+EXP(-V669))</f>
        <v/>
      </c>
      <c r="X669" s="9">
        <f>-IF(C669=1,LN(W669),LN(1-W669))</f>
        <v/>
      </c>
      <c r="Y669" s="8">
        <f>IF(C669=1,$AE$32,$AE$33)</f>
        <v/>
      </c>
      <c r="Z669" s="9">
        <f>Y669*X669</f>
        <v/>
      </c>
      <c r="AA669" s="10">
        <f>IF(W669&gt;$AE$34,1,0)</f>
        <v/>
      </c>
      <c r="AB669">
        <f>IF(AA669=C669,1,0)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$AE$12+D670*$AE$13+E670*$AE$14+F670*$AE$15+G670*$AE$16+H670*$AE$17+I670*$AE$18+J670*$AE$19+K670*$AE$20+L670*$AE$21+M670*$AE$22+N670*$AE$23+O670*$AE$24+P670*$AE$25+Q670*$AE$26+R670*$AE$27+S670*$AE$28+T670*$AE$29+U670*$AE$30</f>
        <v/>
      </c>
      <c r="W670" s="8">
        <f>1/(1+EXP(-V670))</f>
        <v/>
      </c>
      <c r="X670" s="9">
        <f>-IF(C670=1,LN(W670),LN(1-W670))</f>
        <v/>
      </c>
      <c r="Y670" s="8">
        <f>IF(C670=1,$AE$32,$AE$33)</f>
        <v/>
      </c>
      <c r="Z670" s="9">
        <f>Y670*X670</f>
        <v/>
      </c>
      <c r="AA670" s="10">
        <f>IF(W670&gt;$AE$34,1,0)</f>
        <v/>
      </c>
      <c r="AB670">
        <f>IF(AA670=C670,1,0)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$AE$12+D671*$AE$13+E671*$AE$14+F671*$AE$15+G671*$AE$16+H671*$AE$17+I671*$AE$18+J671*$AE$19+K671*$AE$20+L671*$AE$21+M671*$AE$22+N671*$AE$23+O671*$AE$24+P671*$AE$25+Q671*$AE$26+R671*$AE$27+S671*$AE$28+T671*$AE$29+U671*$AE$30</f>
        <v/>
      </c>
      <c r="W671" s="8">
        <f>1/(1+EXP(-V671))</f>
        <v/>
      </c>
      <c r="X671" s="9">
        <f>-IF(C671=1,LN(W671),LN(1-W671))</f>
        <v/>
      </c>
      <c r="Y671" s="8">
        <f>IF(C671=1,$AE$32,$AE$33)</f>
        <v/>
      </c>
      <c r="Z671" s="9">
        <f>Y671*X671</f>
        <v/>
      </c>
      <c r="AA671" s="10">
        <f>IF(W671&gt;$AE$34,1,0)</f>
        <v/>
      </c>
      <c r="AB671">
        <f>IF(AA671=C671,1,0)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$AE$12+D672*$AE$13+E672*$AE$14+F672*$AE$15+G672*$AE$16+H672*$AE$17+I672*$AE$18+J672*$AE$19+K672*$AE$20+L672*$AE$21+M672*$AE$22+N672*$AE$23+O672*$AE$24+P672*$AE$25+Q672*$AE$26+R672*$AE$27+S672*$AE$28+T672*$AE$29+U672*$AE$30</f>
        <v/>
      </c>
      <c r="W672" s="8">
        <f>1/(1+EXP(-V672))</f>
        <v/>
      </c>
      <c r="X672" s="9">
        <f>-IF(C672=1,LN(W672),LN(1-W672))</f>
        <v/>
      </c>
      <c r="Y672" s="8">
        <f>IF(C672=1,$AE$32,$AE$33)</f>
        <v/>
      </c>
      <c r="Z672" s="9">
        <f>Y672*X672</f>
        <v/>
      </c>
      <c r="AA672" s="10">
        <f>IF(W672&gt;$AE$34,1,0)</f>
        <v/>
      </c>
      <c r="AB672">
        <f>IF(AA672=C672,1,0)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$AE$12+D673*$AE$13+E673*$AE$14+F673*$AE$15+G673*$AE$16+H673*$AE$17+I673*$AE$18+J673*$AE$19+K673*$AE$20+L673*$AE$21+M673*$AE$22+N673*$AE$23+O673*$AE$24+P673*$AE$25+Q673*$AE$26+R673*$AE$27+S673*$AE$28+T673*$AE$29+U673*$AE$30</f>
        <v/>
      </c>
      <c r="W673" s="8">
        <f>1/(1+EXP(-V673))</f>
        <v/>
      </c>
      <c r="X673" s="9">
        <f>-IF(C673=1,LN(W673),LN(1-W673))</f>
        <v/>
      </c>
      <c r="Y673" s="8">
        <f>IF(C673=1,$AE$32,$AE$33)</f>
        <v/>
      </c>
      <c r="Z673" s="9">
        <f>Y673*X673</f>
        <v/>
      </c>
      <c r="AA673" s="10">
        <f>IF(W673&gt;$AE$34,1,0)</f>
        <v/>
      </c>
      <c r="AB673">
        <f>IF(AA673=C673,1,0)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$AE$12+D674*$AE$13+E674*$AE$14+F674*$AE$15+G674*$AE$16+H674*$AE$17+I674*$AE$18+J674*$AE$19+K674*$AE$20+L674*$AE$21+M674*$AE$22+N674*$AE$23+O674*$AE$24+P674*$AE$25+Q674*$AE$26+R674*$AE$27+S674*$AE$28+T674*$AE$29+U674*$AE$30</f>
        <v/>
      </c>
      <c r="W674" s="8">
        <f>1/(1+EXP(-V674))</f>
        <v/>
      </c>
      <c r="X674" s="9">
        <f>-IF(C674=1,LN(W674),LN(1-W674))</f>
        <v/>
      </c>
      <c r="Y674" s="8">
        <f>IF(C674=1,$AE$32,$AE$33)</f>
        <v/>
      </c>
      <c r="Z674" s="9">
        <f>Y674*X674</f>
        <v/>
      </c>
      <c r="AA674" s="10">
        <f>IF(W674&gt;$AE$34,1,0)</f>
        <v/>
      </c>
      <c r="AB674">
        <f>IF(AA674=C674,1,0)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$AE$12+D675*$AE$13+E675*$AE$14+F675*$AE$15+G675*$AE$16+H675*$AE$17+I675*$AE$18+J675*$AE$19+K675*$AE$20+L675*$AE$21+M675*$AE$22+N675*$AE$23+O675*$AE$24+P675*$AE$25+Q675*$AE$26+R675*$AE$27+S675*$AE$28+T675*$AE$29+U675*$AE$30</f>
        <v/>
      </c>
      <c r="W675" s="8">
        <f>1/(1+EXP(-V675))</f>
        <v/>
      </c>
      <c r="X675" s="9">
        <f>-IF(C675=1,LN(W675),LN(1-W675))</f>
        <v/>
      </c>
      <c r="Y675" s="8">
        <f>IF(C675=1,$AE$32,$AE$33)</f>
        <v/>
      </c>
      <c r="Z675" s="9">
        <f>Y675*X675</f>
        <v/>
      </c>
      <c r="AA675" s="10">
        <f>IF(W675&gt;$AE$34,1,0)</f>
        <v/>
      </c>
      <c r="AB675">
        <f>IF(AA675=C675,1,0)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$AE$12+D676*$AE$13+E676*$AE$14+F676*$AE$15+G676*$AE$16+H676*$AE$17+I676*$AE$18+J676*$AE$19+K676*$AE$20+L676*$AE$21+M676*$AE$22+N676*$AE$23+O676*$AE$24+P676*$AE$25+Q676*$AE$26+R676*$AE$27+S676*$AE$28+T676*$AE$29+U676*$AE$30</f>
        <v/>
      </c>
      <c r="W676" s="8">
        <f>1/(1+EXP(-V676))</f>
        <v/>
      </c>
      <c r="X676" s="9">
        <f>-IF(C676=1,LN(W676),LN(1-W676))</f>
        <v/>
      </c>
      <c r="Y676" s="8">
        <f>IF(C676=1,$AE$32,$AE$33)</f>
        <v/>
      </c>
      <c r="Z676" s="9">
        <f>Y676*X676</f>
        <v/>
      </c>
      <c r="AA676" s="10">
        <f>IF(W676&gt;$AE$34,1,0)</f>
        <v/>
      </c>
      <c r="AB676">
        <f>IF(AA676=C676,1,0)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$AE$12+D677*$AE$13+E677*$AE$14+F677*$AE$15+G677*$AE$16+H677*$AE$17+I677*$AE$18+J677*$AE$19+K677*$AE$20+L677*$AE$21+M677*$AE$22+N677*$AE$23+O677*$AE$24+P677*$AE$25+Q677*$AE$26+R677*$AE$27+S677*$AE$28+T677*$AE$29+U677*$AE$30</f>
        <v/>
      </c>
      <c r="W677" s="8">
        <f>1/(1+EXP(-V677))</f>
        <v/>
      </c>
      <c r="X677" s="9">
        <f>-IF(C677=1,LN(W677),LN(1-W677))</f>
        <v/>
      </c>
      <c r="Y677" s="8">
        <f>IF(C677=1,$AE$32,$AE$33)</f>
        <v/>
      </c>
      <c r="Z677" s="9">
        <f>Y677*X677</f>
        <v/>
      </c>
      <c r="AA677" s="10">
        <f>IF(W677&gt;$AE$34,1,0)</f>
        <v/>
      </c>
      <c r="AB677">
        <f>IF(AA677=C677,1,0)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$AE$12+D678*$AE$13+E678*$AE$14+F678*$AE$15+G678*$AE$16+H678*$AE$17+I678*$AE$18+J678*$AE$19+K678*$AE$20+L678*$AE$21+M678*$AE$22+N678*$AE$23+O678*$AE$24+P678*$AE$25+Q678*$AE$26+R678*$AE$27+S678*$AE$28+T678*$AE$29+U678*$AE$30</f>
        <v/>
      </c>
      <c r="W678" s="8">
        <f>1/(1+EXP(-V678))</f>
        <v/>
      </c>
      <c r="X678" s="9">
        <f>-IF(C678=1,LN(W678),LN(1-W678))</f>
        <v/>
      </c>
      <c r="Y678" s="8">
        <f>IF(C678=1,$AE$32,$AE$33)</f>
        <v/>
      </c>
      <c r="Z678" s="9">
        <f>Y678*X678</f>
        <v/>
      </c>
      <c r="AA678" s="10">
        <f>IF(W678&gt;$AE$34,1,0)</f>
        <v/>
      </c>
      <c r="AB678">
        <f>IF(AA678=C678,1,0)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$AE$12+D679*$AE$13+E679*$AE$14+F679*$AE$15+G679*$AE$16+H679*$AE$17+I679*$AE$18+J679*$AE$19+K679*$AE$20+L679*$AE$21+M679*$AE$22+N679*$AE$23+O679*$AE$24+P679*$AE$25+Q679*$AE$26+R679*$AE$27+S679*$AE$28+T679*$AE$29+U679*$AE$30</f>
        <v/>
      </c>
      <c r="W679" s="8">
        <f>1/(1+EXP(-V679))</f>
        <v/>
      </c>
      <c r="X679" s="9">
        <f>-IF(C679=1,LN(W679),LN(1-W679))</f>
        <v/>
      </c>
      <c r="Y679" s="8">
        <f>IF(C679=1,$AE$32,$AE$33)</f>
        <v/>
      </c>
      <c r="Z679" s="9">
        <f>Y679*X679</f>
        <v/>
      </c>
      <c r="AA679" s="10">
        <f>IF(W679&gt;$AE$34,1,0)</f>
        <v/>
      </c>
      <c r="AB679">
        <f>IF(AA679=C679,1,0)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$AE$12+D680*$AE$13+E680*$AE$14+F680*$AE$15+G680*$AE$16+H680*$AE$17+I680*$AE$18+J680*$AE$19+K680*$AE$20+L680*$AE$21+M680*$AE$22+N680*$AE$23+O680*$AE$24+P680*$AE$25+Q680*$AE$26+R680*$AE$27+S680*$AE$28+T680*$AE$29+U680*$AE$30</f>
        <v/>
      </c>
      <c r="W680" s="8">
        <f>1/(1+EXP(-V680))</f>
        <v/>
      </c>
      <c r="X680" s="9">
        <f>-IF(C680=1,LN(W680),LN(1-W680))</f>
        <v/>
      </c>
      <c r="Y680" s="8">
        <f>IF(C680=1,$AE$32,$AE$33)</f>
        <v/>
      </c>
      <c r="Z680" s="9">
        <f>Y680*X680</f>
        <v/>
      </c>
      <c r="AA680" s="10">
        <f>IF(W680&gt;$AE$34,1,0)</f>
        <v/>
      </c>
      <c r="AB680">
        <f>IF(AA680=C680,1,0)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$AE$12+D681*$AE$13+E681*$AE$14+F681*$AE$15+G681*$AE$16+H681*$AE$17+I681*$AE$18+J681*$AE$19+K681*$AE$20+L681*$AE$21+M681*$AE$22+N681*$AE$23+O681*$AE$24+P681*$AE$25+Q681*$AE$26+R681*$AE$27+S681*$AE$28+T681*$AE$29+U681*$AE$30</f>
        <v/>
      </c>
      <c r="W681" s="8">
        <f>1/(1+EXP(-V681))</f>
        <v/>
      </c>
      <c r="X681" s="9">
        <f>-IF(C681=1,LN(W681),LN(1-W681))</f>
        <v/>
      </c>
      <c r="Y681" s="8">
        <f>IF(C681=1,$AE$32,$AE$33)</f>
        <v/>
      </c>
      <c r="Z681" s="9">
        <f>Y681*X681</f>
        <v/>
      </c>
      <c r="AA681" s="10">
        <f>IF(W681&gt;$AE$34,1,0)</f>
        <v/>
      </c>
      <c r="AB681">
        <f>IF(AA681=C681,1,0)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$AE$12+D682*$AE$13+E682*$AE$14+F682*$AE$15+G682*$AE$16+H682*$AE$17+I682*$AE$18+J682*$AE$19+K682*$AE$20+L682*$AE$21+M682*$AE$22+N682*$AE$23+O682*$AE$24+P682*$AE$25+Q682*$AE$26+R682*$AE$27+S682*$AE$28+T682*$AE$29+U682*$AE$30</f>
        <v/>
      </c>
      <c r="W682" s="8">
        <f>1/(1+EXP(-V682))</f>
        <v/>
      </c>
      <c r="X682" s="9">
        <f>-IF(C682=1,LN(W682),LN(1-W682))</f>
        <v/>
      </c>
      <c r="Y682" s="8">
        <f>IF(C682=1,$AE$32,$AE$33)</f>
        <v/>
      </c>
      <c r="Z682" s="9">
        <f>Y682*X682</f>
        <v/>
      </c>
      <c r="AA682" s="10">
        <f>IF(W682&gt;$AE$34,1,0)</f>
        <v/>
      </c>
      <c r="AB682">
        <f>IF(AA682=C682,1,0)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$AE$12+D683*$AE$13+E683*$AE$14+F683*$AE$15+G683*$AE$16+H683*$AE$17+I683*$AE$18+J683*$AE$19+K683*$AE$20+L683*$AE$21+M683*$AE$22+N683*$AE$23+O683*$AE$24+P683*$AE$25+Q683*$AE$26+R683*$AE$27+S683*$AE$28+T683*$AE$29+U683*$AE$30</f>
        <v/>
      </c>
      <c r="W683" s="8">
        <f>1/(1+EXP(-V683))</f>
        <v/>
      </c>
      <c r="X683" s="9">
        <f>-IF(C683=1,LN(W683),LN(1-W683))</f>
        <v/>
      </c>
      <c r="Y683" s="8">
        <f>IF(C683=1,$AE$32,$AE$33)</f>
        <v/>
      </c>
      <c r="Z683" s="9">
        <f>Y683*X683</f>
        <v/>
      </c>
      <c r="AA683" s="10">
        <f>IF(W683&gt;$AE$34,1,0)</f>
        <v/>
      </c>
      <c r="AB683">
        <f>IF(AA683=C683,1,0)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$AE$12+D684*$AE$13+E684*$AE$14+F684*$AE$15+G684*$AE$16+H684*$AE$17+I684*$AE$18+J684*$AE$19+K684*$AE$20+L684*$AE$21+M684*$AE$22+N684*$AE$23+O684*$AE$24+P684*$AE$25+Q684*$AE$26+R684*$AE$27+S684*$AE$28+T684*$AE$29+U684*$AE$30</f>
        <v/>
      </c>
      <c r="W684" s="8">
        <f>1/(1+EXP(-V684))</f>
        <v/>
      </c>
      <c r="X684" s="9">
        <f>-IF(C684=1,LN(W684),LN(1-W684))</f>
        <v/>
      </c>
      <c r="Y684" s="8">
        <f>IF(C684=1,$AE$32,$AE$33)</f>
        <v/>
      </c>
      <c r="Z684" s="9">
        <f>Y684*X684</f>
        <v/>
      </c>
      <c r="AA684" s="10">
        <f>IF(W684&gt;$AE$34,1,0)</f>
        <v/>
      </c>
      <c r="AB684">
        <f>IF(AA684=C684,1,0)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$AE$12+D685*$AE$13+E685*$AE$14+F685*$AE$15+G685*$AE$16+H685*$AE$17+I685*$AE$18+J685*$AE$19+K685*$AE$20+L685*$AE$21+M685*$AE$22+N685*$AE$23+O685*$AE$24+P685*$AE$25+Q685*$AE$26+R685*$AE$27+S685*$AE$28+T685*$AE$29+U685*$AE$30</f>
        <v/>
      </c>
      <c r="W685" s="8">
        <f>1/(1+EXP(-V685))</f>
        <v/>
      </c>
      <c r="X685" s="9">
        <f>-IF(C685=1,LN(W685),LN(1-W685))</f>
        <v/>
      </c>
      <c r="Y685" s="8">
        <f>IF(C685=1,$AE$32,$AE$33)</f>
        <v/>
      </c>
      <c r="Z685" s="9">
        <f>Y685*X685</f>
        <v/>
      </c>
      <c r="AA685" s="10">
        <f>IF(W685&gt;$AE$34,1,0)</f>
        <v/>
      </c>
      <c r="AB685">
        <f>IF(AA685=C685,1,0)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$AE$12+D686*$AE$13+E686*$AE$14+F686*$AE$15+G686*$AE$16+H686*$AE$17+I686*$AE$18+J686*$AE$19+K686*$AE$20+L686*$AE$21+M686*$AE$22+N686*$AE$23+O686*$AE$24+P686*$AE$25+Q686*$AE$26+R686*$AE$27+S686*$AE$28+T686*$AE$29+U686*$AE$30</f>
        <v/>
      </c>
      <c r="W686" s="8">
        <f>1/(1+EXP(-V686))</f>
        <v/>
      </c>
      <c r="X686" s="9">
        <f>-IF(C686=1,LN(W686),LN(1-W686))</f>
        <v/>
      </c>
      <c r="Y686" s="8">
        <f>IF(C686=1,$AE$32,$AE$33)</f>
        <v/>
      </c>
      <c r="Z686" s="9">
        <f>Y686*X686</f>
        <v/>
      </c>
      <c r="AA686" s="10">
        <f>IF(W686&gt;$AE$34,1,0)</f>
        <v/>
      </c>
      <c r="AB686">
        <f>IF(AA686=C686,1,0)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$AE$12+D687*$AE$13+E687*$AE$14+F687*$AE$15+G687*$AE$16+H687*$AE$17+I687*$AE$18+J687*$AE$19+K687*$AE$20+L687*$AE$21+M687*$AE$22+N687*$AE$23+O687*$AE$24+P687*$AE$25+Q687*$AE$26+R687*$AE$27+S687*$AE$28+T687*$AE$29+U687*$AE$30</f>
        <v/>
      </c>
      <c r="W687" s="8">
        <f>1/(1+EXP(-V687))</f>
        <v/>
      </c>
      <c r="X687" s="9">
        <f>-IF(C687=1,LN(W687),LN(1-W687))</f>
        <v/>
      </c>
      <c r="Y687" s="8">
        <f>IF(C687=1,$AE$32,$AE$33)</f>
        <v/>
      </c>
      <c r="Z687" s="9">
        <f>Y687*X687</f>
        <v/>
      </c>
      <c r="AA687" s="10">
        <f>IF(W687&gt;$AE$34,1,0)</f>
        <v/>
      </c>
      <c r="AB687">
        <f>IF(AA687=C687,1,0)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$AE$12+D688*$AE$13+E688*$AE$14+F688*$AE$15+G688*$AE$16+H688*$AE$17+I688*$AE$18+J688*$AE$19+K688*$AE$20+L688*$AE$21+M688*$AE$22+N688*$AE$23+O688*$AE$24+P688*$AE$25+Q688*$AE$26+R688*$AE$27+S688*$AE$28+T688*$AE$29+U688*$AE$30</f>
        <v/>
      </c>
      <c r="W688" s="8">
        <f>1/(1+EXP(-V688))</f>
        <v/>
      </c>
      <c r="X688" s="9">
        <f>-IF(C688=1,LN(W688),LN(1-W688))</f>
        <v/>
      </c>
      <c r="Y688" s="8">
        <f>IF(C688=1,$AE$32,$AE$33)</f>
        <v/>
      </c>
      <c r="Z688" s="9">
        <f>Y688*X688</f>
        <v/>
      </c>
      <c r="AA688" s="10">
        <f>IF(W688&gt;$AE$34,1,0)</f>
        <v/>
      </c>
      <c r="AB688">
        <f>IF(AA688=C688,1,0)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$AE$12+D689*$AE$13+E689*$AE$14+F689*$AE$15+G689*$AE$16+H689*$AE$17+I689*$AE$18+J689*$AE$19+K689*$AE$20+L689*$AE$21+M689*$AE$22+N689*$AE$23+O689*$AE$24+P689*$AE$25+Q689*$AE$26+R689*$AE$27+S689*$AE$28+T689*$AE$29+U689*$AE$30</f>
        <v/>
      </c>
      <c r="W689" s="8">
        <f>1/(1+EXP(-V689))</f>
        <v/>
      </c>
      <c r="X689" s="9">
        <f>-IF(C689=1,LN(W689),LN(1-W689))</f>
        <v/>
      </c>
      <c r="Y689" s="8">
        <f>IF(C689=1,$AE$32,$AE$33)</f>
        <v/>
      </c>
      <c r="Z689" s="9">
        <f>Y689*X689</f>
        <v/>
      </c>
      <c r="AA689" s="10">
        <f>IF(W689&gt;$AE$34,1,0)</f>
        <v/>
      </c>
      <c r="AB689">
        <f>IF(AA689=C689,1,0)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$AE$12+D690*$AE$13+E690*$AE$14+F690*$AE$15+G690*$AE$16+H690*$AE$17+I690*$AE$18+J690*$AE$19+K690*$AE$20+L690*$AE$21+M690*$AE$22+N690*$AE$23+O690*$AE$24+P690*$AE$25+Q690*$AE$26+R690*$AE$27+S690*$AE$28+T690*$AE$29+U690*$AE$30</f>
        <v/>
      </c>
      <c r="W690" s="8">
        <f>1/(1+EXP(-V690))</f>
        <v/>
      </c>
      <c r="X690" s="9">
        <f>-IF(C690=1,LN(W690),LN(1-W690))</f>
        <v/>
      </c>
      <c r="Y690" s="8">
        <f>IF(C690=1,$AE$32,$AE$33)</f>
        <v/>
      </c>
      <c r="Z690" s="9">
        <f>Y690*X690</f>
        <v/>
      </c>
      <c r="AA690" s="10">
        <f>IF(W690&gt;$AE$34,1,0)</f>
        <v/>
      </c>
      <c r="AB690">
        <f>IF(AA690=C690,1,0)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$AE$12+D691*$AE$13+E691*$AE$14+F691*$AE$15+G691*$AE$16+H691*$AE$17+I691*$AE$18+J691*$AE$19+K691*$AE$20+L691*$AE$21+M691*$AE$22+N691*$AE$23+O691*$AE$24+P691*$AE$25+Q691*$AE$26+R691*$AE$27+S691*$AE$28+T691*$AE$29+U691*$AE$30</f>
        <v/>
      </c>
      <c r="W691" s="8">
        <f>1/(1+EXP(-V691))</f>
        <v/>
      </c>
      <c r="X691" s="9">
        <f>-IF(C691=1,LN(W691),LN(1-W691))</f>
        <v/>
      </c>
      <c r="Y691" s="8">
        <f>IF(C691=1,$AE$32,$AE$33)</f>
        <v/>
      </c>
      <c r="Z691" s="9">
        <f>Y691*X691</f>
        <v/>
      </c>
      <c r="AA691" s="10">
        <f>IF(W691&gt;$AE$34,1,0)</f>
        <v/>
      </c>
      <c r="AB691">
        <f>IF(AA691=C691,1,0)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$AE$12+D692*$AE$13+E692*$AE$14+F692*$AE$15+G692*$AE$16+H692*$AE$17+I692*$AE$18+J692*$AE$19+K692*$AE$20+L692*$AE$21+M692*$AE$22+N692*$AE$23+O692*$AE$24+P692*$AE$25+Q692*$AE$26+R692*$AE$27+S692*$AE$28+T692*$AE$29+U692*$AE$30</f>
        <v/>
      </c>
      <c r="W692" s="8">
        <f>1/(1+EXP(-V692))</f>
        <v/>
      </c>
      <c r="X692" s="9">
        <f>-IF(C692=1,LN(W692),LN(1-W692))</f>
        <v/>
      </c>
      <c r="Y692" s="8">
        <f>IF(C692=1,$AE$32,$AE$33)</f>
        <v/>
      </c>
      <c r="Z692" s="9">
        <f>Y692*X692</f>
        <v/>
      </c>
      <c r="AA692" s="10">
        <f>IF(W692&gt;$AE$34,1,0)</f>
        <v/>
      </c>
      <c r="AB692">
        <f>IF(AA692=C692,1,0)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$AE$12+D693*$AE$13+E693*$AE$14+F693*$AE$15+G693*$AE$16+H693*$AE$17+I693*$AE$18+J693*$AE$19+K693*$AE$20+L693*$AE$21+M693*$AE$22+N693*$AE$23+O693*$AE$24+P693*$AE$25+Q693*$AE$26+R693*$AE$27+S693*$AE$28+T693*$AE$29+U693*$AE$30</f>
        <v/>
      </c>
      <c r="W693" s="8">
        <f>1/(1+EXP(-V693))</f>
        <v/>
      </c>
      <c r="X693" s="9">
        <f>-IF(C693=1,LN(W693),LN(1-W693))</f>
        <v/>
      </c>
      <c r="Y693" s="8">
        <f>IF(C693=1,$AE$32,$AE$33)</f>
        <v/>
      </c>
      <c r="Z693" s="9">
        <f>Y693*X693</f>
        <v/>
      </c>
      <c r="AA693" s="10">
        <f>IF(W693&gt;$AE$34,1,0)</f>
        <v/>
      </c>
      <c r="AB693">
        <f>IF(AA693=C693,1,0)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$AE$12+D694*$AE$13+E694*$AE$14+F694*$AE$15+G694*$AE$16+H694*$AE$17+I694*$AE$18+J694*$AE$19+K694*$AE$20+L694*$AE$21+M694*$AE$22+N694*$AE$23+O694*$AE$24+P694*$AE$25+Q694*$AE$26+R694*$AE$27+S694*$AE$28+T694*$AE$29+U694*$AE$30</f>
        <v/>
      </c>
      <c r="W694" s="8">
        <f>1/(1+EXP(-V694))</f>
        <v/>
      </c>
      <c r="X694" s="9">
        <f>-IF(C694=1,LN(W694),LN(1-W694))</f>
        <v/>
      </c>
      <c r="Y694" s="8">
        <f>IF(C694=1,$AE$32,$AE$33)</f>
        <v/>
      </c>
      <c r="Z694" s="9">
        <f>Y694*X694</f>
        <v/>
      </c>
      <c r="AA694" s="10">
        <f>IF(W694&gt;$AE$34,1,0)</f>
        <v/>
      </c>
      <c r="AB694">
        <f>IF(AA694=C694,1,0)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$AE$12+D695*$AE$13+E695*$AE$14+F695*$AE$15+G695*$AE$16+H695*$AE$17+I695*$AE$18+J695*$AE$19+K695*$AE$20+L695*$AE$21+M695*$AE$22+N695*$AE$23+O695*$AE$24+P695*$AE$25+Q695*$AE$26+R695*$AE$27+S695*$AE$28+T695*$AE$29+U695*$AE$30</f>
        <v/>
      </c>
      <c r="W695" s="8">
        <f>1/(1+EXP(-V695))</f>
        <v/>
      </c>
      <c r="X695" s="9">
        <f>-IF(C695=1,LN(W695),LN(1-W695))</f>
        <v/>
      </c>
      <c r="Y695" s="8">
        <f>IF(C695=1,$AE$32,$AE$33)</f>
        <v/>
      </c>
      <c r="Z695" s="9">
        <f>Y695*X695</f>
        <v/>
      </c>
      <c r="AA695" s="10">
        <f>IF(W695&gt;$AE$34,1,0)</f>
        <v/>
      </c>
      <c r="AB695">
        <f>IF(AA695=C695,1,0)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$AE$12+D696*$AE$13+E696*$AE$14+F696*$AE$15+G696*$AE$16+H696*$AE$17+I696*$AE$18+J696*$AE$19+K696*$AE$20+L696*$AE$21+M696*$AE$22+N696*$AE$23+O696*$AE$24+P696*$AE$25+Q696*$AE$26+R696*$AE$27+S696*$AE$28+T696*$AE$29+U696*$AE$30</f>
        <v/>
      </c>
      <c r="W696" s="8">
        <f>1/(1+EXP(-V696))</f>
        <v/>
      </c>
      <c r="X696" s="9">
        <f>-IF(C696=1,LN(W696),LN(1-W696))</f>
        <v/>
      </c>
      <c r="Y696" s="8">
        <f>IF(C696=1,$AE$32,$AE$33)</f>
        <v/>
      </c>
      <c r="Z696" s="9">
        <f>Y696*X696</f>
        <v/>
      </c>
      <c r="AA696" s="10">
        <f>IF(W696&gt;$AE$34,1,0)</f>
        <v/>
      </c>
      <c r="AB696">
        <f>IF(AA696=C696,1,0)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$AE$12+D697*$AE$13+E697*$AE$14+F697*$AE$15+G697*$AE$16+H697*$AE$17+I697*$AE$18+J697*$AE$19+K697*$AE$20+L697*$AE$21+M697*$AE$22+N697*$AE$23+O697*$AE$24+P697*$AE$25+Q697*$AE$26+R697*$AE$27+S697*$AE$28+T697*$AE$29+U697*$AE$30</f>
        <v/>
      </c>
      <c r="W697" s="8">
        <f>1/(1+EXP(-V697))</f>
        <v/>
      </c>
      <c r="X697" s="9">
        <f>-IF(C697=1,LN(W697),LN(1-W697))</f>
        <v/>
      </c>
      <c r="Y697" s="8">
        <f>IF(C697=1,$AE$32,$AE$33)</f>
        <v/>
      </c>
      <c r="Z697" s="9">
        <f>Y697*X697</f>
        <v/>
      </c>
      <c r="AA697" s="10">
        <f>IF(W697&gt;$AE$34,1,0)</f>
        <v/>
      </c>
      <c r="AB697">
        <f>IF(AA697=C697,1,0)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$AE$12+D698*$AE$13+E698*$AE$14+F698*$AE$15+G698*$AE$16+H698*$AE$17+I698*$AE$18+J698*$AE$19+K698*$AE$20+L698*$AE$21+M698*$AE$22+N698*$AE$23+O698*$AE$24+P698*$AE$25+Q698*$AE$26+R698*$AE$27+S698*$AE$28+T698*$AE$29+U698*$AE$30</f>
        <v/>
      </c>
      <c r="W698" s="8">
        <f>1/(1+EXP(-V698))</f>
        <v/>
      </c>
      <c r="X698" s="9">
        <f>-IF(C698=1,LN(W698),LN(1-W698))</f>
        <v/>
      </c>
      <c r="Y698" s="8">
        <f>IF(C698=1,$AE$32,$AE$33)</f>
        <v/>
      </c>
      <c r="Z698" s="9">
        <f>Y698*X698</f>
        <v/>
      </c>
      <c r="AA698" s="10">
        <f>IF(W698&gt;$AE$34,1,0)</f>
        <v/>
      </c>
      <c r="AB698">
        <f>IF(AA698=C698,1,0)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$AE$12+D699*$AE$13+E699*$AE$14+F699*$AE$15+G699*$AE$16+H699*$AE$17+I699*$AE$18+J699*$AE$19+K699*$AE$20+L699*$AE$21+M699*$AE$22+N699*$AE$23+O699*$AE$24+P699*$AE$25+Q699*$AE$26+R699*$AE$27+S699*$AE$28+T699*$AE$29+U699*$AE$30</f>
        <v/>
      </c>
      <c r="W699" s="8">
        <f>1/(1+EXP(-V699))</f>
        <v/>
      </c>
      <c r="X699" s="9">
        <f>-IF(C699=1,LN(W699),LN(1-W699))</f>
        <v/>
      </c>
      <c r="Y699" s="8">
        <f>IF(C699=1,$AE$32,$AE$33)</f>
        <v/>
      </c>
      <c r="Z699" s="9">
        <f>Y699*X699</f>
        <v/>
      </c>
      <c r="AA699" s="10">
        <f>IF(W699&gt;$AE$34,1,0)</f>
        <v/>
      </c>
      <c r="AB699">
        <f>IF(AA699=C699,1,0)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$AE$12+D700*$AE$13+E700*$AE$14+F700*$AE$15+G700*$AE$16+H700*$AE$17+I700*$AE$18+J700*$AE$19+K700*$AE$20+L700*$AE$21+M700*$AE$22+N700*$AE$23+O700*$AE$24+P700*$AE$25+Q700*$AE$26+R700*$AE$27+S700*$AE$28+T700*$AE$29+U700*$AE$30</f>
        <v/>
      </c>
      <c r="W700" s="8">
        <f>1/(1+EXP(-V700))</f>
        <v/>
      </c>
      <c r="X700" s="9">
        <f>-IF(C700=1,LN(W700),LN(1-W700))</f>
        <v/>
      </c>
      <c r="Y700" s="8">
        <f>IF(C700=1,$AE$32,$AE$33)</f>
        <v/>
      </c>
      <c r="Z700" s="9">
        <f>Y700*X700</f>
        <v/>
      </c>
      <c r="AA700" s="10">
        <f>IF(W700&gt;$AE$34,1,0)</f>
        <v/>
      </c>
      <c r="AB700">
        <f>IF(AA700=C700,1,0)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$AE$12+D701*$AE$13+E701*$AE$14+F701*$AE$15+G701*$AE$16+H701*$AE$17+I701*$AE$18+J701*$AE$19+K701*$AE$20+L701*$AE$21+M701*$AE$22+N701*$AE$23+O701*$AE$24+P701*$AE$25+Q701*$AE$26+R701*$AE$27+S701*$AE$28+T701*$AE$29+U701*$AE$30</f>
        <v/>
      </c>
      <c r="W701" s="8">
        <f>1/(1+EXP(-V701))</f>
        <v/>
      </c>
      <c r="X701" s="9">
        <f>-IF(C701=1,LN(W701),LN(1-W701))</f>
        <v/>
      </c>
      <c r="Y701" s="8">
        <f>IF(C701=1,$AE$32,$AE$33)</f>
        <v/>
      </c>
      <c r="Z701" s="9">
        <f>Y701*X701</f>
        <v/>
      </c>
      <c r="AA701" s="10">
        <f>IF(W701&gt;$AE$34,1,0)</f>
        <v/>
      </c>
      <c r="AB701">
        <f>IF(AA701=C701,1,0)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$AE$12+D702*$AE$13+E702*$AE$14+F702*$AE$15+G702*$AE$16+H702*$AE$17+I702*$AE$18+J702*$AE$19+K702*$AE$20+L702*$AE$21+M702*$AE$22+N702*$AE$23+O702*$AE$24+P702*$AE$25+Q702*$AE$26+R702*$AE$27+S702*$AE$28+T702*$AE$29+U702*$AE$30</f>
        <v/>
      </c>
      <c r="W702" s="8">
        <f>1/(1+EXP(-V702))</f>
        <v/>
      </c>
      <c r="X702" s="9">
        <f>-IF(C702=1,LN(W702),LN(1-W702))</f>
        <v/>
      </c>
      <c r="Y702" s="8">
        <f>IF(C702=1,$AE$32,$AE$33)</f>
        <v/>
      </c>
      <c r="Z702" s="9">
        <f>Y702*X702</f>
        <v/>
      </c>
      <c r="AA702" s="10">
        <f>IF(W702&gt;$AE$34,1,0)</f>
        <v/>
      </c>
      <c r="AB702">
        <f>IF(AA702=C702,1,0)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$AE$12+D703*$AE$13+E703*$AE$14+F703*$AE$15+G703*$AE$16+H703*$AE$17+I703*$AE$18+J703*$AE$19+K703*$AE$20+L703*$AE$21+M703*$AE$22+N703*$AE$23+O703*$AE$24+P703*$AE$25+Q703*$AE$26+R703*$AE$27+S703*$AE$28+T703*$AE$29+U703*$AE$30</f>
        <v/>
      </c>
      <c r="W703" s="8">
        <f>1/(1+EXP(-V703))</f>
        <v/>
      </c>
      <c r="X703" s="9">
        <f>-IF(C703=1,LN(W703),LN(1-W703))</f>
        <v/>
      </c>
      <c r="Y703" s="8">
        <f>IF(C703=1,$AE$32,$AE$33)</f>
        <v/>
      </c>
      <c r="Z703" s="9">
        <f>Y703*X703</f>
        <v/>
      </c>
      <c r="AA703" s="10">
        <f>IF(W703&gt;$AE$34,1,0)</f>
        <v/>
      </c>
      <c r="AB703">
        <f>IF(AA703=C703,1,0)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$AE$12+D704*$AE$13+E704*$AE$14+F704*$AE$15+G704*$AE$16+H704*$AE$17+I704*$AE$18+J704*$AE$19+K704*$AE$20+L704*$AE$21+M704*$AE$22+N704*$AE$23+O704*$AE$24+P704*$AE$25+Q704*$AE$26+R704*$AE$27+S704*$AE$28+T704*$AE$29+U704*$AE$30</f>
        <v/>
      </c>
      <c r="W704" s="8">
        <f>1/(1+EXP(-V704))</f>
        <v/>
      </c>
      <c r="X704" s="9">
        <f>-IF(C704=1,LN(W704),LN(1-W704))</f>
        <v/>
      </c>
      <c r="Y704" s="8">
        <f>IF(C704=1,$AE$32,$AE$33)</f>
        <v/>
      </c>
      <c r="Z704" s="9">
        <f>Y704*X704</f>
        <v/>
      </c>
      <c r="AA704" s="10">
        <f>IF(W704&gt;$AE$34,1,0)</f>
        <v/>
      </c>
      <c r="AB704">
        <f>IF(AA704=C704,1,0)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$AE$12+D705*$AE$13+E705*$AE$14+F705*$AE$15+G705*$AE$16+H705*$AE$17+I705*$AE$18+J705*$AE$19+K705*$AE$20+L705*$AE$21+M705*$AE$22+N705*$AE$23+O705*$AE$24+P705*$AE$25+Q705*$AE$26+R705*$AE$27+S705*$AE$28+T705*$AE$29+U705*$AE$30</f>
        <v/>
      </c>
      <c r="W705" s="8">
        <f>1/(1+EXP(-V705))</f>
        <v/>
      </c>
      <c r="X705" s="9">
        <f>-IF(C705=1,LN(W705),LN(1-W705))</f>
        <v/>
      </c>
      <c r="Y705" s="8">
        <f>IF(C705=1,$AE$32,$AE$33)</f>
        <v/>
      </c>
      <c r="Z705" s="9">
        <f>Y705*X705</f>
        <v/>
      </c>
      <c r="AA705" s="10">
        <f>IF(W705&gt;$AE$34,1,0)</f>
        <v/>
      </c>
      <c r="AB705">
        <f>IF(AA705=C705,1,0)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$AE$12+D706*$AE$13+E706*$AE$14+F706*$AE$15+G706*$AE$16+H706*$AE$17+I706*$AE$18+J706*$AE$19+K706*$AE$20+L706*$AE$21+M706*$AE$22+N706*$AE$23+O706*$AE$24+P706*$AE$25+Q706*$AE$26+R706*$AE$27+S706*$AE$28+T706*$AE$29+U706*$AE$30</f>
        <v/>
      </c>
      <c r="W706" s="8">
        <f>1/(1+EXP(-V706))</f>
        <v/>
      </c>
      <c r="X706" s="9">
        <f>-IF(C706=1,LN(W706),LN(1-W706))</f>
        <v/>
      </c>
      <c r="Y706" s="8">
        <f>IF(C706=1,$AE$32,$AE$33)</f>
        <v/>
      </c>
      <c r="Z706" s="9">
        <f>Y706*X706</f>
        <v/>
      </c>
      <c r="AA706" s="10">
        <f>IF(W706&gt;$AE$34,1,0)</f>
        <v/>
      </c>
      <c r="AB706">
        <f>IF(AA706=C706,1,0)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$AE$12+D707*$AE$13+E707*$AE$14+F707*$AE$15+G707*$AE$16+H707*$AE$17+I707*$AE$18+J707*$AE$19+K707*$AE$20+L707*$AE$21+M707*$AE$22+N707*$AE$23+O707*$AE$24+P707*$AE$25+Q707*$AE$26+R707*$AE$27+S707*$AE$28+T707*$AE$29+U707*$AE$30</f>
        <v/>
      </c>
      <c r="W707" s="8">
        <f>1/(1+EXP(-V707))</f>
        <v/>
      </c>
      <c r="X707" s="9">
        <f>-IF(C707=1,LN(W707),LN(1-W707))</f>
        <v/>
      </c>
      <c r="Y707" s="8">
        <f>IF(C707=1,$AE$32,$AE$33)</f>
        <v/>
      </c>
      <c r="Z707" s="9">
        <f>Y707*X707</f>
        <v/>
      </c>
      <c r="AA707" s="10">
        <f>IF(W707&gt;$AE$34,1,0)</f>
        <v/>
      </c>
      <c r="AB707">
        <f>IF(AA707=C707,1,0)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$AE$12+D708*$AE$13+E708*$AE$14+F708*$AE$15+G708*$AE$16+H708*$AE$17+I708*$AE$18+J708*$AE$19+K708*$AE$20+L708*$AE$21+M708*$AE$22+N708*$AE$23+O708*$AE$24+P708*$AE$25+Q708*$AE$26+R708*$AE$27+S708*$AE$28+T708*$AE$29+U708*$AE$30</f>
        <v/>
      </c>
      <c r="W708" s="8">
        <f>1/(1+EXP(-V708))</f>
        <v/>
      </c>
      <c r="X708" s="9">
        <f>-IF(C708=1,LN(W708),LN(1-W708))</f>
        <v/>
      </c>
      <c r="Y708" s="8">
        <f>IF(C708=1,$AE$32,$AE$33)</f>
        <v/>
      </c>
      <c r="Z708" s="9">
        <f>Y708*X708</f>
        <v/>
      </c>
      <c r="AA708" s="10">
        <f>IF(W708&gt;$AE$34,1,0)</f>
        <v/>
      </c>
      <c r="AB708">
        <f>IF(AA708=C708,1,0)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$AE$12+D709*$AE$13+E709*$AE$14+F709*$AE$15+G709*$AE$16+H709*$AE$17+I709*$AE$18+J709*$AE$19+K709*$AE$20+L709*$AE$21+M709*$AE$22+N709*$AE$23+O709*$AE$24+P709*$AE$25+Q709*$AE$26+R709*$AE$27+S709*$AE$28+T709*$AE$29+U709*$AE$30</f>
        <v/>
      </c>
      <c r="W709" s="8">
        <f>1/(1+EXP(-V709))</f>
        <v/>
      </c>
      <c r="X709" s="9">
        <f>-IF(C709=1,LN(W709),LN(1-W709))</f>
        <v/>
      </c>
      <c r="Y709" s="8">
        <f>IF(C709=1,$AE$32,$AE$33)</f>
        <v/>
      </c>
      <c r="Z709" s="9">
        <f>Y709*X709</f>
        <v/>
      </c>
      <c r="AA709" s="10">
        <f>IF(W709&gt;$AE$34,1,0)</f>
        <v/>
      </c>
      <c r="AB709">
        <f>IF(AA709=C709,1,0)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$AE$12+D710*$AE$13+E710*$AE$14+F710*$AE$15+G710*$AE$16+H710*$AE$17+I710*$AE$18+J710*$AE$19+K710*$AE$20+L710*$AE$21+M710*$AE$22+N710*$AE$23+O710*$AE$24+P710*$AE$25+Q710*$AE$26+R710*$AE$27+S710*$AE$28+T710*$AE$29+U710*$AE$30</f>
        <v/>
      </c>
      <c r="W710" s="8">
        <f>1/(1+EXP(-V710))</f>
        <v/>
      </c>
      <c r="X710" s="9">
        <f>-IF(C710=1,LN(W710),LN(1-W710))</f>
        <v/>
      </c>
      <c r="Y710" s="8">
        <f>IF(C710=1,$AE$32,$AE$33)</f>
        <v/>
      </c>
      <c r="Z710" s="9">
        <f>Y710*X710</f>
        <v/>
      </c>
      <c r="AA710" s="10">
        <f>IF(W710&gt;$AE$34,1,0)</f>
        <v/>
      </c>
      <c r="AB710">
        <f>IF(AA710=C710,1,0)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$AE$12+D711*$AE$13+E711*$AE$14+F711*$AE$15+G711*$AE$16+H711*$AE$17+I711*$AE$18+J711*$AE$19+K711*$AE$20+L711*$AE$21+M711*$AE$22+N711*$AE$23+O711*$AE$24+P711*$AE$25+Q711*$AE$26+R711*$AE$27+S711*$AE$28+T711*$AE$29+U711*$AE$30</f>
        <v/>
      </c>
      <c r="W711" s="8">
        <f>1/(1+EXP(-V711))</f>
        <v/>
      </c>
      <c r="X711" s="9">
        <f>-IF(C711=1,LN(W711),LN(1-W711))</f>
        <v/>
      </c>
      <c r="Y711" s="8">
        <f>IF(C711=1,$AE$32,$AE$33)</f>
        <v/>
      </c>
      <c r="Z711" s="9">
        <f>Y711*X711</f>
        <v/>
      </c>
      <c r="AA711" s="10">
        <f>IF(W711&gt;$AE$34,1,0)</f>
        <v/>
      </c>
      <c r="AB711">
        <f>IF(AA711=C711,1,0)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$AE$12+D712*$AE$13+E712*$AE$14+F712*$AE$15+G712*$AE$16+H712*$AE$17+I712*$AE$18+J712*$AE$19+K712*$AE$20+L712*$AE$21+M712*$AE$22+N712*$AE$23+O712*$AE$24+P712*$AE$25+Q712*$AE$26+R712*$AE$27+S712*$AE$28+T712*$AE$29+U712*$AE$30</f>
        <v/>
      </c>
      <c r="W712" s="8">
        <f>1/(1+EXP(-V712))</f>
        <v/>
      </c>
      <c r="X712" s="9">
        <f>-IF(C712=1,LN(W712),LN(1-W712))</f>
        <v/>
      </c>
      <c r="Y712" s="8">
        <f>IF(C712=1,$AE$32,$AE$33)</f>
        <v/>
      </c>
      <c r="Z712" s="9">
        <f>Y712*X712</f>
        <v/>
      </c>
      <c r="AA712" s="10">
        <f>IF(W712&gt;$AE$34,1,0)</f>
        <v/>
      </c>
      <c r="AB712">
        <f>IF(AA712=C712,1,0)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$AE$12+D713*$AE$13+E713*$AE$14+F713*$AE$15+G713*$AE$16+H713*$AE$17+I713*$AE$18+J713*$AE$19+K713*$AE$20+L713*$AE$21+M713*$AE$22+N713*$AE$23+O713*$AE$24+P713*$AE$25+Q713*$AE$26+R713*$AE$27+S713*$AE$28+T713*$AE$29+U713*$AE$30</f>
        <v/>
      </c>
      <c r="W713" s="8">
        <f>1/(1+EXP(-V713))</f>
        <v/>
      </c>
      <c r="X713" s="9">
        <f>-IF(C713=1,LN(W713),LN(1-W713))</f>
        <v/>
      </c>
      <c r="Y713" s="8">
        <f>IF(C713=1,$AE$32,$AE$33)</f>
        <v/>
      </c>
      <c r="Z713" s="9">
        <f>Y713*X713</f>
        <v/>
      </c>
      <c r="AA713" s="10">
        <f>IF(W713&gt;$AE$34,1,0)</f>
        <v/>
      </c>
      <c r="AB713">
        <f>IF(AA713=C713,1,0)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$AE$12+D714*$AE$13+E714*$AE$14+F714*$AE$15+G714*$AE$16+H714*$AE$17+I714*$AE$18+J714*$AE$19+K714*$AE$20+L714*$AE$21+M714*$AE$22+N714*$AE$23+O714*$AE$24+P714*$AE$25+Q714*$AE$26+R714*$AE$27+S714*$AE$28+T714*$AE$29+U714*$AE$30</f>
        <v/>
      </c>
      <c r="W714" s="8">
        <f>1/(1+EXP(-V714))</f>
        <v/>
      </c>
      <c r="X714" s="9">
        <f>-IF(C714=1,LN(W714),LN(1-W714))</f>
        <v/>
      </c>
      <c r="Y714" s="8">
        <f>IF(C714=1,$AE$32,$AE$33)</f>
        <v/>
      </c>
      <c r="Z714" s="9">
        <f>Y714*X714</f>
        <v/>
      </c>
      <c r="AA714" s="10">
        <f>IF(W714&gt;$AE$34,1,0)</f>
        <v/>
      </c>
      <c r="AB714">
        <f>IF(AA714=C714,1,0)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$AE$12+D715*$AE$13+E715*$AE$14+F715*$AE$15+G715*$AE$16+H715*$AE$17+I715*$AE$18+J715*$AE$19+K715*$AE$20+L715*$AE$21+M715*$AE$22+N715*$AE$23+O715*$AE$24+P715*$AE$25+Q715*$AE$26+R715*$AE$27+S715*$AE$28+T715*$AE$29+U715*$AE$30</f>
        <v/>
      </c>
      <c r="W715" s="8">
        <f>1/(1+EXP(-V715))</f>
        <v/>
      </c>
      <c r="X715" s="9">
        <f>-IF(C715=1,LN(W715),LN(1-W715))</f>
        <v/>
      </c>
      <c r="Y715" s="8">
        <f>IF(C715=1,$AE$32,$AE$33)</f>
        <v/>
      </c>
      <c r="Z715" s="9">
        <f>Y715*X715</f>
        <v/>
      </c>
      <c r="AA715" s="10">
        <f>IF(W715&gt;$AE$34,1,0)</f>
        <v/>
      </c>
      <c r="AB715">
        <f>IF(AA715=C715,1,0)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$AE$12+D716*$AE$13+E716*$AE$14+F716*$AE$15+G716*$AE$16+H716*$AE$17+I716*$AE$18+J716*$AE$19+K716*$AE$20+L716*$AE$21+M716*$AE$22+N716*$AE$23+O716*$AE$24+P716*$AE$25+Q716*$AE$26+R716*$AE$27+S716*$AE$28+T716*$AE$29+U716*$AE$30</f>
        <v/>
      </c>
      <c r="W716" s="8">
        <f>1/(1+EXP(-V716))</f>
        <v/>
      </c>
      <c r="X716" s="9">
        <f>-IF(C716=1,LN(W716),LN(1-W716))</f>
        <v/>
      </c>
      <c r="Y716" s="8">
        <f>IF(C716=1,$AE$32,$AE$33)</f>
        <v/>
      </c>
      <c r="Z716" s="9">
        <f>Y716*X716</f>
        <v/>
      </c>
      <c r="AA716" s="10">
        <f>IF(W716&gt;$AE$34,1,0)</f>
        <v/>
      </c>
      <c r="AB716">
        <f>IF(AA716=C716,1,0)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$AE$12+D717*$AE$13+E717*$AE$14+F717*$AE$15+G717*$AE$16+H717*$AE$17+I717*$AE$18+J717*$AE$19+K717*$AE$20+L717*$AE$21+M717*$AE$22+N717*$AE$23+O717*$AE$24+P717*$AE$25+Q717*$AE$26+R717*$AE$27+S717*$AE$28+T717*$AE$29+U717*$AE$30</f>
        <v/>
      </c>
      <c r="W717" s="8">
        <f>1/(1+EXP(-V717))</f>
        <v/>
      </c>
      <c r="X717" s="9">
        <f>-IF(C717=1,LN(W717),LN(1-W717))</f>
        <v/>
      </c>
      <c r="Y717" s="8">
        <f>IF(C717=1,$AE$32,$AE$33)</f>
        <v/>
      </c>
      <c r="Z717" s="9">
        <f>Y717*X717</f>
        <v/>
      </c>
      <c r="AA717" s="10">
        <f>IF(W717&gt;$AE$34,1,0)</f>
        <v/>
      </c>
      <c r="AB717">
        <f>IF(AA717=C717,1,0)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$AE$12+D718*$AE$13+E718*$AE$14+F718*$AE$15+G718*$AE$16+H718*$AE$17+I718*$AE$18+J718*$AE$19+K718*$AE$20+L718*$AE$21+M718*$AE$22+N718*$AE$23+O718*$AE$24+P718*$AE$25+Q718*$AE$26+R718*$AE$27+S718*$AE$28+T718*$AE$29+U718*$AE$30</f>
        <v/>
      </c>
      <c r="W718" s="8">
        <f>1/(1+EXP(-V718))</f>
        <v/>
      </c>
      <c r="X718" s="9">
        <f>-IF(C718=1,LN(W718),LN(1-W718))</f>
        <v/>
      </c>
      <c r="Y718" s="8">
        <f>IF(C718=1,$AE$32,$AE$33)</f>
        <v/>
      </c>
      <c r="Z718" s="9">
        <f>Y718*X718</f>
        <v/>
      </c>
      <c r="AA718" s="10">
        <f>IF(W718&gt;$AE$34,1,0)</f>
        <v/>
      </c>
      <c r="AB718">
        <f>IF(AA718=C718,1,0)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$AE$12+D719*$AE$13+E719*$AE$14+F719*$AE$15+G719*$AE$16+H719*$AE$17+I719*$AE$18+J719*$AE$19+K719*$AE$20+L719*$AE$21+M719*$AE$22+N719*$AE$23+O719*$AE$24+P719*$AE$25+Q719*$AE$26+R719*$AE$27+S719*$AE$28+T719*$AE$29+U719*$AE$30</f>
        <v/>
      </c>
      <c r="W719" s="8">
        <f>1/(1+EXP(-V719))</f>
        <v/>
      </c>
      <c r="X719" s="9">
        <f>-IF(C719=1,LN(W719),LN(1-W719))</f>
        <v/>
      </c>
      <c r="Y719" s="8">
        <f>IF(C719=1,$AE$32,$AE$33)</f>
        <v/>
      </c>
      <c r="Z719" s="9">
        <f>Y719*X719</f>
        <v/>
      </c>
      <c r="AA719" s="10">
        <f>IF(W719&gt;$AE$34,1,0)</f>
        <v/>
      </c>
      <c r="AB719">
        <f>IF(AA719=C719,1,0)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$AE$12+D720*$AE$13+E720*$AE$14+F720*$AE$15+G720*$AE$16+H720*$AE$17+I720*$AE$18+J720*$AE$19+K720*$AE$20+L720*$AE$21+M720*$AE$22+N720*$AE$23+O720*$AE$24+P720*$AE$25+Q720*$AE$26+R720*$AE$27+S720*$AE$28+T720*$AE$29+U720*$AE$30</f>
        <v/>
      </c>
      <c r="W720" s="8">
        <f>1/(1+EXP(-V720))</f>
        <v/>
      </c>
      <c r="X720" s="9">
        <f>-IF(C720=1,LN(W720),LN(1-W720))</f>
        <v/>
      </c>
      <c r="Y720" s="8">
        <f>IF(C720=1,$AE$32,$AE$33)</f>
        <v/>
      </c>
      <c r="Z720" s="9">
        <f>Y720*X720</f>
        <v/>
      </c>
      <c r="AA720" s="10">
        <f>IF(W720&gt;$AE$34,1,0)</f>
        <v/>
      </c>
      <c r="AB720">
        <f>IF(AA720=C720,1,0)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$AE$12+D721*$AE$13+E721*$AE$14+F721*$AE$15+G721*$AE$16+H721*$AE$17+I721*$AE$18+J721*$AE$19+K721*$AE$20+L721*$AE$21+M721*$AE$22+N721*$AE$23+O721*$AE$24+P721*$AE$25+Q721*$AE$26+R721*$AE$27+S721*$AE$28+T721*$AE$29+U721*$AE$30</f>
        <v/>
      </c>
      <c r="W721" s="8">
        <f>1/(1+EXP(-V721))</f>
        <v/>
      </c>
      <c r="X721" s="9">
        <f>-IF(C721=1,LN(W721),LN(1-W721))</f>
        <v/>
      </c>
      <c r="Y721" s="8">
        <f>IF(C721=1,$AE$32,$AE$33)</f>
        <v/>
      </c>
      <c r="Z721" s="9">
        <f>Y721*X721</f>
        <v/>
      </c>
      <c r="AA721" s="10">
        <f>IF(W721&gt;$AE$34,1,0)</f>
        <v/>
      </c>
      <c r="AB721">
        <f>IF(AA721=C721,1,0)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$AE$12+D722*$AE$13+E722*$AE$14+F722*$AE$15+G722*$AE$16+H722*$AE$17+I722*$AE$18+J722*$AE$19+K722*$AE$20+L722*$AE$21+M722*$AE$22+N722*$AE$23+O722*$AE$24+P722*$AE$25+Q722*$AE$26+R722*$AE$27+S722*$AE$28+T722*$AE$29+U722*$AE$30</f>
        <v/>
      </c>
      <c r="W722" s="8">
        <f>1/(1+EXP(-V722))</f>
        <v/>
      </c>
      <c r="X722" s="9">
        <f>-IF(C722=1,LN(W722),LN(1-W722))</f>
        <v/>
      </c>
      <c r="Y722" s="8">
        <f>IF(C722=1,$AE$32,$AE$33)</f>
        <v/>
      </c>
      <c r="Z722" s="9">
        <f>Y722*X722</f>
        <v/>
      </c>
      <c r="AA722" s="10">
        <f>IF(W722&gt;$AE$34,1,0)</f>
        <v/>
      </c>
      <c r="AB722">
        <f>IF(AA722=C722,1,0)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$AE$12+D723*$AE$13+E723*$AE$14+F723*$AE$15+G723*$AE$16+H723*$AE$17+I723*$AE$18+J723*$AE$19+K723*$AE$20+L723*$AE$21+M723*$AE$22+N723*$AE$23+O723*$AE$24+P723*$AE$25+Q723*$AE$26+R723*$AE$27+S723*$AE$28+T723*$AE$29+U723*$AE$30</f>
        <v/>
      </c>
      <c r="W723" s="8">
        <f>1/(1+EXP(-V723))</f>
        <v/>
      </c>
      <c r="X723" s="9">
        <f>-IF(C723=1,LN(W723),LN(1-W723))</f>
        <v/>
      </c>
      <c r="Y723" s="8">
        <f>IF(C723=1,$AE$32,$AE$33)</f>
        <v/>
      </c>
      <c r="Z723" s="9">
        <f>Y723*X723</f>
        <v/>
      </c>
      <c r="AA723" s="10">
        <f>IF(W723&gt;$AE$34,1,0)</f>
        <v/>
      </c>
      <c r="AB723">
        <f>IF(AA723=C723,1,0)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$AE$12+D724*$AE$13+E724*$AE$14+F724*$AE$15+G724*$AE$16+H724*$AE$17+I724*$AE$18+J724*$AE$19+K724*$AE$20+L724*$AE$21+M724*$AE$22+N724*$AE$23+O724*$AE$24+P724*$AE$25+Q724*$AE$26+R724*$AE$27+S724*$AE$28+T724*$AE$29+U724*$AE$30</f>
        <v/>
      </c>
      <c r="W724" s="8">
        <f>1/(1+EXP(-V724))</f>
        <v/>
      </c>
      <c r="X724" s="9">
        <f>-IF(C724=1,LN(W724),LN(1-W724))</f>
        <v/>
      </c>
      <c r="Y724" s="8">
        <f>IF(C724=1,$AE$32,$AE$33)</f>
        <v/>
      </c>
      <c r="Z724" s="9">
        <f>Y724*X724</f>
        <v/>
      </c>
      <c r="AA724" s="10">
        <f>IF(W724&gt;$AE$34,1,0)</f>
        <v/>
      </c>
      <c r="AB724">
        <f>IF(AA724=C724,1,0)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$AE$12+D725*$AE$13+E725*$AE$14+F725*$AE$15+G725*$AE$16+H725*$AE$17+I725*$AE$18+J725*$AE$19+K725*$AE$20+L725*$AE$21+M725*$AE$22+N725*$AE$23+O725*$AE$24+P725*$AE$25+Q725*$AE$26+R725*$AE$27+S725*$AE$28+T725*$AE$29+U725*$AE$30</f>
        <v/>
      </c>
      <c r="W725" s="8">
        <f>1/(1+EXP(-V725))</f>
        <v/>
      </c>
      <c r="X725" s="9">
        <f>-IF(C725=1,LN(W725),LN(1-W725))</f>
        <v/>
      </c>
      <c r="Y725" s="8">
        <f>IF(C725=1,$AE$32,$AE$33)</f>
        <v/>
      </c>
      <c r="Z725" s="9">
        <f>Y725*X725</f>
        <v/>
      </c>
      <c r="AA725" s="10">
        <f>IF(W725&gt;$AE$34,1,0)</f>
        <v/>
      </c>
      <c r="AB725">
        <f>IF(AA725=C725,1,0)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$AE$12+D726*$AE$13+E726*$AE$14+F726*$AE$15+G726*$AE$16+H726*$AE$17+I726*$AE$18+J726*$AE$19+K726*$AE$20+L726*$AE$21+M726*$AE$22+N726*$AE$23+O726*$AE$24+P726*$AE$25+Q726*$AE$26+R726*$AE$27+S726*$AE$28+T726*$AE$29+U726*$AE$30</f>
        <v/>
      </c>
      <c r="W726" s="8">
        <f>1/(1+EXP(-V726))</f>
        <v/>
      </c>
      <c r="X726" s="9">
        <f>-IF(C726=1,LN(W726),LN(1-W726))</f>
        <v/>
      </c>
      <c r="Y726" s="8">
        <f>IF(C726=1,$AE$32,$AE$33)</f>
        <v/>
      </c>
      <c r="Z726" s="9">
        <f>Y726*X726</f>
        <v/>
      </c>
      <c r="AA726" s="10">
        <f>IF(W726&gt;$AE$34,1,0)</f>
        <v/>
      </c>
      <c r="AB726">
        <f>IF(AA726=C726,1,0)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$AE$12+D727*$AE$13+E727*$AE$14+F727*$AE$15+G727*$AE$16+H727*$AE$17+I727*$AE$18+J727*$AE$19+K727*$AE$20+L727*$AE$21+M727*$AE$22+N727*$AE$23+O727*$AE$24+P727*$AE$25+Q727*$AE$26+R727*$AE$27+S727*$AE$28+T727*$AE$29+U727*$AE$30</f>
        <v/>
      </c>
      <c r="W727" s="8">
        <f>1/(1+EXP(-V727))</f>
        <v/>
      </c>
      <c r="X727" s="9">
        <f>-IF(C727=1,LN(W727),LN(1-W727))</f>
        <v/>
      </c>
      <c r="Y727" s="8">
        <f>IF(C727=1,$AE$32,$AE$33)</f>
        <v/>
      </c>
      <c r="Z727" s="9">
        <f>Y727*X727</f>
        <v/>
      </c>
      <c r="AA727" s="10">
        <f>IF(W727&gt;$AE$34,1,0)</f>
        <v/>
      </c>
      <c r="AB727">
        <f>IF(AA727=C727,1,0)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$AE$12+D728*$AE$13+E728*$AE$14+F728*$AE$15+G728*$AE$16+H728*$AE$17+I728*$AE$18+J728*$AE$19+K728*$AE$20+L728*$AE$21+M728*$AE$22+N728*$AE$23+O728*$AE$24+P728*$AE$25+Q728*$AE$26+R728*$AE$27+S728*$AE$28+T728*$AE$29+U728*$AE$30</f>
        <v/>
      </c>
      <c r="W728" s="8">
        <f>1/(1+EXP(-V728))</f>
        <v/>
      </c>
      <c r="X728" s="9">
        <f>-IF(C728=1,LN(W728),LN(1-W728))</f>
        <v/>
      </c>
      <c r="Y728" s="8">
        <f>IF(C728=1,$AE$32,$AE$33)</f>
        <v/>
      </c>
      <c r="Z728" s="9">
        <f>Y728*X728</f>
        <v/>
      </c>
      <c r="AA728" s="10">
        <f>IF(W728&gt;$AE$34,1,0)</f>
        <v/>
      </c>
      <c r="AB728">
        <f>IF(AA728=C728,1,0)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$AE$12+D729*$AE$13+E729*$AE$14+F729*$AE$15+G729*$AE$16+H729*$AE$17+I729*$AE$18+J729*$AE$19+K729*$AE$20+L729*$AE$21+M729*$AE$22+N729*$AE$23+O729*$AE$24+P729*$AE$25+Q729*$AE$26+R729*$AE$27+S729*$AE$28+T729*$AE$29+U729*$AE$30</f>
        <v/>
      </c>
      <c r="W729" s="8">
        <f>1/(1+EXP(-V729))</f>
        <v/>
      </c>
      <c r="X729" s="9">
        <f>-IF(C729=1,LN(W729),LN(1-W729))</f>
        <v/>
      </c>
      <c r="Y729" s="8">
        <f>IF(C729=1,$AE$32,$AE$33)</f>
        <v/>
      </c>
      <c r="Z729" s="9">
        <f>Y729*X729</f>
        <v/>
      </c>
      <c r="AA729" s="10">
        <f>IF(W729&gt;$AE$34,1,0)</f>
        <v/>
      </c>
      <c r="AB729">
        <f>IF(AA729=C729,1,0)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$AE$12+D730*$AE$13+E730*$AE$14+F730*$AE$15+G730*$AE$16+H730*$AE$17+I730*$AE$18+J730*$AE$19+K730*$AE$20+L730*$AE$21+M730*$AE$22+N730*$AE$23+O730*$AE$24+P730*$AE$25+Q730*$AE$26+R730*$AE$27+S730*$AE$28+T730*$AE$29+U730*$AE$30</f>
        <v/>
      </c>
      <c r="W730" s="8">
        <f>1/(1+EXP(-V730))</f>
        <v/>
      </c>
      <c r="X730" s="9">
        <f>-IF(C730=1,LN(W730),LN(1-W730))</f>
        <v/>
      </c>
      <c r="Y730" s="8">
        <f>IF(C730=1,$AE$32,$AE$33)</f>
        <v/>
      </c>
      <c r="Z730" s="9">
        <f>Y730*X730</f>
        <v/>
      </c>
      <c r="AA730" s="10">
        <f>IF(W730&gt;$AE$34,1,0)</f>
        <v/>
      </c>
      <c r="AB730">
        <f>IF(AA730=C730,1,0)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$AE$12+D731*$AE$13+E731*$AE$14+F731*$AE$15+G731*$AE$16+H731*$AE$17+I731*$AE$18+J731*$AE$19+K731*$AE$20+L731*$AE$21+M731*$AE$22+N731*$AE$23+O731*$AE$24+P731*$AE$25+Q731*$AE$26+R731*$AE$27+S731*$AE$28+T731*$AE$29+U731*$AE$30</f>
        <v/>
      </c>
      <c r="W731" s="8">
        <f>1/(1+EXP(-V731))</f>
        <v/>
      </c>
      <c r="X731" s="9">
        <f>-IF(C731=1,LN(W731),LN(1-W731))</f>
        <v/>
      </c>
      <c r="Y731" s="8">
        <f>IF(C731=1,$AE$32,$AE$33)</f>
        <v/>
      </c>
      <c r="Z731" s="9">
        <f>Y731*X731</f>
        <v/>
      </c>
      <c r="AA731" s="10">
        <f>IF(W731&gt;$AE$34,1,0)</f>
        <v/>
      </c>
      <c r="AB731">
        <f>IF(AA731=C731,1,0)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$AE$12+D732*$AE$13+E732*$AE$14+F732*$AE$15+G732*$AE$16+H732*$AE$17+I732*$AE$18+J732*$AE$19+K732*$AE$20+L732*$AE$21+M732*$AE$22+N732*$AE$23+O732*$AE$24+P732*$AE$25+Q732*$AE$26+R732*$AE$27+S732*$AE$28+T732*$AE$29+U732*$AE$30</f>
        <v/>
      </c>
      <c r="W732" s="8">
        <f>1/(1+EXP(-V732))</f>
        <v/>
      </c>
      <c r="X732" s="9">
        <f>-IF(C732=1,LN(W732),LN(1-W732))</f>
        <v/>
      </c>
      <c r="Y732" s="8">
        <f>IF(C732=1,$AE$32,$AE$33)</f>
        <v/>
      </c>
      <c r="Z732" s="9">
        <f>Y732*X732</f>
        <v/>
      </c>
      <c r="AA732" s="10">
        <f>IF(W732&gt;$AE$34,1,0)</f>
        <v/>
      </c>
      <c r="AB732">
        <f>IF(AA732=C732,1,0)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$AE$12+D733*$AE$13+E733*$AE$14+F733*$AE$15+G733*$AE$16+H733*$AE$17+I733*$AE$18+J733*$AE$19+K733*$AE$20+L733*$AE$21+M733*$AE$22+N733*$AE$23+O733*$AE$24+P733*$AE$25+Q733*$AE$26+R733*$AE$27+S733*$AE$28+T733*$AE$29+U733*$AE$30</f>
        <v/>
      </c>
      <c r="W733" s="8">
        <f>1/(1+EXP(-V733))</f>
        <v/>
      </c>
      <c r="X733" s="9">
        <f>-IF(C733=1,LN(W733),LN(1-W733))</f>
        <v/>
      </c>
      <c r="Y733" s="8">
        <f>IF(C733=1,$AE$32,$AE$33)</f>
        <v/>
      </c>
      <c r="Z733" s="9">
        <f>Y733*X733</f>
        <v/>
      </c>
      <c r="AA733" s="10">
        <f>IF(W733&gt;$AE$34,1,0)</f>
        <v/>
      </c>
      <c r="AB733">
        <f>IF(AA733=C733,1,0)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$AE$12+D734*$AE$13+E734*$AE$14+F734*$AE$15+G734*$AE$16+H734*$AE$17+I734*$AE$18+J734*$AE$19+K734*$AE$20+L734*$AE$21+M734*$AE$22+N734*$AE$23+O734*$AE$24+P734*$AE$25+Q734*$AE$26+R734*$AE$27+S734*$AE$28+T734*$AE$29+U734*$AE$30</f>
        <v/>
      </c>
      <c r="W734" s="8">
        <f>1/(1+EXP(-V734))</f>
        <v/>
      </c>
      <c r="X734" s="9">
        <f>-IF(C734=1,LN(W734),LN(1-W734))</f>
        <v/>
      </c>
      <c r="Y734" s="8">
        <f>IF(C734=1,$AE$32,$AE$33)</f>
        <v/>
      </c>
      <c r="Z734" s="9">
        <f>Y734*X734</f>
        <v/>
      </c>
      <c r="AA734" s="10">
        <f>IF(W734&gt;$AE$34,1,0)</f>
        <v/>
      </c>
      <c r="AB734">
        <f>IF(AA734=C734,1,0)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$AE$12+D735*$AE$13+E735*$AE$14+F735*$AE$15+G735*$AE$16+H735*$AE$17+I735*$AE$18+J735*$AE$19+K735*$AE$20+L735*$AE$21+M735*$AE$22+N735*$AE$23+O735*$AE$24+P735*$AE$25+Q735*$AE$26+R735*$AE$27+S735*$AE$28+T735*$AE$29+U735*$AE$30</f>
        <v/>
      </c>
      <c r="W735" s="8">
        <f>1/(1+EXP(-V735))</f>
        <v/>
      </c>
      <c r="X735" s="9">
        <f>-IF(C735=1,LN(W735),LN(1-W735))</f>
        <v/>
      </c>
      <c r="Y735" s="8">
        <f>IF(C735=1,$AE$32,$AE$33)</f>
        <v/>
      </c>
      <c r="Z735" s="9">
        <f>Y735*X735</f>
        <v/>
      </c>
      <c r="AA735" s="10">
        <f>IF(W735&gt;$AE$34,1,0)</f>
        <v/>
      </c>
      <c r="AB735">
        <f>IF(AA735=C735,1,0)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$AE$12+D736*$AE$13+E736*$AE$14+F736*$AE$15+G736*$AE$16+H736*$AE$17+I736*$AE$18+J736*$AE$19+K736*$AE$20+L736*$AE$21+M736*$AE$22+N736*$AE$23+O736*$AE$24+P736*$AE$25+Q736*$AE$26+R736*$AE$27+S736*$AE$28+T736*$AE$29+U736*$AE$30</f>
        <v/>
      </c>
      <c r="W736" s="8">
        <f>1/(1+EXP(-V736))</f>
        <v/>
      </c>
      <c r="X736" s="9">
        <f>-IF(C736=1,LN(W736),LN(1-W736))</f>
        <v/>
      </c>
      <c r="Y736" s="8">
        <f>IF(C736=1,$AE$32,$AE$33)</f>
        <v/>
      </c>
      <c r="Z736" s="9">
        <f>Y736*X736</f>
        <v/>
      </c>
      <c r="AA736" s="10">
        <f>IF(W736&gt;$AE$34,1,0)</f>
        <v/>
      </c>
      <c r="AB736">
        <f>IF(AA736=C736,1,0)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$AE$12+D737*$AE$13+E737*$AE$14+F737*$AE$15+G737*$AE$16+H737*$AE$17+I737*$AE$18+J737*$AE$19+K737*$AE$20+L737*$AE$21+M737*$AE$22+N737*$AE$23+O737*$AE$24+P737*$AE$25+Q737*$AE$26+R737*$AE$27+S737*$AE$28+T737*$AE$29+U737*$AE$30</f>
        <v/>
      </c>
      <c r="W737" s="8">
        <f>1/(1+EXP(-V737))</f>
        <v/>
      </c>
      <c r="X737" s="9">
        <f>-IF(C737=1,LN(W737),LN(1-W737))</f>
        <v/>
      </c>
      <c r="Y737" s="8">
        <f>IF(C737=1,$AE$32,$AE$33)</f>
        <v/>
      </c>
      <c r="Z737" s="9">
        <f>Y737*X737</f>
        <v/>
      </c>
      <c r="AA737" s="10">
        <f>IF(W737&gt;$AE$34,1,0)</f>
        <v/>
      </c>
      <c r="AB737">
        <f>IF(AA737=C737,1,0)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$AE$12+D738*$AE$13+E738*$AE$14+F738*$AE$15+G738*$AE$16+H738*$AE$17+I738*$AE$18+J738*$AE$19+K738*$AE$20+L738*$AE$21+M738*$AE$22+N738*$AE$23+O738*$AE$24+P738*$AE$25+Q738*$AE$26+R738*$AE$27+S738*$AE$28+T738*$AE$29+U738*$AE$30</f>
        <v/>
      </c>
      <c r="W738" s="8">
        <f>1/(1+EXP(-V738))</f>
        <v/>
      </c>
      <c r="X738" s="9">
        <f>-IF(C738=1,LN(W738),LN(1-W738))</f>
        <v/>
      </c>
      <c r="Y738" s="8">
        <f>IF(C738=1,$AE$32,$AE$33)</f>
        <v/>
      </c>
      <c r="Z738" s="9">
        <f>Y738*X738</f>
        <v/>
      </c>
      <c r="AA738" s="10">
        <f>IF(W738&gt;$AE$34,1,0)</f>
        <v/>
      </c>
      <c r="AB738">
        <f>IF(AA738=C738,1,0)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$AE$12+D739*$AE$13+E739*$AE$14+F739*$AE$15+G739*$AE$16+H739*$AE$17+I739*$AE$18+J739*$AE$19+K739*$AE$20+L739*$AE$21+M739*$AE$22+N739*$AE$23+O739*$AE$24+P739*$AE$25+Q739*$AE$26+R739*$AE$27+S739*$AE$28+T739*$AE$29+U739*$AE$30</f>
        <v/>
      </c>
      <c r="W739" s="8">
        <f>1/(1+EXP(-V739))</f>
        <v/>
      </c>
      <c r="X739" s="9">
        <f>-IF(C739=1,LN(W739),LN(1-W739))</f>
        <v/>
      </c>
      <c r="Y739" s="8">
        <f>IF(C739=1,$AE$32,$AE$33)</f>
        <v/>
      </c>
      <c r="Z739" s="9">
        <f>Y739*X739</f>
        <v/>
      </c>
      <c r="AA739" s="10">
        <f>IF(W739&gt;$AE$34,1,0)</f>
        <v/>
      </c>
      <c r="AB739">
        <f>IF(AA739=C739,1,0)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$AE$12+D740*$AE$13+E740*$AE$14+F740*$AE$15+G740*$AE$16+H740*$AE$17+I740*$AE$18+J740*$AE$19+K740*$AE$20+L740*$AE$21+M740*$AE$22+N740*$AE$23+O740*$AE$24+P740*$AE$25+Q740*$AE$26+R740*$AE$27+S740*$AE$28+T740*$AE$29+U740*$AE$30</f>
        <v/>
      </c>
      <c r="W740" s="8">
        <f>1/(1+EXP(-V740))</f>
        <v/>
      </c>
      <c r="X740" s="9">
        <f>-IF(C740=1,LN(W740),LN(1-W740))</f>
        <v/>
      </c>
      <c r="Y740" s="8">
        <f>IF(C740=1,$AE$32,$AE$33)</f>
        <v/>
      </c>
      <c r="Z740" s="9">
        <f>Y740*X740</f>
        <v/>
      </c>
      <c r="AA740" s="10">
        <f>IF(W740&gt;$AE$34,1,0)</f>
        <v/>
      </c>
      <c r="AB740">
        <f>IF(AA740=C740,1,0)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$AE$12+D741*$AE$13+E741*$AE$14+F741*$AE$15+G741*$AE$16+H741*$AE$17+I741*$AE$18+J741*$AE$19+K741*$AE$20+L741*$AE$21+M741*$AE$22+N741*$AE$23+O741*$AE$24+P741*$AE$25+Q741*$AE$26+R741*$AE$27+S741*$AE$28+T741*$AE$29+U741*$AE$30</f>
        <v/>
      </c>
      <c r="W741" s="8">
        <f>1/(1+EXP(-V741))</f>
        <v/>
      </c>
      <c r="X741" s="9">
        <f>-IF(C741=1,LN(W741),LN(1-W741))</f>
        <v/>
      </c>
      <c r="Y741" s="8">
        <f>IF(C741=1,$AE$32,$AE$33)</f>
        <v/>
      </c>
      <c r="Z741" s="9">
        <f>Y741*X741</f>
        <v/>
      </c>
      <c r="AA741" s="10">
        <f>IF(W741&gt;$AE$34,1,0)</f>
        <v/>
      </c>
      <c r="AB741">
        <f>IF(AA741=C741,1,0)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$AE$12+D742*$AE$13+E742*$AE$14+F742*$AE$15+G742*$AE$16+H742*$AE$17+I742*$AE$18+J742*$AE$19+K742*$AE$20+L742*$AE$21+M742*$AE$22+N742*$AE$23+O742*$AE$24+P742*$AE$25+Q742*$AE$26+R742*$AE$27+S742*$AE$28+T742*$AE$29+U742*$AE$30</f>
        <v/>
      </c>
      <c r="W742" s="8">
        <f>1/(1+EXP(-V742))</f>
        <v/>
      </c>
      <c r="X742" s="9">
        <f>-IF(C742=1,LN(W742),LN(1-W742))</f>
        <v/>
      </c>
      <c r="Y742" s="8">
        <f>IF(C742=1,$AE$32,$AE$33)</f>
        <v/>
      </c>
      <c r="Z742" s="9">
        <f>Y742*X742</f>
        <v/>
      </c>
      <c r="AA742" s="10">
        <f>IF(W742&gt;$AE$34,1,0)</f>
        <v/>
      </c>
      <c r="AB742">
        <f>IF(AA742=C742,1,0)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$AE$12+D743*$AE$13+E743*$AE$14+F743*$AE$15+G743*$AE$16+H743*$AE$17+I743*$AE$18+J743*$AE$19+K743*$AE$20+L743*$AE$21+M743*$AE$22+N743*$AE$23+O743*$AE$24+P743*$AE$25+Q743*$AE$26+R743*$AE$27+S743*$AE$28+T743*$AE$29+U743*$AE$30</f>
        <v/>
      </c>
      <c r="W743" s="8">
        <f>1/(1+EXP(-V743))</f>
        <v/>
      </c>
      <c r="X743" s="9">
        <f>-IF(C743=1,LN(W743),LN(1-W743))</f>
        <v/>
      </c>
      <c r="Y743" s="8">
        <f>IF(C743=1,$AE$32,$AE$33)</f>
        <v/>
      </c>
      <c r="Z743" s="9">
        <f>Y743*X743</f>
        <v/>
      </c>
      <c r="AA743" s="10">
        <f>IF(W743&gt;$AE$34,1,0)</f>
        <v/>
      </c>
      <c r="AB743">
        <f>IF(AA743=C743,1,0)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$AE$12+D744*$AE$13+E744*$AE$14+F744*$AE$15+G744*$AE$16+H744*$AE$17+I744*$AE$18+J744*$AE$19+K744*$AE$20+L744*$AE$21+M744*$AE$22+N744*$AE$23+O744*$AE$24+P744*$AE$25+Q744*$AE$26+R744*$AE$27+S744*$AE$28+T744*$AE$29+U744*$AE$30</f>
        <v/>
      </c>
      <c r="W744" s="8">
        <f>1/(1+EXP(-V744))</f>
        <v/>
      </c>
      <c r="X744" s="9">
        <f>-IF(C744=1,LN(W744),LN(1-W744))</f>
        <v/>
      </c>
      <c r="Y744" s="8">
        <f>IF(C744=1,$AE$32,$AE$33)</f>
        <v/>
      </c>
      <c r="Z744" s="9">
        <f>Y744*X744</f>
        <v/>
      </c>
      <c r="AA744" s="10">
        <f>IF(W744&gt;$AE$34,1,0)</f>
        <v/>
      </c>
      <c r="AB744">
        <f>IF(AA744=C744,1,0)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$AE$12+D745*$AE$13+E745*$AE$14+F745*$AE$15+G745*$AE$16+H745*$AE$17+I745*$AE$18+J745*$AE$19+K745*$AE$20+L745*$AE$21+M745*$AE$22+N745*$AE$23+O745*$AE$24+P745*$AE$25+Q745*$AE$26+R745*$AE$27+S745*$AE$28+T745*$AE$29+U745*$AE$30</f>
        <v/>
      </c>
      <c r="W745" s="8">
        <f>1/(1+EXP(-V745))</f>
        <v/>
      </c>
      <c r="X745" s="9">
        <f>-IF(C745=1,LN(W745),LN(1-W745))</f>
        <v/>
      </c>
      <c r="Y745" s="8">
        <f>IF(C745=1,$AE$32,$AE$33)</f>
        <v/>
      </c>
      <c r="Z745" s="9">
        <f>Y745*X745</f>
        <v/>
      </c>
      <c r="AA745" s="10">
        <f>IF(W745&gt;$AE$34,1,0)</f>
        <v/>
      </c>
      <c r="AB745">
        <f>IF(AA745=C745,1,0)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$AE$12+D746*$AE$13+E746*$AE$14+F746*$AE$15+G746*$AE$16+H746*$AE$17+I746*$AE$18+J746*$AE$19+K746*$AE$20+L746*$AE$21+M746*$AE$22+N746*$AE$23+O746*$AE$24+P746*$AE$25+Q746*$AE$26+R746*$AE$27+S746*$AE$28+T746*$AE$29+U746*$AE$30</f>
        <v/>
      </c>
      <c r="W746" s="8">
        <f>1/(1+EXP(-V746))</f>
        <v/>
      </c>
      <c r="X746" s="9">
        <f>-IF(C746=1,LN(W746),LN(1-W746))</f>
        <v/>
      </c>
      <c r="Y746" s="8">
        <f>IF(C746=1,$AE$32,$AE$33)</f>
        <v/>
      </c>
      <c r="Z746" s="9">
        <f>Y746*X746</f>
        <v/>
      </c>
      <c r="AA746" s="10">
        <f>IF(W746&gt;$AE$34,1,0)</f>
        <v/>
      </c>
      <c r="AB746">
        <f>IF(AA746=C746,1,0)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$AE$12+D747*$AE$13+E747*$AE$14+F747*$AE$15+G747*$AE$16+H747*$AE$17+I747*$AE$18+J747*$AE$19+K747*$AE$20+L747*$AE$21+M747*$AE$22+N747*$AE$23+O747*$AE$24+P747*$AE$25+Q747*$AE$26+R747*$AE$27+S747*$AE$28+T747*$AE$29+U747*$AE$30</f>
        <v/>
      </c>
      <c r="W747" s="8">
        <f>1/(1+EXP(-V747))</f>
        <v/>
      </c>
      <c r="X747" s="9">
        <f>-IF(C747=1,LN(W747),LN(1-W747))</f>
        <v/>
      </c>
      <c r="Y747" s="8">
        <f>IF(C747=1,$AE$32,$AE$33)</f>
        <v/>
      </c>
      <c r="Z747" s="9">
        <f>Y747*X747</f>
        <v/>
      </c>
      <c r="AA747" s="10">
        <f>IF(W747&gt;$AE$34,1,0)</f>
        <v/>
      </c>
      <c r="AB747">
        <f>IF(AA747=C747,1,0)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$AE$12+D748*$AE$13+E748*$AE$14+F748*$AE$15+G748*$AE$16+H748*$AE$17+I748*$AE$18+J748*$AE$19+K748*$AE$20+L748*$AE$21+M748*$AE$22+N748*$AE$23+O748*$AE$24+P748*$AE$25+Q748*$AE$26+R748*$AE$27+S748*$AE$28+T748*$AE$29+U748*$AE$30</f>
        <v/>
      </c>
      <c r="W748" s="8">
        <f>1/(1+EXP(-V748))</f>
        <v/>
      </c>
      <c r="X748" s="9">
        <f>-IF(C748=1,LN(W748),LN(1-W748))</f>
        <v/>
      </c>
      <c r="Y748" s="8">
        <f>IF(C748=1,$AE$32,$AE$33)</f>
        <v/>
      </c>
      <c r="Z748" s="9">
        <f>Y748*X748</f>
        <v/>
      </c>
      <c r="AA748" s="10">
        <f>IF(W748&gt;$AE$34,1,0)</f>
        <v/>
      </c>
      <c r="AB748">
        <f>IF(AA748=C748,1,0)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$AE$12+D749*$AE$13+E749*$AE$14+F749*$AE$15+G749*$AE$16+H749*$AE$17+I749*$AE$18+J749*$AE$19+K749*$AE$20+L749*$AE$21+M749*$AE$22+N749*$AE$23+O749*$AE$24+P749*$AE$25+Q749*$AE$26+R749*$AE$27+S749*$AE$28+T749*$AE$29+U749*$AE$30</f>
        <v/>
      </c>
      <c r="W749" s="8">
        <f>1/(1+EXP(-V749))</f>
        <v/>
      </c>
      <c r="X749" s="9">
        <f>-IF(C749=1,LN(W749),LN(1-W749))</f>
        <v/>
      </c>
      <c r="Y749" s="8">
        <f>IF(C749=1,$AE$32,$AE$33)</f>
        <v/>
      </c>
      <c r="Z749" s="9">
        <f>Y749*X749</f>
        <v/>
      </c>
      <c r="AA749" s="10">
        <f>IF(W749&gt;$AE$34,1,0)</f>
        <v/>
      </c>
      <c r="AB749">
        <f>IF(AA749=C749,1,0)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$AE$12+D750*$AE$13+E750*$AE$14+F750*$AE$15+G750*$AE$16+H750*$AE$17+I750*$AE$18+J750*$AE$19+K750*$AE$20+L750*$AE$21+M750*$AE$22+N750*$AE$23+O750*$AE$24+P750*$AE$25+Q750*$AE$26+R750*$AE$27+S750*$AE$28+T750*$AE$29+U750*$AE$30</f>
        <v/>
      </c>
      <c r="W750" s="8">
        <f>1/(1+EXP(-V750))</f>
        <v/>
      </c>
      <c r="X750" s="9">
        <f>-IF(C750=1,LN(W750),LN(1-W750))</f>
        <v/>
      </c>
      <c r="Y750" s="8">
        <f>IF(C750=1,$AE$32,$AE$33)</f>
        <v/>
      </c>
      <c r="Z750" s="9">
        <f>Y750*X750</f>
        <v/>
      </c>
      <c r="AA750" s="10">
        <f>IF(W750&gt;$AE$34,1,0)</f>
        <v/>
      </c>
      <c r="AB750">
        <f>IF(AA750=C750,1,0)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$AE$12+D751*$AE$13+E751*$AE$14+F751*$AE$15+G751*$AE$16+H751*$AE$17+I751*$AE$18+J751*$AE$19+K751*$AE$20+L751*$AE$21+M751*$AE$22+N751*$AE$23+O751*$AE$24+P751*$AE$25+Q751*$AE$26+R751*$AE$27+S751*$AE$28+T751*$AE$29+U751*$AE$30</f>
        <v/>
      </c>
      <c r="W751" s="8">
        <f>1/(1+EXP(-V751))</f>
        <v/>
      </c>
      <c r="X751" s="9">
        <f>-IF(C751=1,LN(W751),LN(1-W751))</f>
        <v/>
      </c>
      <c r="Y751" s="8">
        <f>IF(C751=1,$AE$32,$AE$33)</f>
        <v/>
      </c>
      <c r="Z751" s="9">
        <f>Y751*X751</f>
        <v/>
      </c>
      <c r="AA751" s="10">
        <f>IF(W751&gt;$AE$34,1,0)</f>
        <v/>
      </c>
      <c r="AB751">
        <f>IF(AA751=C751,1,0)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$AE$12+D752*$AE$13+E752*$AE$14+F752*$AE$15+G752*$AE$16+H752*$AE$17+I752*$AE$18+J752*$AE$19+K752*$AE$20+L752*$AE$21+M752*$AE$22+N752*$AE$23+O752*$AE$24+P752*$AE$25+Q752*$AE$26+R752*$AE$27+S752*$AE$28+T752*$AE$29+U752*$AE$30</f>
        <v/>
      </c>
      <c r="W752" s="8">
        <f>1/(1+EXP(-V752))</f>
        <v/>
      </c>
      <c r="X752" s="9">
        <f>-IF(C752=1,LN(W752),LN(1-W752))</f>
        <v/>
      </c>
      <c r="Y752" s="8">
        <f>IF(C752=1,$AE$32,$AE$33)</f>
        <v/>
      </c>
      <c r="Z752" s="9">
        <f>Y752*X752</f>
        <v/>
      </c>
      <c r="AA752" s="10">
        <f>IF(W752&gt;$AE$34,1,0)</f>
        <v/>
      </c>
      <c r="AB752">
        <f>IF(AA752=C752,1,0)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$AE$12+D753*$AE$13+E753*$AE$14+F753*$AE$15+G753*$AE$16+H753*$AE$17+I753*$AE$18+J753*$AE$19+K753*$AE$20+L753*$AE$21+M753*$AE$22+N753*$AE$23+O753*$AE$24+P753*$AE$25+Q753*$AE$26+R753*$AE$27+S753*$AE$28+T753*$AE$29+U753*$AE$30</f>
        <v/>
      </c>
      <c r="W753" s="8">
        <f>1/(1+EXP(-V753))</f>
        <v/>
      </c>
      <c r="X753" s="9">
        <f>-IF(C753=1,LN(W753),LN(1-W753))</f>
        <v/>
      </c>
      <c r="Y753" s="8">
        <f>IF(C753=1,$AE$32,$AE$33)</f>
        <v/>
      </c>
      <c r="Z753" s="9">
        <f>Y753*X753</f>
        <v/>
      </c>
      <c r="AA753" s="10">
        <f>IF(W753&gt;$AE$34,1,0)</f>
        <v/>
      </c>
      <c r="AB753">
        <f>IF(AA753=C753,1,0)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$AE$12+D754*$AE$13+E754*$AE$14+F754*$AE$15+G754*$AE$16+H754*$AE$17+I754*$AE$18+J754*$AE$19+K754*$AE$20+L754*$AE$21+M754*$AE$22+N754*$AE$23+O754*$AE$24+P754*$AE$25+Q754*$AE$26+R754*$AE$27+S754*$AE$28+T754*$AE$29+U754*$AE$30</f>
        <v/>
      </c>
      <c r="W754" s="8">
        <f>1/(1+EXP(-V754))</f>
        <v/>
      </c>
      <c r="X754" s="9">
        <f>-IF(C754=1,LN(W754),LN(1-W754))</f>
        <v/>
      </c>
      <c r="Y754" s="8">
        <f>IF(C754=1,$AE$32,$AE$33)</f>
        <v/>
      </c>
      <c r="Z754" s="9">
        <f>Y754*X754</f>
        <v/>
      </c>
      <c r="AA754" s="10">
        <f>IF(W754&gt;$AE$34,1,0)</f>
        <v/>
      </c>
      <c r="AB754">
        <f>IF(AA754=C754,1,0)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$AE$12+D755*$AE$13+E755*$AE$14+F755*$AE$15+G755*$AE$16+H755*$AE$17+I755*$AE$18+J755*$AE$19+K755*$AE$20+L755*$AE$21+M755*$AE$22+N755*$AE$23+O755*$AE$24+P755*$AE$25+Q755*$AE$26+R755*$AE$27+S755*$AE$28+T755*$AE$29+U755*$AE$30</f>
        <v/>
      </c>
      <c r="W755" s="8">
        <f>1/(1+EXP(-V755))</f>
        <v/>
      </c>
      <c r="X755" s="9">
        <f>-IF(C755=1,LN(W755),LN(1-W755))</f>
        <v/>
      </c>
      <c r="Y755" s="8">
        <f>IF(C755=1,$AE$32,$AE$33)</f>
        <v/>
      </c>
      <c r="Z755" s="9">
        <f>Y755*X755</f>
        <v/>
      </c>
      <c r="AA755" s="10">
        <f>IF(W755&gt;$AE$34,1,0)</f>
        <v/>
      </c>
      <c r="AB755">
        <f>IF(AA755=C755,1,0)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$AE$12+D756*$AE$13+E756*$AE$14+F756*$AE$15+G756*$AE$16+H756*$AE$17+I756*$AE$18+J756*$AE$19+K756*$AE$20+L756*$AE$21+M756*$AE$22+N756*$AE$23+O756*$AE$24+P756*$AE$25+Q756*$AE$26+R756*$AE$27+S756*$AE$28+T756*$AE$29+U756*$AE$30</f>
        <v/>
      </c>
      <c r="W756" s="8">
        <f>1/(1+EXP(-V756))</f>
        <v/>
      </c>
      <c r="X756" s="9">
        <f>-IF(C756=1,LN(W756),LN(1-W756))</f>
        <v/>
      </c>
      <c r="Y756" s="8">
        <f>IF(C756=1,$AE$32,$AE$33)</f>
        <v/>
      </c>
      <c r="Z756" s="9">
        <f>Y756*X756</f>
        <v/>
      </c>
      <c r="AA756" s="10">
        <f>IF(W756&gt;$AE$34,1,0)</f>
        <v/>
      </c>
      <c r="AB756">
        <f>IF(AA756=C756,1,0)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$AE$12+D757*$AE$13+E757*$AE$14+F757*$AE$15+G757*$AE$16+H757*$AE$17+I757*$AE$18+J757*$AE$19+K757*$AE$20+L757*$AE$21+M757*$AE$22+N757*$AE$23+O757*$AE$24+P757*$AE$25+Q757*$AE$26+R757*$AE$27+S757*$AE$28+T757*$AE$29+U757*$AE$30</f>
        <v/>
      </c>
      <c r="W757" s="8">
        <f>1/(1+EXP(-V757))</f>
        <v/>
      </c>
      <c r="X757" s="9">
        <f>-IF(C757=1,LN(W757),LN(1-W757))</f>
        <v/>
      </c>
      <c r="Y757" s="8">
        <f>IF(C757=1,$AE$32,$AE$33)</f>
        <v/>
      </c>
      <c r="Z757" s="9">
        <f>Y757*X757</f>
        <v/>
      </c>
      <c r="AA757" s="10">
        <f>IF(W757&gt;$AE$34,1,0)</f>
        <v/>
      </c>
      <c r="AB757">
        <f>IF(AA757=C757,1,0)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$AE$12+D758*$AE$13+E758*$AE$14+F758*$AE$15+G758*$AE$16+H758*$AE$17+I758*$AE$18+J758*$AE$19+K758*$AE$20+L758*$AE$21+M758*$AE$22+N758*$AE$23+O758*$AE$24+P758*$AE$25+Q758*$AE$26+R758*$AE$27+S758*$AE$28+T758*$AE$29+U758*$AE$30</f>
        <v/>
      </c>
      <c r="W758" s="8">
        <f>1/(1+EXP(-V758))</f>
        <v/>
      </c>
      <c r="X758" s="9">
        <f>-IF(C758=1,LN(W758),LN(1-W758))</f>
        <v/>
      </c>
      <c r="Y758" s="8">
        <f>IF(C758=1,$AE$32,$AE$33)</f>
        <v/>
      </c>
      <c r="Z758" s="9">
        <f>Y758*X758</f>
        <v/>
      </c>
      <c r="AA758" s="10">
        <f>IF(W758&gt;$AE$34,1,0)</f>
        <v/>
      </c>
      <c r="AB758">
        <f>IF(AA758=C758,1,0)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$AE$12+D759*$AE$13+E759*$AE$14+F759*$AE$15+G759*$AE$16+H759*$AE$17+I759*$AE$18+J759*$AE$19+K759*$AE$20+L759*$AE$21+M759*$AE$22+N759*$AE$23+O759*$AE$24+P759*$AE$25+Q759*$AE$26+R759*$AE$27+S759*$AE$28+T759*$AE$29+U759*$AE$30</f>
        <v/>
      </c>
      <c r="W759" s="8">
        <f>1/(1+EXP(-V759))</f>
        <v/>
      </c>
      <c r="X759" s="9">
        <f>-IF(C759=1,LN(W759),LN(1-W759))</f>
        <v/>
      </c>
      <c r="Y759" s="8">
        <f>IF(C759=1,$AE$32,$AE$33)</f>
        <v/>
      </c>
      <c r="Z759" s="9">
        <f>Y759*X759</f>
        <v/>
      </c>
      <c r="AA759" s="10">
        <f>IF(W759&gt;$AE$34,1,0)</f>
        <v/>
      </c>
      <c r="AB759">
        <f>IF(AA759=C759,1,0)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$AE$12+D760*$AE$13+E760*$AE$14+F760*$AE$15+G760*$AE$16+H760*$AE$17+I760*$AE$18+J760*$AE$19+K760*$AE$20+L760*$AE$21+M760*$AE$22+N760*$AE$23+O760*$AE$24+P760*$AE$25+Q760*$AE$26+R760*$AE$27+S760*$AE$28+T760*$AE$29+U760*$AE$30</f>
        <v/>
      </c>
      <c r="W760" s="8">
        <f>1/(1+EXP(-V760))</f>
        <v/>
      </c>
      <c r="X760" s="9">
        <f>-IF(C760=1,LN(W760),LN(1-W760))</f>
        <v/>
      </c>
      <c r="Y760" s="8">
        <f>IF(C760=1,$AE$32,$AE$33)</f>
        <v/>
      </c>
      <c r="Z760" s="9">
        <f>Y760*X760</f>
        <v/>
      </c>
      <c r="AA760" s="10">
        <f>IF(W760&gt;$AE$34,1,0)</f>
        <v/>
      </c>
      <c r="AB760">
        <f>IF(AA760=C760,1,0)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$AE$12+D761*$AE$13+E761*$AE$14+F761*$AE$15+G761*$AE$16+H761*$AE$17+I761*$AE$18+J761*$AE$19+K761*$AE$20+L761*$AE$21+M761*$AE$22+N761*$AE$23+O761*$AE$24+P761*$AE$25+Q761*$AE$26+R761*$AE$27+S761*$AE$28+T761*$AE$29+U761*$AE$30</f>
        <v/>
      </c>
      <c r="W761" s="8">
        <f>1/(1+EXP(-V761))</f>
        <v/>
      </c>
      <c r="X761" s="9">
        <f>-IF(C761=1,LN(W761),LN(1-W761))</f>
        <v/>
      </c>
      <c r="Y761" s="8">
        <f>IF(C761=1,$AE$32,$AE$33)</f>
        <v/>
      </c>
      <c r="Z761" s="9">
        <f>Y761*X761</f>
        <v/>
      </c>
      <c r="AA761" s="10">
        <f>IF(W761&gt;$AE$34,1,0)</f>
        <v/>
      </c>
      <c r="AB761">
        <f>IF(AA761=C761,1,0)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$AE$12+D762*$AE$13+E762*$AE$14+F762*$AE$15+G762*$AE$16+H762*$AE$17+I762*$AE$18+J762*$AE$19+K762*$AE$20+L762*$AE$21+M762*$AE$22+N762*$AE$23+O762*$AE$24+P762*$AE$25+Q762*$AE$26+R762*$AE$27+S762*$AE$28+T762*$AE$29+U762*$AE$30</f>
        <v/>
      </c>
      <c r="W762" s="8">
        <f>1/(1+EXP(-V762))</f>
        <v/>
      </c>
      <c r="X762" s="9">
        <f>-IF(C762=1,LN(W762),LN(1-W762))</f>
        <v/>
      </c>
      <c r="Y762" s="8">
        <f>IF(C762=1,$AE$32,$AE$33)</f>
        <v/>
      </c>
      <c r="Z762" s="9">
        <f>Y762*X762</f>
        <v/>
      </c>
      <c r="AA762" s="10">
        <f>IF(W762&gt;$AE$34,1,0)</f>
        <v/>
      </c>
      <c r="AB762">
        <f>IF(AA762=C762,1,0)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$AE$12+D763*$AE$13+E763*$AE$14+F763*$AE$15+G763*$AE$16+H763*$AE$17+I763*$AE$18+J763*$AE$19+K763*$AE$20+L763*$AE$21+M763*$AE$22+N763*$AE$23+O763*$AE$24+P763*$AE$25+Q763*$AE$26+R763*$AE$27+S763*$AE$28+T763*$AE$29+U763*$AE$30</f>
        <v/>
      </c>
      <c r="W763" s="8">
        <f>1/(1+EXP(-V763))</f>
        <v/>
      </c>
      <c r="X763" s="9">
        <f>-IF(C763=1,LN(W763),LN(1-W763))</f>
        <v/>
      </c>
      <c r="Y763" s="8">
        <f>IF(C763=1,$AE$32,$AE$33)</f>
        <v/>
      </c>
      <c r="Z763" s="9">
        <f>Y763*X763</f>
        <v/>
      </c>
      <c r="AA763" s="10">
        <f>IF(W763&gt;$AE$34,1,0)</f>
        <v/>
      </c>
      <c r="AB763">
        <f>IF(AA763=C763,1,0)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$AE$12+D764*$AE$13+E764*$AE$14+F764*$AE$15+G764*$AE$16+H764*$AE$17+I764*$AE$18+J764*$AE$19+K764*$AE$20+L764*$AE$21+M764*$AE$22+N764*$AE$23+O764*$AE$24+P764*$AE$25+Q764*$AE$26+R764*$AE$27+S764*$AE$28+T764*$AE$29+U764*$AE$30</f>
        <v/>
      </c>
      <c r="W764" s="8">
        <f>1/(1+EXP(-V764))</f>
        <v/>
      </c>
      <c r="X764" s="9">
        <f>-IF(C764=1,LN(W764),LN(1-W764))</f>
        <v/>
      </c>
      <c r="Y764" s="8">
        <f>IF(C764=1,$AE$32,$AE$33)</f>
        <v/>
      </c>
      <c r="Z764" s="9">
        <f>Y764*X764</f>
        <v/>
      </c>
      <c r="AA764" s="10">
        <f>IF(W764&gt;$AE$34,1,0)</f>
        <v/>
      </c>
      <c r="AB764">
        <f>IF(AA764=C764,1,0)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$AE$12+D765*$AE$13+E765*$AE$14+F765*$AE$15+G765*$AE$16+H765*$AE$17+I765*$AE$18+J765*$AE$19+K765*$AE$20+L765*$AE$21+M765*$AE$22+N765*$AE$23+O765*$AE$24+P765*$AE$25+Q765*$AE$26+R765*$AE$27+S765*$AE$28+T765*$AE$29+U765*$AE$30</f>
        <v/>
      </c>
      <c r="W765" s="8">
        <f>1/(1+EXP(-V765))</f>
        <v/>
      </c>
      <c r="X765" s="9">
        <f>-IF(C765=1,LN(W765),LN(1-W765))</f>
        <v/>
      </c>
      <c r="Y765" s="8">
        <f>IF(C765=1,$AE$32,$AE$33)</f>
        <v/>
      </c>
      <c r="Z765" s="9">
        <f>Y765*X765</f>
        <v/>
      </c>
      <c r="AA765" s="10">
        <f>IF(W765&gt;$AE$34,1,0)</f>
        <v/>
      </c>
      <c r="AB765">
        <f>IF(AA765=C765,1,0)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$AE$12+D766*$AE$13+E766*$AE$14+F766*$AE$15+G766*$AE$16+H766*$AE$17+I766*$AE$18+J766*$AE$19+K766*$AE$20+L766*$AE$21+M766*$AE$22+N766*$AE$23+O766*$AE$24+P766*$AE$25+Q766*$AE$26+R766*$AE$27+S766*$AE$28+T766*$AE$29+U766*$AE$30</f>
        <v/>
      </c>
      <c r="W766" s="8">
        <f>1/(1+EXP(-V766))</f>
        <v/>
      </c>
      <c r="X766" s="9">
        <f>-IF(C766=1,LN(W766),LN(1-W766))</f>
        <v/>
      </c>
      <c r="Y766" s="8">
        <f>IF(C766=1,$AE$32,$AE$33)</f>
        <v/>
      </c>
      <c r="Z766" s="9">
        <f>Y766*X766</f>
        <v/>
      </c>
      <c r="AA766" s="10">
        <f>IF(W766&gt;$AE$34,1,0)</f>
        <v/>
      </c>
      <c r="AB766">
        <f>IF(AA766=C766,1,0)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$AE$12+D767*$AE$13+E767*$AE$14+F767*$AE$15+G767*$AE$16+H767*$AE$17+I767*$AE$18+J767*$AE$19+K767*$AE$20+L767*$AE$21+M767*$AE$22+N767*$AE$23+O767*$AE$24+P767*$AE$25+Q767*$AE$26+R767*$AE$27+S767*$AE$28+T767*$AE$29+U767*$AE$30</f>
        <v/>
      </c>
      <c r="W767" s="8">
        <f>1/(1+EXP(-V767))</f>
        <v/>
      </c>
      <c r="X767" s="9">
        <f>-IF(C767=1,LN(W767),LN(1-W767))</f>
        <v/>
      </c>
      <c r="Y767" s="8">
        <f>IF(C767=1,$AE$32,$AE$33)</f>
        <v/>
      </c>
      <c r="Z767" s="9">
        <f>Y767*X767</f>
        <v/>
      </c>
      <c r="AA767" s="10">
        <f>IF(W767&gt;$AE$34,1,0)</f>
        <v/>
      </c>
      <c r="AB767">
        <f>IF(AA767=C767,1,0)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$AE$12+D768*$AE$13+E768*$AE$14+F768*$AE$15+G768*$AE$16+H768*$AE$17+I768*$AE$18+J768*$AE$19+K768*$AE$20+L768*$AE$21+M768*$AE$22+N768*$AE$23+O768*$AE$24+P768*$AE$25+Q768*$AE$26+R768*$AE$27+S768*$AE$28+T768*$AE$29+U768*$AE$30</f>
        <v/>
      </c>
      <c r="W768" s="8">
        <f>1/(1+EXP(-V768))</f>
        <v/>
      </c>
      <c r="X768" s="9">
        <f>-IF(C768=1,LN(W768),LN(1-W768))</f>
        <v/>
      </c>
      <c r="Y768" s="8">
        <f>IF(C768=1,$AE$32,$AE$33)</f>
        <v/>
      </c>
      <c r="Z768" s="9">
        <f>Y768*X768</f>
        <v/>
      </c>
      <c r="AA768" s="10">
        <f>IF(W768&gt;$AE$34,1,0)</f>
        <v/>
      </c>
      <c r="AB768">
        <f>IF(AA768=C768,1,0)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$AE$12+D769*$AE$13+E769*$AE$14+F769*$AE$15+G769*$AE$16+H769*$AE$17+I769*$AE$18+J769*$AE$19+K769*$AE$20+L769*$AE$21+M769*$AE$22+N769*$AE$23+O769*$AE$24+P769*$AE$25+Q769*$AE$26+R769*$AE$27+S769*$AE$28+T769*$AE$29+U769*$AE$30</f>
        <v/>
      </c>
      <c r="W769" s="8">
        <f>1/(1+EXP(-V769))</f>
        <v/>
      </c>
      <c r="X769" s="9">
        <f>-IF(C769=1,LN(W769),LN(1-W769))</f>
        <v/>
      </c>
      <c r="Y769" s="8">
        <f>IF(C769=1,$AE$32,$AE$33)</f>
        <v/>
      </c>
      <c r="Z769" s="9">
        <f>Y769*X769</f>
        <v/>
      </c>
      <c r="AA769" s="10">
        <f>IF(W769&gt;$AE$34,1,0)</f>
        <v/>
      </c>
      <c r="AB769">
        <f>IF(AA769=C769,1,0)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$AE$12+D770*$AE$13+E770*$AE$14+F770*$AE$15+G770*$AE$16+H770*$AE$17+I770*$AE$18+J770*$AE$19+K770*$AE$20+L770*$AE$21+M770*$AE$22+N770*$AE$23+O770*$AE$24+P770*$AE$25+Q770*$AE$26+R770*$AE$27+S770*$AE$28+T770*$AE$29+U770*$AE$30</f>
        <v/>
      </c>
      <c r="W770" s="8">
        <f>1/(1+EXP(-V770))</f>
        <v/>
      </c>
      <c r="X770" s="9">
        <f>-IF(C770=1,LN(W770),LN(1-W770))</f>
        <v/>
      </c>
      <c r="Y770" s="8">
        <f>IF(C770=1,$AE$32,$AE$33)</f>
        <v/>
      </c>
      <c r="Z770" s="9">
        <f>Y770*X770</f>
        <v/>
      </c>
      <c r="AA770" s="10">
        <f>IF(W770&gt;$AE$34,1,0)</f>
        <v/>
      </c>
      <c r="AB770">
        <f>IF(AA770=C770,1,0)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$AE$12+D771*$AE$13+E771*$AE$14+F771*$AE$15+G771*$AE$16+H771*$AE$17+I771*$AE$18+J771*$AE$19+K771*$AE$20+L771*$AE$21+M771*$AE$22+N771*$AE$23+O771*$AE$24+P771*$AE$25+Q771*$AE$26+R771*$AE$27+S771*$AE$28+T771*$AE$29+U771*$AE$30</f>
        <v/>
      </c>
      <c r="W771" s="8">
        <f>1/(1+EXP(-V771))</f>
        <v/>
      </c>
      <c r="X771" s="9">
        <f>-IF(C771=1,LN(W771),LN(1-W771))</f>
        <v/>
      </c>
      <c r="Y771" s="8">
        <f>IF(C771=1,$AE$32,$AE$33)</f>
        <v/>
      </c>
      <c r="Z771" s="9">
        <f>Y771*X771</f>
        <v/>
      </c>
      <c r="AA771" s="10">
        <f>IF(W771&gt;$AE$34,1,0)</f>
        <v/>
      </c>
      <c r="AB771">
        <f>IF(AA771=C771,1,0)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$AE$12+D772*$AE$13+E772*$AE$14+F772*$AE$15+G772*$AE$16+H772*$AE$17+I772*$AE$18+J772*$AE$19+K772*$AE$20+L772*$AE$21+M772*$AE$22+N772*$AE$23+O772*$AE$24+P772*$AE$25+Q772*$AE$26+R772*$AE$27+S772*$AE$28+T772*$AE$29+U772*$AE$30</f>
        <v/>
      </c>
      <c r="W772" s="8">
        <f>1/(1+EXP(-V772))</f>
        <v/>
      </c>
      <c r="X772" s="9">
        <f>-IF(C772=1,LN(W772),LN(1-W772))</f>
        <v/>
      </c>
      <c r="Y772" s="8">
        <f>IF(C772=1,$AE$32,$AE$33)</f>
        <v/>
      </c>
      <c r="Z772" s="9">
        <f>Y772*X772</f>
        <v/>
      </c>
      <c r="AA772" s="10">
        <f>IF(W772&gt;$AE$34,1,0)</f>
        <v/>
      </c>
      <c r="AB772">
        <f>IF(AA772=C772,1,0)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$AE$12+D773*$AE$13+E773*$AE$14+F773*$AE$15+G773*$AE$16+H773*$AE$17+I773*$AE$18+J773*$AE$19+K773*$AE$20+L773*$AE$21+M773*$AE$22+N773*$AE$23+O773*$AE$24+P773*$AE$25+Q773*$AE$26+R773*$AE$27+S773*$AE$28+T773*$AE$29+U773*$AE$30</f>
        <v/>
      </c>
      <c r="W773" s="8">
        <f>1/(1+EXP(-V773))</f>
        <v/>
      </c>
      <c r="X773" s="9">
        <f>-IF(C773=1,LN(W773),LN(1-W773))</f>
        <v/>
      </c>
      <c r="Y773" s="8">
        <f>IF(C773=1,$AE$32,$AE$33)</f>
        <v/>
      </c>
      <c r="Z773" s="9">
        <f>Y773*X773</f>
        <v/>
      </c>
      <c r="AA773" s="10">
        <f>IF(W773&gt;$AE$34,1,0)</f>
        <v/>
      </c>
      <c r="AB773">
        <f>IF(AA773=C773,1,0)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$AE$12+D774*$AE$13+E774*$AE$14+F774*$AE$15+G774*$AE$16+H774*$AE$17+I774*$AE$18+J774*$AE$19+K774*$AE$20+L774*$AE$21+M774*$AE$22+N774*$AE$23+O774*$AE$24+P774*$AE$25+Q774*$AE$26+R774*$AE$27+S774*$AE$28+T774*$AE$29+U774*$AE$30</f>
        <v/>
      </c>
      <c r="W774" s="8">
        <f>1/(1+EXP(-V774))</f>
        <v/>
      </c>
      <c r="X774" s="9">
        <f>-IF(C774=1,LN(W774),LN(1-W774))</f>
        <v/>
      </c>
      <c r="Y774" s="8">
        <f>IF(C774=1,$AE$32,$AE$33)</f>
        <v/>
      </c>
      <c r="Z774" s="9">
        <f>Y774*X774</f>
        <v/>
      </c>
      <c r="AA774" s="10">
        <f>IF(W774&gt;$AE$34,1,0)</f>
        <v/>
      </c>
      <c r="AB774">
        <f>IF(AA774=C774,1,0)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$AE$12+D775*$AE$13+E775*$AE$14+F775*$AE$15+G775*$AE$16+H775*$AE$17+I775*$AE$18+J775*$AE$19+K775*$AE$20+L775*$AE$21+M775*$AE$22+N775*$AE$23+O775*$AE$24+P775*$AE$25+Q775*$AE$26+R775*$AE$27+S775*$AE$28+T775*$AE$29+U775*$AE$30</f>
        <v/>
      </c>
      <c r="W775" s="8">
        <f>1/(1+EXP(-V775))</f>
        <v/>
      </c>
      <c r="X775" s="9">
        <f>-IF(C775=1,LN(W775),LN(1-W775))</f>
        <v/>
      </c>
      <c r="Y775" s="8">
        <f>IF(C775=1,$AE$32,$AE$33)</f>
        <v/>
      </c>
      <c r="Z775" s="9">
        <f>Y775*X775</f>
        <v/>
      </c>
      <c r="AA775" s="10">
        <f>IF(W775&gt;$AE$34,1,0)</f>
        <v/>
      </c>
      <c r="AB775">
        <f>IF(AA775=C775,1,0)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$AE$12+D776*$AE$13+E776*$AE$14+F776*$AE$15+G776*$AE$16+H776*$AE$17+I776*$AE$18+J776*$AE$19+K776*$AE$20+L776*$AE$21+M776*$AE$22+N776*$AE$23+O776*$AE$24+P776*$AE$25+Q776*$AE$26+R776*$AE$27+S776*$AE$28+T776*$AE$29+U776*$AE$30</f>
        <v/>
      </c>
      <c r="W776" s="8">
        <f>1/(1+EXP(-V776))</f>
        <v/>
      </c>
      <c r="X776" s="9">
        <f>-IF(C776=1,LN(W776),LN(1-W776))</f>
        <v/>
      </c>
      <c r="Y776" s="8">
        <f>IF(C776=1,$AE$32,$AE$33)</f>
        <v/>
      </c>
      <c r="Z776" s="9">
        <f>Y776*X776</f>
        <v/>
      </c>
      <c r="AA776" s="10">
        <f>IF(W776&gt;$AE$34,1,0)</f>
        <v/>
      </c>
      <c r="AB776">
        <f>IF(AA776=C776,1,0)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$AE$12+D777*$AE$13+E777*$AE$14+F777*$AE$15+G777*$AE$16+H777*$AE$17+I777*$AE$18+J777*$AE$19+K777*$AE$20+L777*$AE$21+M777*$AE$22+N777*$AE$23+O777*$AE$24+P777*$AE$25+Q777*$AE$26+R777*$AE$27+S777*$AE$28+T777*$AE$29+U777*$AE$30</f>
        <v/>
      </c>
      <c r="W777" s="8">
        <f>1/(1+EXP(-V777))</f>
        <v/>
      </c>
      <c r="X777" s="9">
        <f>-IF(C777=1,LN(W777),LN(1-W777))</f>
        <v/>
      </c>
      <c r="Y777" s="8">
        <f>IF(C777=1,$AE$32,$AE$33)</f>
        <v/>
      </c>
      <c r="Z777" s="9">
        <f>Y777*X777</f>
        <v/>
      </c>
      <c r="AA777" s="10">
        <f>IF(W777&gt;$AE$34,1,0)</f>
        <v/>
      </c>
      <c r="AB777">
        <f>IF(AA777=C777,1,0)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$AE$12+D778*$AE$13+E778*$AE$14+F778*$AE$15+G778*$AE$16+H778*$AE$17+I778*$AE$18+J778*$AE$19+K778*$AE$20+L778*$AE$21+M778*$AE$22+N778*$AE$23+O778*$AE$24+P778*$AE$25+Q778*$AE$26+R778*$AE$27+S778*$AE$28+T778*$AE$29+U778*$AE$30</f>
        <v/>
      </c>
      <c r="W778" s="8">
        <f>1/(1+EXP(-V778))</f>
        <v/>
      </c>
      <c r="X778" s="9">
        <f>-IF(C778=1,LN(W778),LN(1-W778))</f>
        <v/>
      </c>
      <c r="Y778" s="8">
        <f>IF(C778=1,$AE$32,$AE$33)</f>
        <v/>
      </c>
      <c r="Z778" s="9">
        <f>Y778*X778</f>
        <v/>
      </c>
      <c r="AA778" s="10">
        <f>IF(W778&gt;$AE$34,1,0)</f>
        <v/>
      </c>
      <c r="AB778">
        <f>IF(AA778=C778,1,0)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$AE$12+D779*$AE$13+E779*$AE$14+F779*$AE$15+G779*$AE$16+H779*$AE$17+I779*$AE$18+J779*$AE$19+K779*$AE$20+L779*$AE$21+M779*$AE$22+N779*$AE$23+O779*$AE$24+P779*$AE$25+Q779*$AE$26+R779*$AE$27+S779*$AE$28+T779*$AE$29+U779*$AE$30</f>
        <v/>
      </c>
      <c r="W779" s="8">
        <f>1/(1+EXP(-V779))</f>
        <v/>
      </c>
      <c r="X779" s="9">
        <f>-IF(C779=1,LN(W779),LN(1-W779))</f>
        <v/>
      </c>
      <c r="Y779" s="8">
        <f>IF(C779=1,$AE$32,$AE$33)</f>
        <v/>
      </c>
      <c r="Z779" s="9">
        <f>Y779*X779</f>
        <v/>
      </c>
      <c r="AA779" s="10">
        <f>IF(W779&gt;$AE$34,1,0)</f>
        <v/>
      </c>
      <c r="AB779">
        <f>IF(AA779=C779,1,0)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$AE$12+D780*$AE$13+E780*$AE$14+F780*$AE$15+G780*$AE$16+H780*$AE$17+I780*$AE$18+J780*$AE$19+K780*$AE$20+L780*$AE$21+M780*$AE$22+N780*$AE$23+O780*$AE$24+P780*$AE$25+Q780*$AE$26+R780*$AE$27+S780*$AE$28+T780*$AE$29+U780*$AE$30</f>
        <v/>
      </c>
      <c r="W780" s="8">
        <f>1/(1+EXP(-V780))</f>
        <v/>
      </c>
      <c r="X780" s="9">
        <f>-IF(C780=1,LN(W780),LN(1-W780))</f>
        <v/>
      </c>
      <c r="Y780" s="8">
        <f>IF(C780=1,$AE$32,$AE$33)</f>
        <v/>
      </c>
      <c r="Z780" s="9">
        <f>Y780*X780</f>
        <v/>
      </c>
      <c r="AA780" s="10">
        <f>IF(W780&gt;$AE$34,1,0)</f>
        <v/>
      </c>
      <c r="AB780">
        <f>IF(AA780=C780,1,0)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$AE$12+D781*$AE$13+E781*$AE$14+F781*$AE$15+G781*$AE$16+H781*$AE$17+I781*$AE$18+J781*$AE$19+K781*$AE$20+L781*$AE$21+M781*$AE$22+N781*$AE$23+O781*$AE$24+P781*$AE$25+Q781*$AE$26+R781*$AE$27+S781*$AE$28+T781*$AE$29+U781*$AE$30</f>
        <v/>
      </c>
      <c r="W781" s="8">
        <f>1/(1+EXP(-V781))</f>
        <v/>
      </c>
      <c r="X781" s="9">
        <f>-IF(C781=1,LN(W781),LN(1-W781))</f>
        <v/>
      </c>
      <c r="Y781" s="8">
        <f>IF(C781=1,$AE$32,$AE$33)</f>
        <v/>
      </c>
      <c r="Z781" s="9">
        <f>Y781*X781</f>
        <v/>
      </c>
      <c r="AA781" s="10">
        <f>IF(W781&gt;$AE$34,1,0)</f>
        <v/>
      </c>
      <c r="AB781">
        <f>IF(AA781=C781,1,0)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$AE$12+D782*$AE$13+E782*$AE$14+F782*$AE$15+G782*$AE$16+H782*$AE$17+I782*$AE$18+J782*$AE$19+K782*$AE$20+L782*$AE$21+M782*$AE$22+N782*$AE$23+O782*$AE$24+P782*$AE$25+Q782*$AE$26+R782*$AE$27+S782*$AE$28+T782*$AE$29+U782*$AE$30</f>
        <v/>
      </c>
      <c r="W782" s="8">
        <f>1/(1+EXP(-V782))</f>
        <v/>
      </c>
      <c r="X782" s="9">
        <f>-IF(C782=1,LN(W782),LN(1-W782))</f>
        <v/>
      </c>
      <c r="Y782" s="8">
        <f>IF(C782=1,$AE$32,$AE$33)</f>
        <v/>
      </c>
      <c r="Z782" s="9">
        <f>Y782*X782</f>
        <v/>
      </c>
      <c r="AA782" s="10">
        <f>IF(W782&gt;$AE$34,1,0)</f>
        <v/>
      </c>
      <c r="AB782">
        <f>IF(AA782=C782,1,0)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$AE$12+D783*$AE$13+E783*$AE$14+F783*$AE$15+G783*$AE$16+H783*$AE$17+I783*$AE$18+J783*$AE$19+K783*$AE$20+L783*$AE$21+M783*$AE$22+N783*$AE$23+O783*$AE$24+P783*$AE$25+Q783*$AE$26+R783*$AE$27+S783*$AE$28+T783*$AE$29+U783*$AE$30</f>
        <v/>
      </c>
      <c r="W783" s="8">
        <f>1/(1+EXP(-V783))</f>
        <v/>
      </c>
      <c r="X783" s="9">
        <f>-IF(C783=1,LN(W783),LN(1-W783))</f>
        <v/>
      </c>
      <c r="Y783" s="8">
        <f>IF(C783=1,$AE$32,$AE$33)</f>
        <v/>
      </c>
      <c r="Z783" s="9">
        <f>Y783*X783</f>
        <v/>
      </c>
      <c r="AA783" s="10">
        <f>IF(W783&gt;$AE$34,1,0)</f>
        <v/>
      </c>
      <c r="AB783">
        <f>IF(AA783=C783,1,0)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$AE$12+D784*$AE$13+E784*$AE$14+F784*$AE$15+G784*$AE$16+H784*$AE$17+I784*$AE$18+J784*$AE$19+K784*$AE$20+L784*$AE$21+M784*$AE$22+N784*$AE$23+O784*$AE$24+P784*$AE$25+Q784*$AE$26+R784*$AE$27+S784*$AE$28+T784*$AE$29+U784*$AE$30</f>
        <v/>
      </c>
      <c r="W784" s="8">
        <f>1/(1+EXP(-V784))</f>
        <v/>
      </c>
      <c r="X784" s="9">
        <f>-IF(C784=1,LN(W784),LN(1-W784))</f>
        <v/>
      </c>
      <c r="Y784" s="8">
        <f>IF(C784=1,$AE$32,$AE$33)</f>
        <v/>
      </c>
      <c r="Z784" s="9">
        <f>Y784*X784</f>
        <v/>
      </c>
      <c r="AA784" s="10">
        <f>IF(W784&gt;$AE$34,1,0)</f>
        <v/>
      </c>
      <c r="AB784">
        <f>IF(AA784=C784,1,0)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$AE$12+D785*$AE$13+E785*$AE$14+F785*$AE$15+G785*$AE$16+H785*$AE$17+I785*$AE$18+J785*$AE$19+K785*$AE$20+L785*$AE$21+M785*$AE$22+N785*$AE$23+O785*$AE$24+P785*$AE$25+Q785*$AE$26+R785*$AE$27+S785*$AE$28+T785*$AE$29+U785*$AE$30</f>
        <v/>
      </c>
      <c r="W785" s="8">
        <f>1/(1+EXP(-V785))</f>
        <v/>
      </c>
      <c r="X785" s="9">
        <f>-IF(C785=1,LN(W785),LN(1-W785))</f>
        <v/>
      </c>
      <c r="Y785" s="8">
        <f>IF(C785=1,$AE$32,$AE$33)</f>
        <v/>
      </c>
      <c r="Z785" s="9">
        <f>Y785*X785</f>
        <v/>
      </c>
      <c r="AA785" s="10">
        <f>IF(W785&gt;$AE$34,1,0)</f>
        <v/>
      </c>
      <c r="AB785">
        <f>IF(AA785=C785,1,0)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$AE$12+D786*$AE$13+E786*$AE$14+F786*$AE$15+G786*$AE$16+H786*$AE$17+I786*$AE$18+J786*$AE$19+K786*$AE$20+L786*$AE$21+M786*$AE$22+N786*$AE$23+O786*$AE$24+P786*$AE$25+Q786*$AE$26+R786*$AE$27+S786*$AE$28+T786*$AE$29+U786*$AE$30</f>
        <v/>
      </c>
      <c r="W786" s="8">
        <f>1/(1+EXP(-V786))</f>
        <v/>
      </c>
      <c r="X786" s="9">
        <f>-IF(C786=1,LN(W786),LN(1-W786))</f>
        <v/>
      </c>
      <c r="Y786" s="8">
        <f>IF(C786=1,$AE$32,$AE$33)</f>
        <v/>
      </c>
      <c r="Z786" s="9">
        <f>Y786*X786</f>
        <v/>
      </c>
      <c r="AA786" s="10">
        <f>IF(W786&gt;$AE$34,1,0)</f>
        <v/>
      </c>
      <c r="AB786">
        <f>IF(AA786=C786,1,0)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$AE$12+D787*$AE$13+E787*$AE$14+F787*$AE$15+G787*$AE$16+H787*$AE$17+I787*$AE$18+J787*$AE$19+K787*$AE$20+L787*$AE$21+M787*$AE$22+N787*$AE$23+O787*$AE$24+P787*$AE$25+Q787*$AE$26+R787*$AE$27+S787*$AE$28+T787*$AE$29+U787*$AE$30</f>
        <v/>
      </c>
      <c r="W787" s="8">
        <f>1/(1+EXP(-V787))</f>
        <v/>
      </c>
      <c r="X787" s="9">
        <f>-IF(C787=1,LN(W787),LN(1-W787))</f>
        <v/>
      </c>
      <c r="Y787" s="8">
        <f>IF(C787=1,$AE$32,$AE$33)</f>
        <v/>
      </c>
      <c r="Z787" s="9">
        <f>Y787*X787</f>
        <v/>
      </c>
      <c r="AA787" s="10">
        <f>IF(W787&gt;$AE$34,1,0)</f>
        <v/>
      </c>
      <c r="AB787">
        <f>IF(AA787=C787,1,0)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$AE$12+D788*$AE$13+E788*$AE$14+F788*$AE$15+G788*$AE$16+H788*$AE$17+I788*$AE$18+J788*$AE$19+K788*$AE$20+L788*$AE$21+M788*$AE$22+N788*$AE$23+O788*$AE$24+P788*$AE$25+Q788*$AE$26+R788*$AE$27+S788*$AE$28+T788*$AE$29+U788*$AE$30</f>
        <v/>
      </c>
      <c r="W788" s="8">
        <f>1/(1+EXP(-V788))</f>
        <v/>
      </c>
      <c r="X788" s="9">
        <f>-IF(C788=1,LN(W788),LN(1-W788))</f>
        <v/>
      </c>
      <c r="Y788" s="8">
        <f>IF(C788=1,$AE$32,$AE$33)</f>
        <v/>
      </c>
      <c r="Z788" s="9">
        <f>Y788*X788</f>
        <v/>
      </c>
      <c r="AA788" s="10">
        <f>IF(W788&gt;$AE$34,1,0)</f>
        <v/>
      </c>
      <c r="AB788">
        <f>IF(AA788=C788,1,0)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$AE$12+D789*$AE$13+E789*$AE$14+F789*$AE$15+G789*$AE$16+H789*$AE$17+I789*$AE$18+J789*$AE$19+K789*$AE$20+L789*$AE$21+M789*$AE$22+N789*$AE$23+O789*$AE$24+P789*$AE$25+Q789*$AE$26+R789*$AE$27+S789*$AE$28+T789*$AE$29+U789*$AE$30</f>
        <v/>
      </c>
      <c r="W789" s="8">
        <f>1/(1+EXP(-V789))</f>
        <v/>
      </c>
      <c r="X789" s="9">
        <f>-IF(C789=1,LN(W789),LN(1-W789))</f>
        <v/>
      </c>
      <c r="Y789" s="8">
        <f>IF(C789=1,$AE$32,$AE$33)</f>
        <v/>
      </c>
      <c r="Z789" s="9">
        <f>Y789*X789</f>
        <v/>
      </c>
      <c r="AA789" s="10">
        <f>IF(W789&gt;$AE$34,1,0)</f>
        <v/>
      </c>
      <c r="AB789">
        <f>IF(AA789=C789,1,0)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$AE$12+D790*$AE$13+E790*$AE$14+F790*$AE$15+G790*$AE$16+H790*$AE$17+I790*$AE$18+J790*$AE$19+K790*$AE$20+L790*$AE$21+M790*$AE$22+N790*$AE$23+O790*$AE$24+P790*$AE$25+Q790*$AE$26+R790*$AE$27+S790*$AE$28+T790*$AE$29+U790*$AE$30</f>
        <v/>
      </c>
      <c r="W790" s="8">
        <f>1/(1+EXP(-V790))</f>
        <v/>
      </c>
      <c r="X790" s="9">
        <f>-IF(C790=1,LN(W790),LN(1-W790))</f>
        <v/>
      </c>
      <c r="Y790" s="8">
        <f>IF(C790=1,$AE$32,$AE$33)</f>
        <v/>
      </c>
      <c r="Z790" s="9">
        <f>Y790*X790</f>
        <v/>
      </c>
      <c r="AA790" s="10">
        <f>IF(W790&gt;$AE$34,1,0)</f>
        <v/>
      </c>
      <c r="AB790">
        <f>IF(AA790=C790,1,0)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$AE$12+D791*$AE$13+E791*$AE$14+F791*$AE$15+G791*$AE$16+H791*$AE$17+I791*$AE$18+J791*$AE$19+K791*$AE$20+L791*$AE$21+M791*$AE$22+N791*$AE$23+O791*$AE$24+P791*$AE$25+Q791*$AE$26+R791*$AE$27+S791*$AE$28+T791*$AE$29+U791*$AE$30</f>
        <v/>
      </c>
      <c r="W791" s="8">
        <f>1/(1+EXP(-V791))</f>
        <v/>
      </c>
      <c r="X791" s="9">
        <f>-IF(C791=1,LN(W791),LN(1-W791))</f>
        <v/>
      </c>
      <c r="Y791" s="8">
        <f>IF(C791=1,$AE$32,$AE$33)</f>
        <v/>
      </c>
      <c r="Z791" s="9">
        <f>Y791*X791</f>
        <v/>
      </c>
      <c r="AA791" s="10">
        <f>IF(W791&gt;$AE$34,1,0)</f>
        <v/>
      </c>
      <c r="AB791">
        <f>IF(AA791=C791,1,0)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$AE$12+D792*$AE$13+E792*$AE$14+F792*$AE$15+G792*$AE$16+H792*$AE$17+I792*$AE$18+J792*$AE$19+K792*$AE$20+L792*$AE$21+M792*$AE$22+N792*$AE$23+O792*$AE$24+P792*$AE$25+Q792*$AE$26+R792*$AE$27+S792*$AE$28+T792*$AE$29+U792*$AE$30</f>
        <v/>
      </c>
      <c r="W792" s="8">
        <f>1/(1+EXP(-V792))</f>
        <v/>
      </c>
      <c r="X792" s="9">
        <f>-IF(C792=1,LN(W792),LN(1-W792))</f>
        <v/>
      </c>
      <c r="Y792" s="8">
        <f>IF(C792=1,$AE$32,$AE$33)</f>
        <v/>
      </c>
      <c r="Z792" s="9">
        <f>Y792*X792</f>
        <v/>
      </c>
      <c r="AA792" s="10">
        <f>IF(W792&gt;$AE$34,1,0)</f>
        <v/>
      </c>
      <c r="AB792">
        <f>IF(AA792=C792,1,0)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$AE$12+D793*$AE$13+E793*$AE$14+F793*$AE$15+G793*$AE$16+H793*$AE$17+I793*$AE$18+J793*$AE$19+K793*$AE$20+L793*$AE$21+M793*$AE$22+N793*$AE$23+O793*$AE$24+P793*$AE$25+Q793*$AE$26+R793*$AE$27+S793*$AE$28+T793*$AE$29+U793*$AE$30</f>
        <v/>
      </c>
      <c r="W793" s="8">
        <f>1/(1+EXP(-V793))</f>
        <v/>
      </c>
      <c r="X793" s="9">
        <f>-IF(C793=1,LN(W793),LN(1-W793))</f>
        <v/>
      </c>
      <c r="Y793" s="8">
        <f>IF(C793=1,$AE$32,$AE$33)</f>
        <v/>
      </c>
      <c r="Z793" s="9">
        <f>Y793*X793</f>
        <v/>
      </c>
      <c r="AA793" s="10">
        <f>IF(W793&gt;$AE$34,1,0)</f>
        <v/>
      </c>
      <c r="AB793">
        <f>IF(AA793=C793,1,0)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$AE$12+D794*$AE$13+E794*$AE$14+F794*$AE$15+G794*$AE$16+H794*$AE$17+I794*$AE$18+J794*$AE$19+K794*$AE$20+L794*$AE$21+M794*$AE$22+N794*$AE$23+O794*$AE$24+P794*$AE$25+Q794*$AE$26+R794*$AE$27+S794*$AE$28+T794*$AE$29+U794*$AE$30</f>
        <v/>
      </c>
      <c r="W794" s="8">
        <f>1/(1+EXP(-V794))</f>
        <v/>
      </c>
      <c r="X794" s="9">
        <f>-IF(C794=1,LN(W794),LN(1-W794))</f>
        <v/>
      </c>
      <c r="Y794" s="8">
        <f>IF(C794=1,$AE$32,$AE$33)</f>
        <v/>
      </c>
      <c r="Z794" s="9">
        <f>Y794*X794</f>
        <v/>
      </c>
      <c r="AA794" s="10">
        <f>IF(W794&gt;$AE$34,1,0)</f>
        <v/>
      </c>
      <c r="AB794">
        <f>IF(AA794=C794,1,0)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$AE$12+D795*$AE$13+E795*$AE$14+F795*$AE$15+G795*$AE$16+H795*$AE$17+I795*$AE$18+J795*$AE$19+K795*$AE$20+L795*$AE$21+M795*$AE$22+N795*$AE$23+O795*$AE$24+P795*$AE$25+Q795*$AE$26+R795*$AE$27+S795*$AE$28+T795*$AE$29+U795*$AE$30</f>
        <v/>
      </c>
      <c r="W795" s="8">
        <f>1/(1+EXP(-V795))</f>
        <v/>
      </c>
      <c r="X795" s="9">
        <f>-IF(C795=1,LN(W795),LN(1-W795))</f>
        <v/>
      </c>
      <c r="Y795" s="8">
        <f>IF(C795=1,$AE$32,$AE$33)</f>
        <v/>
      </c>
      <c r="Z795" s="9">
        <f>Y795*X795</f>
        <v/>
      </c>
      <c r="AA795" s="10">
        <f>IF(W795&gt;$AE$34,1,0)</f>
        <v/>
      </c>
      <c r="AB795">
        <f>IF(AA795=C795,1,0)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$AE$12+D796*$AE$13+E796*$AE$14+F796*$AE$15+G796*$AE$16+H796*$AE$17+I796*$AE$18+J796*$AE$19+K796*$AE$20+L796*$AE$21+M796*$AE$22+N796*$AE$23+O796*$AE$24+P796*$AE$25+Q796*$AE$26+R796*$AE$27+S796*$AE$28+T796*$AE$29+U796*$AE$30</f>
        <v/>
      </c>
      <c r="W796" s="8">
        <f>1/(1+EXP(-V796))</f>
        <v/>
      </c>
      <c r="X796" s="9">
        <f>-IF(C796=1,LN(W796),LN(1-W796))</f>
        <v/>
      </c>
      <c r="Y796" s="8">
        <f>IF(C796=1,$AE$32,$AE$33)</f>
        <v/>
      </c>
      <c r="Z796" s="9">
        <f>Y796*X796</f>
        <v/>
      </c>
      <c r="AA796" s="10">
        <f>IF(W796&gt;$AE$34,1,0)</f>
        <v/>
      </c>
      <c r="AB796">
        <f>IF(AA796=C796,1,0)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$AE$12+D797*$AE$13+E797*$AE$14+F797*$AE$15+G797*$AE$16+H797*$AE$17+I797*$AE$18+J797*$AE$19+K797*$AE$20+L797*$AE$21+M797*$AE$22+N797*$AE$23+O797*$AE$24+P797*$AE$25+Q797*$AE$26+R797*$AE$27+S797*$AE$28+T797*$AE$29+U797*$AE$30</f>
        <v/>
      </c>
      <c r="W797" s="8">
        <f>1/(1+EXP(-V797))</f>
        <v/>
      </c>
      <c r="X797" s="9">
        <f>-IF(C797=1,LN(W797),LN(1-W797))</f>
        <v/>
      </c>
      <c r="Y797" s="8">
        <f>IF(C797=1,$AE$32,$AE$33)</f>
        <v/>
      </c>
      <c r="Z797" s="9">
        <f>Y797*X797</f>
        <v/>
      </c>
      <c r="AA797" s="10">
        <f>IF(W797&gt;$AE$34,1,0)</f>
        <v/>
      </c>
      <c r="AB797">
        <f>IF(AA797=C797,1,0)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$AE$12+D798*$AE$13+E798*$AE$14+F798*$AE$15+G798*$AE$16+H798*$AE$17+I798*$AE$18+J798*$AE$19+K798*$AE$20+L798*$AE$21+M798*$AE$22+N798*$AE$23+O798*$AE$24+P798*$AE$25+Q798*$AE$26+R798*$AE$27+S798*$AE$28+T798*$AE$29+U798*$AE$30</f>
        <v/>
      </c>
      <c r="W798" s="8">
        <f>1/(1+EXP(-V798))</f>
        <v/>
      </c>
      <c r="X798" s="9">
        <f>-IF(C798=1,LN(W798),LN(1-W798))</f>
        <v/>
      </c>
      <c r="Y798" s="8">
        <f>IF(C798=1,$AE$32,$AE$33)</f>
        <v/>
      </c>
      <c r="Z798" s="9">
        <f>Y798*X798</f>
        <v/>
      </c>
      <c r="AA798" s="10">
        <f>IF(W798&gt;$AE$34,1,0)</f>
        <v/>
      </c>
      <c r="AB798">
        <f>IF(AA798=C798,1,0)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$AE$12+D799*$AE$13+E799*$AE$14+F799*$AE$15+G799*$AE$16+H799*$AE$17+I799*$AE$18+J799*$AE$19+K799*$AE$20+L799*$AE$21+M799*$AE$22+N799*$AE$23+O799*$AE$24+P799*$AE$25+Q799*$AE$26+R799*$AE$27+S799*$AE$28+T799*$AE$29+U799*$AE$30</f>
        <v/>
      </c>
      <c r="W799" s="8">
        <f>1/(1+EXP(-V799))</f>
        <v/>
      </c>
      <c r="X799" s="9">
        <f>-IF(C799=1,LN(W799),LN(1-W799))</f>
        <v/>
      </c>
      <c r="Y799" s="8">
        <f>IF(C799=1,$AE$32,$AE$33)</f>
        <v/>
      </c>
      <c r="Z799" s="9">
        <f>Y799*X799</f>
        <v/>
      </c>
      <c r="AA799" s="10">
        <f>IF(W799&gt;$AE$34,1,0)</f>
        <v/>
      </c>
      <c r="AB799">
        <f>IF(AA799=C799,1,0)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$AE$12+D800*$AE$13+E800*$AE$14+F800*$AE$15+G800*$AE$16+H800*$AE$17+I800*$AE$18+J800*$AE$19+K800*$AE$20+L800*$AE$21+M800*$AE$22+N800*$AE$23+O800*$AE$24+P800*$AE$25+Q800*$AE$26+R800*$AE$27+S800*$AE$28+T800*$AE$29+U800*$AE$30</f>
        <v/>
      </c>
      <c r="W800" s="8">
        <f>1/(1+EXP(-V800))</f>
        <v/>
      </c>
      <c r="X800" s="9">
        <f>-IF(C800=1,LN(W800),LN(1-W800))</f>
        <v/>
      </c>
      <c r="Y800" s="8">
        <f>IF(C800=1,$AE$32,$AE$33)</f>
        <v/>
      </c>
      <c r="Z800" s="9">
        <f>Y800*X800</f>
        <v/>
      </c>
      <c r="AA800" s="10">
        <f>IF(W800&gt;$AE$34,1,0)</f>
        <v/>
      </c>
      <c r="AB800">
        <f>IF(AA800=C800,1,0)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$AE$12+D801*$AE$13+E801*$AE$14+F801*$AE$15+G801*$AE$16+H801*$AE$17+I801*$AE$18+J801*$AE$19+K801*$AE$20+L801*$AE$21+M801*$AE$22+N801*$AE$23+O801*$AE$24+P801*$AE$25+Q801*$AE$26+R801*$AE$27+S801*$AE$28+T801*$AE$29+U801*$AE$30</f>
        <v/>
      </c>
      <c r="W801" s="8">
        <f>1/(1+EXP(-V801))</f>
        <v/>
      </c>
      <c r="X801" s="9">
        <f>-IF(C801=1,LN(W801),LN(1-W801))</f>
        <v/>
      </c>
      <c r="Y801" s="8">
        <f>IF(C801=1,$AE$32,$AE$33)</f>
        <v/>
      </c>
      <c r="Z801" s="9">
        <f>Y801*X801</f>
        <v/>
      </c>
      <c r="AA801" s="10">
        <f>IF(W801&gt;$AE$34,1,0)</f>
        <v/>
      </c>
      <c r="AB801">
        <f>IF(AA801=C801,1,0)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$AE$12+D802*$AE$13+E802*$AE$14+F802*$AE$15+G802*$AE$16+H802*$AE$17+I802*$AE$18+J802*$AE$19+K802*$AE$20+L802*$AE$21+M802*$AE$22+N802*$AE$23+O802*$AE$24+P802*$AE$25+Q802*$AE$26+R802*$AE$27+S802*$AE$28+T802*$AE$29+U802*$AE$30</f>
        <v/>
      </c>
      <c r="W802" s="8">
        <f>1/(1+EXP(-V802))</f>
        <v/>
      </c>
      <c r="X802" s="9">
        <f>-IF(C802=1,LN(W802),LN(1-W802))</f>
        <v/>
      </c>
      <c r="Y802" s="8">
        <f>IF(C802=1,$AE$32,$AE$33)</f>
        <v/>
      </c>
      <c r="Z802" s="9">
        <f>Y802*X802</f>
        <v/>
      </c>
      <c r="AA802" s="10">
        <f>IF(W802&gt;$AE$34,1,0)</f>
        <v/>
      </c>
      <c r="AB802">
        <f>IF(AA802=C802,1,0)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$AE$12+D803*$AE$13+E803*$AE$14+F803*$AE$15+G803*$AE$16+H803*$AE$17+I803*$AE$18+J803*$AE$19+K803*$AE$20+L803*$AE$21+M803*$AE$22+N803*$AE$23+O803*$AE$24+P803*$AE$25+Q803*$AE$26+R803*$AE$27+S803*$AE$28+T803*$AE$29+U803*$AE$30</f>
        <v/>
      </c>
      <c r="W803" s="8">
        <f>1/(1+EXP(-V803))</f>
        <v/>
      </c>
      <c r="X803" s="9">
        <f>-IF(C803=1,LN(W803),LN(1-W803))</f>
        <v/>
      </c>
      <c r="Y803" s="8">
        <f>IF(C803=1,$AE$32,$AE$33)</f>
        <v/>
      </c>
      <c r="Z803" s="9">
        <f>Y803*X803</f>
        <v/>
      </c>
      <c r="AA803" s="10">
        <f>IF(W803&gt;$AE$34,1,0)</f>
        <v/>
      </c>
      <c r="AB803">
        <f>IF(AA803=C803,1,0)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$AE$12+D804*$AE$13+E804*$AE$14+F804*$AE$15+G804*$AE$16+H804*$AE$17+I804*$AE$18+J804*$AE$19+K804*$AE$20+L804*$AE$21+M804*$AE$22+N804*$AE$23+O804*$AE$24+P804*$AE$25+Q804*$AE$26+R804*$AE$27+S804*$AE$28+T804*$AE$29+U804*$AE$30</f>
        <v/>
      </c>
      <c r="W804" s="8">
        <f>1/(1+EXP(-V804))</f>
        <v/>
      </c>
      <c r="X804" s="9">
        <f>-IF(C804=1,LN(W804),LN(1-W804))</f>
        <v/>
      </c>
      <c r="Y804" s="8">
        <f>IF(C804=1,$AE$32,$AE$33)</f>
        <v/>
      </c>
      <c r="Z804" s="9">
        <f>Y804*X804</f>
        <v/>
      </c>
      <c r="AA804" s="10">
        <f>IF(W804&gt;$AE$34,1,0)</f>
        <v/>
      </c>
      <c r="AB804">
        <f>IF(AA804=C804,1,0)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$AE$12+D805*$AE$13+E805*$AE$14+F805*$AE$15+G805*$AE$16+H805*$AE$17+I805*$AE$18+J805*$AE$19+K805*$AE$20+L805*$AE$21+M805*$AE$22+N805*$AE$23+O805*$AE$24+P805*$AE$25+Q805*$AE$26+R805*$AE$27+S805*$AE$28+T805*$AE$29+U805*$AE$30</f>
        <v/>
      </c>
      <c r="W805" s="8">
        <f>1/(1+EXP(-V805))</f>
        <v/>
      </c>
      <c r="X805" s="9">
        <f>-IF(C805=1,LN(W805),LN(1-W805))</f>
        <v/>
      </c>
      <c r="Y805" s="8">
        <f>IF(C805=1,$AE$32,$AE$33)</f>
        <v/>
      </c>
      <c r="Z805" s="9">
        <f>Y805*X805</f>
        <v/>
      </c>
      <c r="AA805" s="10">
        <f>IF(W805&gt;$AE$34,1,0)</f>
        <v/>
      </c>
      <c r="AB805">
        <f>IF(AA805=C805,1,0)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$AE$12+D806*$AE$13+E806*$AE$14+F806*$AE$15+G806*$AE$16+H806*$AE$17+I806*$AE$18+J806*$AE$19+K806*$AE$20+L806*$AE$21+M806*$AE$22+N806*$AE$23+O806*$AE$24+P806*$AE$25+Q806*$AE$26+R806*$AE$27+S806*$AE$28+T806*$AE$29+U806*$AE$30</f>
        <v/>
      </c>
      <c r="W806" s="8">
        <f>1/(1+EXP(-V806))</f>
        <v/>
      </c>
      <c r="X806" s="9">
        <f>-IF(C806=1,LN(W806),LN(1-W806))</f>
        <v/>
      </c>
      <c r="Y806" s="8">
        <f>IF(C806=1,$AE$32,$AE$33)</f>
        <v/>
      </c>
      <c r="Z806" s="9">
        <f>Y806*X806</f>
        <v/>
      </c>
      <c r="AA806" s="10">
        <f>IF(W806&gt;$AE$34,1,0)</f>
        <v/>
      </c>
      <c r="AB806">
        <f>IF(AA806=C806,1,0)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$AE$12+D807*$AE$13+E807*$AE$14+F807*$AE$15+G807*$AE$16+H807*$AE$17+I807*$AE$18+J807*$AE$19+K807*$AE$20+L807*$AE$21+M807*$AE$22+N807*$AE$23+O807*$AE$24+P807*$AE$25+Q807*$AE$26+R807*$AE$27+S807*$AE$28+T807*$AE$29+U807*$AE$30</f>
        <v/>
      </c>
      <c r="W807" s="8">
        <f>1/(1+EXP(-V807))</f>
        <v/>
      </c>
      <c r="X807" s="9">
        <f>-IF(C807=1,LN(W807),LN(1-W807))</f>
        <v/>
      </c>
      <c r="Y807" s="8">
        <f>IF(C807=1,$AE$32,$AE$33)</f>
        <v/>
      </c>
      <c r="Z807" s="9">
        <f>Y807*X807</f>
        <v/>
      </c>
      <c r="AA807" s="10">
        <f>IF(W807&gt;$AE$34,1,0)</f>
        <v/>
      </c>
      <c r="AB807">
        <f>IF(AA807=C807,1,0)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$AE$12+D808*$AE$13+E808*$AE$14+F808*$AE$15+G808*$AE$16+H808*$AE$17+I808*$AE$18+J808*$AE$19+K808*$AE$20+L808*$AE$21+M808*$AE$22+N808*$AE$23+O808*$AE$24+P808*$AE$25+Q808*$AE$26+R808*$AE$27+S808*$AE$28+T808*$AE$29+U808*$AE$30</f>
        <v/>
      </c>
      <c r="W808" s="8">
        <f>1/(1+EXP(-V808))</f>
        <v/>
      </c>
      <c r="X808" s="9">
        <f>-IF(C808=1,LN(W808),LN(1-W808))</f>
        <v/>
      </c>
      <c r="Y808" s="8">
        <f>IF(C808=1,$AE$32,$AE$33)</f>
        <v/>
      </c>
      <c r="Z808" s="9">
        <f>Y808*X808</f>
        <v/>
      </c>
      <c r="AA808" s="10">
        <f>IF(W808&gt;$AE$34,1,0)</f>
        <v/>
      </c>
      <c r="AB808">
        <f>IF(AA808=C808,1,0)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$AE$12+D809*$AE$13+E809*$AE$14+F809*$AE$15+G809*$AE$16+H809*$AE$17+I809*$AE$18+J809*$AE$19+K809*$AE$20+L809*$AE$21+M809*$AE$22+N809*$AE$23+O809*$AE$24+P809*$AE$25+Q809*$AE$26+R809*$AE$27+S809*$AE$28+T809*$AE$29+U809*$AE$30</f>
        <v/>
      </c>
      <c r="W809" s="8">
        <f>1/(1+EXP(-V809))</f>
        <v/>
      </c>
      <c r="X809" s="9">
        <f>-IF(C809=1,LN(W809),LN(1-W809))</f>
        <v/>
      </c>
      <c r="Y809" s="8">
        <f>IF(C809=1,$AE$32,$AE$33)</f>
        <v/>
      </c>
      <c r="Z809" s="9">
        <f>Y809*X809</f>
        <v/>
      </c>
      <c r="AA809" s="10">
        <f>IF(W809&gt;$AE$34,1,0)</f>
        <v/>
      </c>
      <c r="AB809">
        <f>IF(AA809=C809,1,0)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$AE$12+D810*$AE$13+E810*$AE$14+F810*$AE$15+G810*$AE$16+H810*$AE$17+I810*$AE$18+J810*$AE$19+K810*$AE$20+L810*$AE$21+M810*$AE$22+N810*$AE$23+O810*$AE$24+P810*$AE$25+Q810*$AE$26+R810*$AE$27+S810*$AE$28+T810*$AE$29+U810*$AE$30</f>
        <v/>
      </c>
      <c r="W810" s="8">
        <f>1/(1+EXP(-V810))</f>
        <v/>
      </c>
      <c r="X810" s="9">
        <f>-IF(C810=1,LN(W810),LN(1-W810))</f>
        <v/>
      </c>
      <c r="Y810" s="8">
        <f>IF(C810=1,$AE$32,$AE$33)</f>
        <v/>
      </c>
      <c r="Z810" s="9">
        <f>Y810*X810</f>
        <v/>
      </c>
      <c r="AA810" s="10">
        <f>IF(W810&gt;$AE$34,1,0)</f>
        <v/>
      </c>
      <c r="AB810">
        <f>IF(AA810=C810,1,0)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$AE$12+D811*$AE$13+E811*$AE$14+F811*$AE$15+G811*$AE$16+H811*$AE$17+I811*$AE$18+J811*$AE$19+K811*$AE$20+L811*$AE$21+M811*$AE$22+N811*$AE$23+O811*$AE$24+P811*$AE$25+Q811*$AE$26+R811*$AE$27+S811*$AE$28+T811*$AE$29+U811*$AE$30</f>
        <v/>
      </c>
      <c r="W811" s="8">
        <f>1/(1+EXP(-V811))</f>
        <v/>
      </c>
      <c r="X811" s="9">
        <f>-IF(C811=1,LN(W811),LN(1-W811))</f>
        <v/>
      </c>
      <c r="Y811" s="8">
        <f>IF(C811=1,$AE$32,$AE$33)</f>
        <v/>
      </c>
      <c r="Z811" s="9">
        <f>Y811*X811</f>
        <v/>
      </c>
      <c r="AA811" s="10">
        <f>IF(W811&gt;$AE$34,1,0)</f>
        <v/>
      </c>
      <c r="AB811">
        <f>IF(AA811=C811,1,0)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$AE$12+D812*$AE$13+E812*$AE$14+F812*$AE$15+G812*$AE$16+H812*$AE$17+I812*$AE$18+J812*$AE$19+K812*$AE$20+L812*$AE$21+M812*$AE$22+N812*$AE$23+O812*$AE$24+P812*$AE$25+Q812*$AE$26+R812*$AE$27+S812*$AE$28+T812*$AE$29+U812*$AE$30</f>
        <v/>
      </c>
      <c r="W812" s="8">
        <f>1/(1+EXP(-V812))</f>
        <v/>
      </c>
      <c r="X812" s="9">
        <f>-IF(C812=1,LN(W812),LN(1-W812))</f>
        <v/>
      </c>
      <c r="Y812" s="8">
        <f>IF(C812=1,$AE$32,$AE$33)</f>
        <v/>
      </c>
      <c r="Z812" s="9">
        <f>Y812*X812</f>
        <v/>
      </c>
      <c r="AA812" s="10">
        <f>IF(W812&gt;$AE$34,1,0)</f>
        <v/>
      </c>
      <c r="AB812">
        <f>IF(AA812=C812,1,0)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$AE$12+D813*$AE$13+E813*$AE$14+F813*$AE$15+G813*$AE$16+H813*$AE$17+I813*$AE$18+J813*$AE$19+K813*$AE$20+L813*$AE$21+M813*$AE$22+N813*$AE$23+O813*$AE$24+P813*$AE$25+Q813*$AE$26+R813*$AE$27+S813*$AE$28+T813*$AE$29+U813*$AE$30</f>
        <v/>
      </c>
      <c r="W813" s="8">
        <f>1/(1+EXP(-V813))</f>
        <v/>
      </c>
      <c r="X813" s="9">
        <f>-IF(C813=1,LN(W813),LN(1-W813))</f>
        <v/>
      </c>
      <c r="Y813" s="8">
        <f>IF(C813=1,$AE$32,$AE$33)</f>
        <v/>
      </c>
      <c r="Z813" s="9">
        <f>Y813*X813</f>
        <v/>
      </c>
      <c r="AA813" s="10">
        <f>IF(W813&gt;$AE$34,1,0)</f>
        <v/>
      </c>
      <c r="AB813">
        <f>IF(AA813=C813,1,0)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$AE$12+D814*$AE$13+E814*$AE$14+F814*$AE$15+G814*$AE$16+H814*$AE$17+I814*$AE$18+J814*$AE$19+K814*$AE$20+L814*$AE$21+M814*$AE$22+N814*$AE$23+O814*$AE$24+P814*$AE$25+Q814*$AE$26+R814*$AE$27+S814*$AE$28+T814*$AE$29+U814*$AE$30</f>
        <v/>
      </c>
      <c r="W814" s="8">
        <f>1/(1+EXP(-V814))</f>
        <v/>
      </c>
      <c r="X814" s="9">
        <f>-IF(C814=1,LN(W814),LN(1-W814))</f>
        <v/>
      </c>
      <c r="Y814" s="8">
        <f>IF(C814=1,$AE$32,$AE$33)</f>
        <v/>
      </c>
      <c r="Z814" s="9">
        <f>Y814*X814</f>
        <v/>
      </c>
      <c r="AA814" s="10">
        <f>IF(W814&gt;$AE$34,1,0)</f>
        <v/>
      </c>
      <c r="AB814">
        <f>IF(AA814=C814,1,0)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$AE$12+D815*$AE$13+E815*$AE$14+F815*$AE$15+G815*$AE$16+H815*$AE$17+I815*$AE$18+J815*$AE$19+K815*$AE$20+L815*$AE$21+M815*$AE$22+N815*$AE$23+O815*$AE$24+P815*$AE$25+Q815*$AE$26+R815*$AE$27+S815*$AE$28+T815*$AE$29+U815*$AE$30</f>
        <v/>
      </c>
      <c r="W815" s="8">
        <f>1/(1+EXP(-V815))</f>
        <v/>
      </c>
      <c r="X815" s="9">
        <f>-IF(C815=1,LN(W815),LN(1-W815))</f>
        <v/>
      </c>
      <c r="Y815" s="8">
        <f>IF(C815=1,$AE$32,$AE$33)</f>
        <v/>
      </c>
      <c r="Z815" s="9">
        <f>Y815*X815</f>
        <v/>
      </c>
      <c r="AA815" s="10">
        <f>IF(W815&gt;$AE$34,1,0)</f>
        <v/>
      </c>
      <c r="AB815">
        <f>IF(AA815=C815,1,0)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$AE$12+D816*$AE$13+E816*$AE$14+F816*$AE$15+G816*$AE$16+H816*$AE$17+I816*$AE$18+J816*$AE$19+K816*$AE$20+L816*$AE$21+M816*$AE$22+N816*$AE$23+O816*$AE$24+P816*$AE$25+Q816*$AE$26+R816*$AE$27+S816*$AE$28+T816*$AE$29+U816*$AE$30</f>
        <v/>
      </c>
      <c r="W816" s="8">
        <f>1/(1+EXP(-V816))</f>
        <v/>
      </c>
      <c r="X816" s="9">
        <f>-IF(C816=1,LN(W816),LN(1-W816))</f>
        <v/>
      </c>
      <c r="Y816" s="8">
        <f>IF(C816=1,$AE$32,$AE$33)</f>
        <v/>
      </c>
      <c r="Z816" s="9">
        <f>Y816*X816</f>
        <v/>
      </c>
      <c r="AA816" s="10">
        <f>IF(W816&gt;$AE$34,1,0)</f>
        <v/>
      </c>
      <c r="AB816">
        <f>IF(AA816=C816,1,0)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$AE$12+D817*$AE$13+E817*$AE$14+F817*$AE$15+G817*$AE$16+H817*$AE$17+I817*$AE$18+J817*$AE$19+K817*$AE$20+L817*$AE$21+M817*$AE$22+N817*$AE$23+O817*$AE$24+P817*$AE$25+Q817*$AE$26+R817*$AE$27+S817*$AE$28+T817*$AE$29+U817*$AE$30</f>
        <v/>
      </c>
      <c r="W817" s="8">
        <f>1/(1+EXP(-V817))</f>
        <v/>
      </c>
      <c r="X817" s="9">
        <f>-IF(C817=1,LN(W817),LN(1-W817))</f>
        <v/>
      </c>
      <c r="Y817" s="8">
        <f>IF(C817=1,$AE$32,$AE$33)</f>
        <v/>
      </c>
      <c r="Z817" s="9">
        <f>Y817*X817</f>
        <v/>
      </c>
      <c r="AA817" s="10">
        <f>IF(W817&gt;$AE$34,1,0)</f>
        <v/>
      </c>
      <c r="AB817">
        <f>IF(AA817=C817,1,0)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$AE$12+D818*$AE$13+E818*$AE$14+F818*$AE$15+G818*$AE$16+H818*$AE$17+I818*$AE$18+J818*$AE$19+K818*$AE$20+L818*$AE$21+M818*$AE$22+N818*$AE$23+O818*$AE$24+P818*$AE$25+Q818*$AE$26+R818*$AE$27+S818*$AE$28+T818*$AE$29+U818*$AE$30</f>
        <v/>
      </c>
      <c r="W818" s="8">
        <f>1/(1+EXP(-V818))</f>
        <v/>
      </c>
      <c r="X818" s="9">
        <f>-IF(C818=1,LN(W818),LN(1-W818))</f>
        <v/>
      </c>
      <c r="Y818" s="8">
        <f>IF(C818=1,$AE$32,$AE$33)</f>
        <v/>
      </c>
      <c r="Z818" s="9">
        <f>Y818*X818</f>
        <v/>
      </c>
      <c r="AA818" s="10">
        <f>IF(W818&gt;$AE$34,1,0)</f>
        <v/>
      </c>
      <c r="AB818">
        <f>IF(AA818=C818,1,0)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$AE$12+D819*$AE$13+E819*$AE$14+F819*$AE$15+G819*$AE$16+H819*$AE$17+I819*$AE$18+J819*$AE$19+K819*$AE$20+L819*$AE$21+M819*$AE$22+N819*$AE$23+O819*$AE$24+P819*$AE$25+Q819*$AE$26+R819*$AE$27+S819*$AE$28+T819*$AE$29+U819*$AE$30</f>
        <v/>
      </c>
      <c r="W819" s="8">
        <f>1/(1+EXP(-V819))</f>
        <v/>
      </c>
      <c r="X819" s="9">
        <f>-IF(C819=1,LN(W819),LN(1-W819))</f>
        <v/>
      </c>
      <c r="Y819" s="8">
        <f>IF(C819=1,$AE$32,$AE$33)</f>
        <v/>
      </c>
      <c r="Z819" s="9">
        <f>Y819*X819</f>
        <v/>
      </c>
      <c r="AA819" s="10">
        <f>IF(W819&gt;$AE$34,1,0)</f>
        <v/>
      </c>
      <c r="AB819">
        <f>IF(AA819=C819,1,0)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$AE$12+D820*$AE$13+E820*$AE$14+F820*$AE$15+G820*$AE$16+H820*$AE$17+I820*$AE$18+J820*$AE$19+K820*$AE$20+L820*$AE$21+M820*$AE$22+N820*$AE$23+O820*$AE$24+P820*$AE$25+Q820*$AE$26+R820*$AE$27+S820*$AE$28+T820*$AE$29+U820*$AE$30</f>
        <v/>
      </c>
      <c r="W820" s="8">
        <f>1/(1+EXP(-V820))</f>
        <v/>
      </c>
      <c r="X820" s="9">
        <f>-IF(C820=1,LN(W820),LN(1-W820))</f>
        <v/>
      </c>
      <c r="Y820" s="8">
        <f>IF(C820=1,$AE$32,$AE$33)</f>
        <v/>
      </c>
      <c r="Z820" s="9">
        <f>Y820*X820</f>
        <v/>
      </c>
      <c r="AA820" s="10">
        <f>IF(W820&gt;$AE$34,1,0)</f>
        <v/>
      </c>
      <c r="AB820">
        <f>IF(AA820=C820,1,0)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$AE$12+D821*$AE$13+E821*$AE$14+F821*$AE$15+G821*$AE$16+H821*$AE$17+I821*$AE$18+J821*$AE$19+K821*$AE$20+L821*$AE$21+M821*$AE$22+N821*$AE$23+O821*$AE$24+P821*$AE$25+Q821*$AE$26+R821*$AE$27+S821*$AE$28+T821*$AE$29+U821*$AE$30</f>
        <v/>
      </c>
      <c r="W821" s="8">
        <f>1/(1+EXP(-V821))</f>
        <v/>
      </c>
      <c r="X821" s="9">
        <f>-IF(C821=1,LN(W821),LN(1-W821))</f>
        <v/>
      </c>
      <c r="Y821" s="8">
        <f>IF(C821=1,$AE$32,$AE$33)</f>
        <v/>
      </c>
      <c r="Z821" s="9">
        <f>Y821*X821</f>
        <v/>
      </c>
      <c r="AA821" s="10">
        <f>IF(W821&gt;$AE$34,1,0)</f>
        <v/>
      </c>
      <c r="AB821">
        <f>IF(AA821=C821,1,0)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$AE$12+D822*$AE$13+E822*$AE$14+F822*$AE$15+G822*$AE$16+H822*$AE$17+I822*$AE$18+J822*$AE$19+K822*$AE$20+L822*$AE$21+M822*$AE$22+N822*$AE$23+O822*$AE$24+P822*$AE$25+Q822*$AE$26+R822*$AE$27+S822*$AE$28+T822*$AE$29+U822*$AE$30</f>
        <v/>
      </c>
      <c r="W822" s="8">
        <f>1/(1+EXP(-V822))</f>
        <v/>
      </c>
      <c r="X822" s="9">
        <f>-IF(C822=1,LN(W822),LN(1-W822))</f>
        <v/>
      </c>
      <c r="Y822" s="8">
        <f>IF(C822=1,$AE$32,$AE$33)</f>
        <v/>
      </c>
      <c r="Z822" s="9">
        <f>Y822*X822</f>
        <v/>
      </c>
      <c r="AA822" s="10">
        <f>IF(W822&gt;$AE$34,1,0)</f>
        <v/>
      </c>
      <c r="AB822">
        <f>IF(AA822=C822,1,0)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$AE$12+D823*$AE$13+E823*$AE$14+F823*$AE$15+G823*$AE$16+H823*$AE$17+I823*$AE$18+J823*$AE$19+K823*$AE$20+L823*$AE$21+M823*$AE$22+N823*$AE$23+O823*$AE$24+P823*$AE$25+Q823*$AE$26+R823*$AE$27+S823*$AE$28+T823*$AE$29+U823*$AE$30</f>
        <v/>
      </c>
      <c r="W823" s="8">
        <f>1/(1+EXP(-V823))</f>
        <v/>
      </c>
      <c r="X823" s="9">
        <f>-IF(C823=1,LN(W823),LN(1-W823))</f>
        <v/>
      </c>
      <c r="Y823" s="8">
        <f>IF(C823=1,$AE$32,$AE$33)</f>
        <v/>
      </c>
      <c r="Z823" s="9">
        <f>Y823*X823</f>
        <v/>
      </c>
      <c r="AA823" s="10">
        <f>IF(W823&gt;$AE$34,1,0)</f>
        <v/>
      </c>
      <c r="AB823">
        <f>IF(AA823=C823,1,0)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$AE$12+D824*$AE$13+E824*$AE$14+F824*$AE$15+G824*$AE$16+H824*$AE$17+I824*$AE$18+J824*$AE$19+K824*$AE$20+L824*$AE$21+M824*$AE$22+N824*$AE$23+O824*$AE$24+P824*$AE$25+Q824*$AE$26+R824*$AE$27+S824*$AE$28+T824*$AE$29+U824*$AE$30</f>
        <v/>
      </c>
      <c r="W824" s="8">
        <f>1/(1+EXP(-V824))</f>
        <v/>
      </c>
      <c r="X824" s="9">
        <f>-IF(C824=1,LN(W824),LN(1-W824))</f>
        <v/>
      </c>
      <c r="Y824" s="8">
        <f>IF(C824=1,$AE$32,$AE$33)</f>
        <v/>
      </c>
      <c r="Z824" s="9">
        <f>Y824*X824</f>
        <v/>
      </c>
      <c r="AA824" s="10">
        <f>IF(W824&gt;$AE$34,1,0)</f>
        <v/>
      </c>
      <c r="AB824">
        <f>IF(AA824=C824,1,0)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$AE$12+D825*$AE$13+E825*$AE$14+F825*$AE$15+G825*$AE$16+H825*$AE$17+I825*$AE$18+J825*$AE$19+K825*$AE$20+L825*$AE$21+M825*$AE$22+N825*$AE$23+O825*$AE$24+P825*$AE$25+Q825*$AE$26+R825*$AE$27+S825*$AE$28+T825*$AE$29+U825*$AE$30</f>
        <v/>
      </c>
      <c r="W825" s="8">
        <f>1/(1+EXP(-V825))</f>
        <v/>
      </c>
      <c r="X825" s="9">
        <f>-IF(C825=1,LN(W825),LN(1-W825))</f>
        <v/>
      </c>
      <c r="Y825" s="8">
        <f>IF(C825=1,$AE$32,$AE$33)</f>
        <v/>
      </c>
      <c r="Z825" s="9">
        <f>Y825*X825</f>
        <v/>
      </c>
      <c r="AA825" s="10">
        <f>IF(W825&gt;$AE$34,1,0)</f>
        <v/>
      </c>
      <c r="AB825">
        <f>IF(AA825=C825,1,0)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$AE$12+D826*$AE$13+E826*$AE$14+F826*$AE$15+G826*$AE$16+H826*$AE$17+I826*$AE$18+J826*$AE$19+K826*$AE$20+L826*$AE$21+M826*$AE$22+N826*$AE$23+O826*$AE$24+P826*$AE$25+Q826*$AE$26+R826*$AE$27+S826*$AE$28+T826*$AE$29+U826*$AE$30</f>
        <v/>
      </c>
      <c r="W826" s="8">
        <f>1/(1+EXP(-V826))</f>
        <v/>
      </c>
      <c r="X826" s="9">
        <f>-IF(C826=1,LN(W826),LN(1-W826))</f>
        <v/>
      </c>
      <c r="Y826" s="8">
        <f>IF(C826=1,$AE$32,$AE$33)</f>
        <v/>
      </c>
      <c r="Z826" s="9">
        <f>Y826*X826</f>
        <v/>
      </c>
      <c r="AA826" s="10">
        <f>IF(W826&gt;$AE$34,1,0)</f>
        <v/>
      </c>
      <c r="AB826">
        <f>IF(AA826=C826,1,0)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$AE$12+D827*$AE$13+E827*$AE$14+F827*$AE$15+G827*$AE$16+H827*$AE$17+I827*$AE$18+J827*$AE$19+K827*$AE$20+L827*$AE$21+M827*$AE$22+N827*$AE$23+O827*$AE$24+P827*$AE$25+Q827*$AE$26+R827*$AE$27+S827*$AE$28+T827*$AE$29+U827*$AE$30</f>
        <v/>
      </c>
      <c r="W827" s="8">
        <f>1/(1+EXP(-V827))</f>
        <v/>
      </c>
      <c r="X827" s="9">
        <f>-IF(C827=1,LN(W827),LN(1-W827))</f>
        <v/>
      </c>
      <c r="Y827" s="8">
        <f>IF(C827=1,$AE$32,$AE$33)</f>
        <v/>
      </c>
      <c r="Z827" s="9">
        <f>Y827*X827</f>
        <v/>
      </c>
      <c r="AA827" s="10">
        <f>IF(W827&gt;$AE$34,1,0)</f>
        <v/>
      </c>
      <c r="AB827">
        <f>IF(AA827=C827,1,0)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$AE$12+D828*$AE$13+E828*$AE$14+F828*$AE$15+G828*$AE$16+H828*$AE$17+I828*$AE$18+J828*$AE$19+K828*$AE$20+L828*$AE$21+M828*$AE$22+N828*$AE$23+O828*$AE$24+P828*$AE$25+Q828*$AE$26+R828*$AE$27+S828*$AE$28+T828*$AE$29+U828*$AE$30</f>
        <v/>
      </c>
      <c r="W828" s="8">
        <f>1/(1+EXP(-V828))</f>
        <v/>
      </c>
      <c r="X828" s="9">
        <f>-IF(C828=1,LN(W828),LN(1-W828))</f>
        <v/>
      </c>
      <c r="Y828" s="8">
        <f>IF(C828=1,$AE$32,$AE$33)</f>
        <v/>
      </c>
      <c r="Z828" s="9">
        <f>Y828*X828</f>
        <v/>
      </c>
      <c r="AA828" s="10">
        <f>IF(W828&gt;$AE$34,1,0)</f>
        <v/>
      </c>
      <c r="AB828">
        <f>IF(AA828=C828,1,0)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$AE$12+D829*$AE$13+E829*$AE$14+F829*$AE$15+G829*$AE$16+H829*$AE$17+I829*$AE$18+J829*$AE$19+K829*$AE$20+L829*$AE$21+M829*$AE$22+N829*$AE$23+O829*$AE$24+P829*$AE$25+Q829*$AE$26+R829*$AE$27+S829*$AE$28+T829*$AE$29+U829*$AE$30</f>
        <v/>
      </c>
      <c r="W829" s="8">
        <f>1/(1+EXP(-V829))</f>
        <v/>
      </c>
      <c r="X829" s="9">
        <f>-IF(C829=1,LN(W829),LN(1-W829))</f>
        <v/>
      </c>
      <c r="Y829" s="8">
        <f>IF(C829=1,$AE$32,$AE$33)</f>
        <v/>
      </c>
      <c r="Z829" s="9">
        <f>Y829*X829</f>
        <v/>
      </c>
      <c r="AA829" s="10">
        <f>IF(W829&gt;$AE$34,1,0)</f>
        <v/>
      </c>
      <c r="AB829">
        <f>IF(AA829=C829,1,0)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$AE$12+D830*$AE$13+E830*$AE$14+F830*$AE$15+G830*$AE$16+H830*$AE$17+I830*$AE$18+J830*$AE$19+K830*$AE$20+L830*$AE$21+M830*$AE$22+N830*$AE$23+O830*$AE$24+P830*$AE$25+Q830*$AE$26+R830*$AE$27+S830*$AE$28+T830*$AE$29+U830*$AE$30</f>
        <v/>
      </c>
      <c r="W830" s="8">
        <f>1/(1+EXP(-V830))</f>
        <v/>
      </c>
      <c r="X830" s="9">
        <f>-IF(C830=1,LN(W830),LN(1-W830))</f>
        <v/>
      </c>
      <c r="Y830" s="8">
        <f>IF(C830=1,$AE$32,$AE$33)</f>
        <v/>
      </c>
      <c r="Z830" s="9">
        <f>Y830*X830</f>
        <v/>
      </c>
      <c r="AA830" s="10">
        <f>IF(W830&gt;$AE$34,1,0)</f>
        <v/>
      </c>
      <c r="AB830">
        <f>IF(AA830=C830,1,0)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$AE$12+D831*$AE$13+E831*$AE$14+F831*$AE$15+G831*$AE$16+H831*$AE$17+I831*$AE$18+J831*$AE$19+K831*$AE$20+L831*$AE$21+M831*$AE$22+N831*$AE$23+O831*$AE$24+P831*$AE$25+Q831*$AE$26+R831*$AE$27+S831*$AE$28+T831*$AE$29+U831*$AE$30</f>
        <v/>
      </c>
      <c r="W831" s="8">
        <f>1/(1+EXP(-V831))</f>
        <v/>
      </c>
      <c r="X831" s="9">
        <f>-IF(C831=1,LN(W831),LN(1-W831))</f>
        <v/>
      </c>
      <c r="Y831" s="8">
        <f>IF(C831=1,$AE$32,$AE$33)</f>
        <v/>
      </c>
      <c r="Z831" s="9">
        <f>Y831*X831</f>
        <v/>
      </c>
      <c r="AA831" s="10">
        <f>IF(W831&gt;$AE$34,1,0)</f>
        <v/>
      </c>
      <c r="AB831">
        <f>IF(AA831=C831,1,0)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$AE$12+D832*$AE$13+E832*$AE$14+F832*$AE$15+G832*$AE$16+H832*$AE$17+I832*$AE$18+J832*$AE$19+K832*$AE$20+L832*$AE$21+M832*$AE$22+N832*$AE$23+O832*$AE$24+P832*$AE$25+Q832*$AE$26+R832*$AE$27+S832*$AE$28+T832*$AE$29+U832*$AE$30</f>
        <v/>
      </c>
      <c r="W832" s="8">
        <f>1/(1+EXP(-V832))</f>
        <v/>
      </c>
      <c r="X832" s="9">
        <f>-IF(C832=1,LN(W832),LN(1-W832))</f>
        <v/>
      </c>
      <c r="Y832" s="8">
        <f>IF(C832=1,$AE$32,$AE$33)</f>
        <v/>
      </c>
      <c r="Z832" s="9">
        <f>Y832*X832</f>
        <v/>
      </c>
      <c r="AA832" s="10">
        <f>IF(W832&gt;$AE$34,1,0)</f>
        <v/>
      </c>
      <c r="AB832">
        <f>IF(AA832=C832,1,0)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$AE$12+D833*$AE$13+E833*$AE$14+F833*$AE$15+G833*$AE$16+H833*$AE$17+I833*$AE$18+J833*$AE$19+K833*$AE$20+L833*$AE$21+M833*$AE$22+N833*$AE$23+O833*$AE$24+P833*$AE$25+Q833*$AE$26+R833*$AE$27+S833*$AE$28+T833*$AE$29+U833*$AE$30</f>
        <v/>
      </c>
      <c r="W833" s="8">
        <f>1/(1+EXP(-V833))</f>
        <v/>
      </c>
      <c r="X833" s="9">
        <f>-IF(C833=1,LN(W833),LN(1-W833))</f>
        <v/>
      </c>
      <c r="Y833" s="8">
        <f>IF(C833=1,$AE$32,$AE$33)</f>
        <v/>
      </c>
      <c r="Z833" s="9">
        <f>Y833*X833</f>
        <v/>
      </c>
      <c r="AA833" s="10">
        <f>IF(W833&gt;$AE$34,1,0)</f>
        <v/>
      </c>
      <c r="AB833">
        <f>IF(AA833=C833,1,0)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$AE$12+D834*$AE$13+E834*$AE$14+F834*$AE$15+G834*$AE$16+H834*$AE$17+I834*$AE$18+J834*$AE$19+K834*$AE$20+L834*$AE$21+M834*$AE$22+N834*$AE$23+O834*$AE$24+P834*$AE$25+Q834*$AE$26+R834*$AE$27+S834*$AE$28+T834*$AE$29+U834*$AE$30</f>
        <v/>
      </c>
      <c r="W834" s="8">
        <f>1/(1+EXP(-V834))</f>
        <v/>
      </c>
      <c r="X834" s="9">
        <f>-IF(C834=1,LN(W834),LN(1-W834))</f>
        <v/>
      </c>
      <c r="Y834" s="8">
        <f>IF(C834=1,$AE$32,$AE$33)</f>
        <v/>
      </c>
      <c r="Z834" s="9">
        <f>Y834*X834</f>
        <v/>
      </c>
      <c r="AA834" s="10">
        <f>IF(W834&gt;$AE$34,1,0)</f>
        <v/>
      </c>
      <c r="AB834">
        <f>IF(AA834=C834,1,0)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$AE$12+D835*$AE$13+E835*$AE$14+F835*$AE$15+G835*$AE$16+H835*$AE$17+I835*$AE$18+J835*$AE$19+K835*$AE$20+L835*$AE$21+M835*$AE$22+N835*$AE$23+O835*$AE$24+P835*$AE$25+Q835*$AE$26+R835*$AE$27+S835*$AE$28+T835*$AE$29+U835*$AE$30</f>
        <v/>
      </c>
      <c r="W835" s="8">
        <f>1/(1+EXP(-V835))</f>
        <v/>
      </c>
      <c r="X835" s="9">
        <f>-IF(C835=1,LN(W835),LN(1-W835))</f>
        <v/>
      </c>
      <c r="Y835" s="8">
        <f>IF(C835=1,$AE$32,$AE$33)</f>
        <v/>
      </c>
      <c r="Z835" s="9">
        <f>Y835*X835</f>
        <v/>
      </c>
      <c r="AA835" s="10">
        <f>IF(W835&gt;$AE$34,1,0)</f>
        <v/>
      </c>
      <c r="AB835">
        <f>IF(AA835=C835,1,0)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$AE$12+D836*$AE$13+E836*$AE$14+F836*$AE$15+G836*$AE$16+H836*$AE$17+I836*$AE$18+J836*$AE$19+K836*$AE$20+L836*$AE$21+M836*$AE$22+N836*$AE$23+O836*$AE$24+P836*$AE$25+Q836*$AE$26+R836*$AE$27+S836*$AE$28+T836*$AE$29+U836*$AE$30</f>
        <v/>
      </c>
      <c r="W836" s="8">
        <f>1/(1+EXP(-V836))</f>
        <v/>
      </c>
      <c r="X836" s="9">
        <f>-IF(C836=1,LN(W836),LN(1-W836))</f>
        <v/>
      </c>
      <c r="Y836" s="8">
        <f>IF(C836=1,$AE$32,$AE$33)</f>
        <v/>
      </c>
      <c r="Z836" s="9">
        <f>Y836*X836</f>
        <v/>
      </c>
      <c r="AA836" s="10">
        <f>IF(W836&gt;$AE$34,1,0)</f>
        <v/>
      </c>
      <c r="AB836">
        <f>IF(AA836=C836,1,0)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$AE$12+D837*$AE$13+E837*$AE$14+F837*$AE$15+G837*$AE$16+H837*$AE$17+I837*$AE$18+J837*$AE$19+K837*$AE$20+L837*$AE$21+M837*$AE$22+N837*$AE$23+O837*$AE$24+P837*$AE$25+Q837*$AE$26+R837*$AE$27+S837*$AE$28+T837*$AE$29+U837*$AE$30</f>
        <v/>
      </c>
      <c r="W837" s="8">
        <f>1/(1+EXP(-V837))</f>
        <v/>
      </c>
      <c r="X837" s="9">
        <f>-IF(C837=1,LN(W837),LN(1-W837))</f>
        <v/>
      </c>
      <c r="Y837" s="8">
        <f>IF(C837=1,$AE$32,$AE$33)</f>
        <v/>
      </c>
      <c r="Z837" s="9">
        <f>Y837*X837</f>
        <v/>
      </c>
      <c r="AA837" s="10">
        <f>IF(W837&gt;$AE$34,1,0)</f>
        <v/>
      </c>
      <c r="AB837">
        <f>IF(AA837=C837,1,0)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$AE$12+D838*$AE$13+E838*$AE$14+F838*$AE$15+G838*$AE$16+H838*$AE$17+I838*$AE$18+J838*$AE$19+K838*$AE$20+L838*$AE$21+M838*$AE$22+N838*$AE$23+O838*$AE$24+P838*$AE$25+Q838*$AE$26+R838*$AE$27+S838*$AE$28+T838*$AE$29+U838*$AE$30</f>
        <v/>
      </c>
      <c r="W838" s="8">
        <f>1/(1+EXP(-V838))</f>
        <v/>
      </c>
      <c r="X838" s="9">
        <f>-IF(C838=1,LN(W838),LN(1-W838))</f>
        <v/>
      </c>
      <c r="Y838" s="8">
        <f>IF(C838=1,$AE$32,$AE$33)</f>
        <v/>
      </c>
      <c r="Z838" s="9">
        <f>Y838*X838</f>
        <v/>
      </c>
      <c r="AA838" s="10">
        <f>IF(W838&gt;$AE$34,1,0)</f>
        <v/>
      </c>
      <c r="AB838">
        <f>IF(AA838=C838,1,0)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$AE$12+D839*$AE$13+E839*$AE$14+F839*$AE$15+G839*$AE$16+H839*$AE$17+I839*$AE$18+J839*$AE$19+K839*$AE$20+L839*$AE$21+M839*$AE$22+N839*$AE$23+O839*$AE$24+P839*$AE$25+Q839*$AE$26+R839*$AE$27+S839*$AE$28+T839*$AE$29+U839*$AE$30</f>
        <v/>
      </c>
      <c r="W839" s="8">
        <f>1/(1+EXP(-V839))</f>
        <v/>
      </c>
      <c r="X839" s="9">
        <f>-IF(C839=1,LN(W839),LN(1-W839))</f>
        <v/>
      </c>
      <c r="Y839" s="8">
        <f>IF(C839=1,$AE$32,$AE$33)</f>
        <v/>
      </c>
      <c r="Z839" s="9">
        <f>Y839*X839</f>
        <v/>
      </c>
      <c r="AA839" s="10">
        <f>IF(W839&gt;$AE$34,1,0)</f>
        <v/>
      </c>
      <c r="AB839">
        <f>IF(AA839=C839,1,0)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$AE$12+D840*$AE$13+E840*$AE$14+F840*$AE$15+G840*$AE$16+H840*$AE$17+I840*$AE$18+J840*$AE$19+K840*$AE$20+L840*$AE$21+M840*$AE$22+N840*$AE$23+O840*$AE$24+P840*$AE$25+Q840*$AE$26+R840*$AE$27+S840*$AE$28+T840*$AE$29+U840*$AE$30</f>
        <v/>
      </c>
      <c r="W840" s="8">
        <f>1/(1+EXP(-V840))</f>
        <v/>
      </c>
      <c r="X840" s="9">
        <f>-IF(C840=1,LN(W840),LN(1-W840))</f>
        <v/>
      </c>
      <c r="Y840" s="8">
        <f>IF(C840=1,$AE$32,$AE$33)</f>
        <v/>
      </c>
      <c r="Z840" s="9">
        <f>Y840*X840</f>
        <v/>
      </c>
      <c r="AA840" s="10">
        <f>IF(W840&gt;$AE$34,1,0)</f>
        <v/>
      </c>
      <c r="AB840">
        <f>IF(AA840=C840,1,0)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$AE$12+D841*$AE$13+E841*$AE$14+F841*$AE$15+G841*$AE$16+H841*$AE$17+I841*$AE$18+J841*$AE$19+K841*$AE$20+L841*$AE$21+M841*$AE$22+N841*$AE$23+O841*$AE$24+P841*$AE$25+Q841*$AE$26+R841*$AE$27+S841*$AE$28+T841*$AE$29+U841*$AE$30</f>
        <v/>
      </c>
      <c r="W841" s="8">
        <f>1/(1+EXP(-V841))</f>
        <v/>
      </c>
      <c r="X841" s="9">
        <f>-IF(C841=1,LN(W841),LN(1-W841))</f>
        <v/>
      </c>
      <c r="Y841" s="8">
        <f>IF(C841=1,$AE$32,$AE$33)</f>
        <v/>
      </c>
      <c r="Z841" s="9">
        <f>Y841*X841</f>
        <v/>
      </c>
      <c r="AA841" s="10">
        <f>IF(W841&gt;$AE$34,1,0)</f>
        <v/>
      </c>
      <c r="AB841">
        <f>IF(AA841=C841,1,0)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$AE$12+D842*$AE$13+E842*$AE$14+F842*$AE$15+G842*$AE$16+H842*$AE$17+I842*$AE$18+J842*$AE$19+K842*$AE$20+L842*$AE$21+M842*$AE$22+N842*$AE$23+O842*$AE$24+P842*$AE$25+Q842*$AE$26+R842*$AE$27+S842*$AE$28+T842*$AE$29+U842*$AE$30</f>
        <v/>
      </c>
      <c r="W842" s="8">
        <f>1/(1+EXP(-V842))</f>
        <v/>
      </c>
      <c r="X842" s="9">
        <f>-IF(C842=1,LN(W842),LN(1-W842))</f>
        <v/>
      </c>
      <c r="Y842" s="8">
        <f>IF(C842=1,$AE$32,$AE$33)</f>
        <v/>
      </c>
      <c r="Z842" s="9">
        <f>Y842*X842</f>
        <v/>
      </c>
      <c r="AA842" s="10">
        <f>IF(W842&gt;$AE$34,1,0)</f>
        <v/>
      </c>
      <c r="AB842">
        <f>IF(AA842=C842,1,0)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$AE$12+D843*$AE$13+E843*$AE$14+F843*$AE$15+G843*$AE$16+H843*$AE$17+I843*$AE$18+J843*$AE$19+K843*$AE$20+L843*$AE$21+M843*$AE$22+N843*$AE$23+O843*$AE$24+P843*$AE$25+Q843*$AE$26+R843*$AE$27+S843*$AE$28+T843*$AE$29+U843*$AE$30</f>
        <v/>
      </c>
      <c r="W843" s="8">
        <f>1/(1+EXP(-V843))</f>
        <v/>
      </c>
      <c r="X843" s="9">
        <f>-IF(C843=1,LN(W843),LN(1-W843))</f>
        <v/>
      </c>
      <c r="Y843" s="8">
        <f>IF(C843=1,$AE$32,$AE$33)</f>
        <v/>
      </c>
      <c r="Z843" s="9">
        <f>Y843*X843</f>
        <v/>
      </c>
      <c r="AA843" s="10">
        <f>IF(W843&gt;$AE$34,1,0)</f>
        <v/>
      </c>
      <c r="AB843">
        <f>IF(AA843=C843,1,0)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$AE$12+D844*$AE$13+E844*$AE$14+F844*$AE$15+G844*$AE$16+H844*$AE$17+I844*$AE$18+J844*$AE$19+K844*$AE$20+L844*$AE$21+M844*$AE$22+N844*$AE$23+O844*$AE$24+P844*$AE$25+Q844*$AE$26+R844*$AE$27+S844*$AE$28+T844*$AE$29+U844*$AE$30</f>
        <v/>
      </c>
      <c r="W844" s="8">
        <f>1/(1+EXP(-V844))</f>
        <v/>
      </c>
      <c r="X844" s="9">
        <f>-IF(C844=1,LN(W844),LN(1-W844))</f>
        <v/>
      </c>
      <c r="Y844" s="8">
        <f>IF(C844=1,$AE$32,$AE$33)</f>
        <v/>
      </c>
      <c r="Z844" s="9">
        <f>Y844*X844</f>
        <v/>
      </c>
      <c r="AA844" s="10">
        <f>IF(W844&gt;$AE$34,1,0)</f>
        <v/>
      </c>
      <c r="AB844">
        <f>IF(AA844=C844,1,0)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$AE$12+D845*$AE$13+E845*$AE$14+F845*$AE$15+G845*$AE$16+H845*$AE$17+I845*$AE$18+J845*$AE$19+K845*$AE$20+L845*$AE$21+M845*$AE$22+N845*$AE$23+O845*$AE$24+P845*$AE$25+Q845*$AE$26+R845*$AE$27+S845*$AE$28+T845*$AE$29+U845*$AE$30</f>
        <v/>
      </c>
      <c r="W845" s="8">
        <f>1/(1+EXP(-V845))</f>
        <v/>
      </c>
      <c r="X845" s="9">
        <f>-IF(C845=1,LN(W845),LN(1-W845))</f>
        <v/>
      </c>
      <c r="Y845" s="8">
        <f>IF(C845=1,$AE$32,$AE$33)</f>
        <v/>
      </c>
      <c r="Z845" s="9">
        <f>Y845*X845</f>
        <v/>
      </c>
      <c r="AA845" s="10">
        <f>IF(W845&gt;$AE$34,1,0)</f>
        <v/>
      </c>
      <c r="AB845">
        <f>IF(AA845=C845,1,0)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$AE$12+D846*$AE$13+E846*$AE$14+F846*$AE$15+G846*$AE$16+H846*$AE$17+I846*$AE$18+J846*$AE$19+K846*$AE$20+L846*$AE$21+M846*$AE$22+N846*$AE$23+O846*$AE$24+P846*$AE$25+Q846*$AE$26+R846*$AE$27+S846*$AE$28+T846*$AE$29+U846*$AE$30</f>
        <v/>
      </c>
      <c r="W846" s="8">
        <f>1/(1+EXP(-V846))</f>
        <v/>
      </c>
      <c r="X846" s="9">
        <f>-IF(C846=1,LN(W846),LN(1-W846))</f>
        <v/>
      </c>
      <c r="Y846" s="8">
        <f>IF(C846=1,$AE$32,$AE$33)</f>
        <v/>
      </c>
      <c r="Z846" s="9">
        <f>Y846*X846</f>
        <v/>
      </c>
      <c r="AA846" s="10">
        <f>IF(W846&gt;$AE$34,1,0)</f>
        <v/>
      </c>
      <c r="AB846">
        <f>IF(AA846=C846,1,0)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$AE$12+D847*$AE$13+E847*$AE$14+F847*$AE$15+G847*$AE$16+H847*$AE$17+I847*$AE$18+J847*$AE$19+K847*$AE$20+L847*$AE$21+M847*$AE$22+N847*$AE$23+O847*$AE$24+P847*$AE$25+Q847*$AE$26+R847*$AE$27+S847*$AE$28+T847*$AE$29+U847*$AE$30</f>
        <v/>
      </c>
      <c r="W847" s="8">
        <f>1/(1+EXP(-V847))</f>
        <v/>
      </c>
      <c r="X847" s="9">
        <f>-IF(C847=1,LN(W847),LN(1-W847))</f>
        <v/>
      </c>
      <c r="Y847" s="8">
        <f>IF(C847=1,$AE$32,$AE$33)</f>
        <v/>
      </c>
      <c r="Z847" s="9">
        <f>Y847*X847</f>
        <v/>
      </c>
      <c r="AA847" s="10">
        <f>IF(W847&gt;$AE$34,1,0)</f>
        <v/>
      </c>
      <c r="AB847">
        <f>IF(AA847=C847,1,0)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$AE$12+D848*$AE$13+E848*$AE$14+F848*$AE$15+G848*$AE$16+H848*$AE$17+I848*$AE$18+J848*$AE$19+K848*$AE$20+L848*$AE$21+M848*$AE$22+N848*$AE$23+O848*$AE$24+P848*$AE$25+Q848*$AE$26+R848*$AE$27+S848*$AE$28+T848*$AE$29+U848*$AE$30</f>
        <v/>
      </c>
      <c r="W848" s="8">
        <f>1/(1+EXP(-V848))</f>
        <v/>
      </c>
      <c r="X848" s="9">
        <f>-IF(C848=1,LN(W848),LN(1-W848))</f>
        <v/>
      </c>
      <c r="Y848" s="8">
        <f>IF(C848=1,$AE$32,$AE$33)</f>
        <v/>
      </c>
      <c r="Z848" s="9">
        <f>Y848*X848</f>
        <v/>
      </c>
      <c r="AA848" s="10">
        <f>IF(W848&gt;$AE$34,1,0)</f>
        <v/>
      </c>
      <c r="AB848">
        <f>IF(AA848=C848,1,0)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$AE$12+D849*$AE$13+E849*$AE$14+F849*$AE$15+G849*$AE$16+H849*$AE$17+I849*$AE$18+J849*$AE$19+K849*$AE$20+L849*$AE$21+M849*$AE$22+N849*$AE$23+O849*$AE$24+P849*$AE$25+Q849*$AE$26+R849*$AE$27+S849*$AE$28+T849*$AE$29+U849*$AE$30</f>
        <v/>
      </c>
      <c r="W849" s="8">
        <f>1/(1+EXP(-V849))</f>
        <v/>
      </c>
      <c r="X849" s="9">
        <f>-IF(C849=1,LN(W849),LN(1-W849))</f>
        <v/>
      </c>
      <c r="Y849" s="8">
        <f>IF(C849=1,$AE$32,$AE$33)</f>
        <v/>
      </c>
      <c r="Z849" s="9">
        <f>Y849*X849</f>
        <v/>
      </c>
      <c r="AA849" s="10">
        <f>IF(W849&gt;$AE$34,1,0)</f>
        <v/>
      </c>
      <c r="AB849">
        <f>IF(AA849=C849,1,0)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$AE$12+D850*$AE$13+E850*$AE$14+F850*$AE$15+G850*$AE$16+H850*$AE$17+I850*$AE$18+J850*$AE$19+K850*$AE$20+L850*$AE$21+M850*$AE$22+N850*$AE$23+O850*$AE$24+P850*$AE$25+Q850*$AE$26+R850*$AE$27+S850*$AE$28+T850*$AE$29+U850*$AE$30</f>
        <v/>
      </c>
      <c r="W850" s="8">
        <f>1/(1+EXP(-V850))</f>
        <v/>
      </c>
      <c r="X850" s="9">
        <f>-IF(C850=1,LN(W850),LN(1-W850))</f>
        <v/>
      </c>
      <c r="Y850" s="8">
        <f>IF(C850=1,$AE$32,$AE$33)</f>
        <v/>
      </c>
      <c r="Z850" s="9">
        <f>Y850*X850</f>
        <v/>
      </c>
      <c r="AA850" s="10">
        <f>IF(W850&gt;$AE$34,1,0)</f>
        <v/>
      </c>
      <c r="AB850">
        <f>IF(AA850=C850,1,0)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$AE$12+D851*$AE$13+E851*$AE$14+F851*$AE$15+G851*$AE$16+H851*$AE$17+I851*$AE$18+J851*$AE$19+K851*$AE$20+L851*$AE$21+M851*$AE$22+N851*$AE$23+O851*$AE$24+P851*$AE$25+Q851*$AE$26+R851*$AE$27+S851*$AE$28+T851*$AE$29+U851*$AE$30</f>
        <v/>
      </c>
      <c r="W851" s="8">
        <f>1/(1+EXP(-V851))</f>
        <v/>
      </c>
      <c r="X851" s="9">
        <f>-IF(C851=1,LN(W851),LN(1-W851))</f>
        <v/>
      </c>
      <c r="Y851" s="8">
        <f>IF(C851=1,$AE$32,$AE$33)</f>
        <v/>
      </c>
      <c r="Z851" s="9">
        <f>Y851*X851</f>
        <v/>
      </c>
      <c r="AA851" s="10">
        <f>IF(W851&gt;$AE$34,1,0)</f>
        <v/>
      </c>
      <c r="AB851">
        <f>IF(AA851=C851,1,0)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$AE$12+D852*$AE$13+E852*$AE$14+F852*$AE$15+G852*$AE$16+H852*$AE$17+I852*$AE$18+J852*$AE$19+K852*$AE$20+L852*$AE$21+M852*$AE$22+N852*$AE$23+O852*$AE$24+P852*$AE$25+Q852*$AE$26+R852*$AE$27+S852*$AE$28+T852*$AE$29+U852*$AE$30</f>
        <v/>
      </c>
      <c r="W852" s="8">
        <f>1/(1+EXP(-V852))</f>
        <v/>
      </c>
      <c r="X852" s="9">
        <f>-IF(C852=1,LN(W852),LN(1-W852))</f>
        <v/>
      </c>
      <c r="Y852" s="8">
        <f>IF(C852=1,$AE$32,$AE$33)</f>
        <v/>
      </c>
      <c r="Z852" s="9">
        <f>Y852*X852</f>
        <v/>
      </c>
      <c r="AA852" s="10">
        <f>IF(W852&gt;$AE$34,1,0)</f>
        <v/>
      </c>
      <c r="AB852">
        <f>IF(AA852=C852,1,0)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$AE$12+D853*$AE$13+E853*$AE$14+F853*$AE$15+G853*$AE$16+H853*$AE$17+I853*$AE$18+J853*$AE$19+K853*$AE$20+L853*$AE$21+M853*$AE$22+N853*$AE$23+O853*$AE$24+P853*$AE$25+Q853*$AE$26+R853*$AE$27+S853*$AE$28+T853*$AE$29+U853*$AE$30</f>
        <v/>
      </c>
      <c r="W853" s="8">
        <f>1/(1+EXP(-V853))</f>
        <v/>
      </c>
      <c r="X853" s="9">
        <f>-IF(C853=1,LN(W853),LN(1-W853))</f>
        <v/>
      </c>
      <c r="Y853" s="8">
        <f>IF(C853=1,$AE$32,$AE$33)</f>
        <v/>
      </c>
      <c r="Z853" s="9">
        <f>Y853*X853</f>
        <v/>
      </c>
      <c r="AA853" s="10">
        <f>IF(W853&gt;$AE$34,1,0)</f>
        <v/>
      </c>
      <c r="AB853">
        <f>IF(AA853=C853,1,0)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$AE$12+D854*$AE$13+E854*$AE$14+F854*$AE$15+G854*$AE$16+H854*$AE$17+I854*$AE$18+J854*$AE$19+K854*$AE$20+L854*$AE$21+M854*$AE$22+N854*$AE$23+O854*$AE$24+P854*$AE$25+Q854*$AE$26+R854*$AE$27+S854*$AE$28+T854*$AE$29+U854*$AE$30</f>
        <v/>
      </c>
      <c r="W854" s="8">
        <f>1/(1+EXP(-V854))</f>
        <v/>
      </c>
      <c r="X854" s="9">
        <f>-IF(C854=1,LN(W854),LN(1-W854))</f>
        <v/>
      </c>
      <c r="Y854" s="8">
        <f>IF(C854=1,$AE$32,$AE$33)</f>
        <v/>
      </c>
      <c r="Z854" s="9">
        <f>Y854*X854</f>
        <v/>
      </c>
      <c r="AA854" s="10">
        <f>IF(W854&gt;$AE$34,1,0)</f>
        <v/>
      </c>
      <c r="AB854">
        <f>IF(AA854=C854,1,0)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$AE$12+D855*$AE$13+E855*$AE$14+F855*$AE$15+G855*$AE$16+H855*$AE$17+I855*$AE$18+J855*$AE$19+K855*$AE$20+L855*$AE$21+M855*$AE$22+N855*$AE$23+O855*$AE$24+P855*$AE$25+Q855*$AE$26+R855*$AE$27+S855*$AE$28+T855*$AE$29+U855*$AE$30</f>
        <v/>
      </c>
      <c r="W855" s="8">
        <f>1/(1+EXP(-V855))</f>
        <v/>
      </c>
      <c r="X855" s="9">
        <f>-IF(C855=1,LN(W855),LN(1-W855))</f>
        <v/>
      </c>
      <c r="Y855" s="8">
        <f>IF(C855=1,$AE$32,$AE$33)</f>
        <v/>
      </c>
      <c r="Z855" s="9">
        <f>Y855*X855</f>
        <v/>
      </c>
      <c r="AA855" s="10">
        <f>IF(W855&gt;$AE$34,1,0)</f>
        <v/>
      </c>
      <c r="AB855">
        <f>IF(AA855=C855,1,0)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$AE$12+D856*$AE$13+E856*$AE$14+F856*$AE$15+G856*$AE$16+H856*$AE$17+I856*$AE$18+J856*$AE$19+K856*$AE$20+L856*$AE$21+M856*$AE$22+N856*$AE$23+O856*$AE$24+P856*$AE$25+Q856*$AE$26+R856*$AE$27+S856*$AE$28+T856*$AE$29+U856*$AE$30</f>
        <v/>
      </c>
      <c r="W856" s="8">
        <f>1/(1+EXP(-V856))</f>
        <v/>
      </c>
      <c r="X856" s="9">
        <f>-IF(C856=1,LN(W856),LN(1-W856))</f>
        <v/>
      </c>
      <c r="Y856" s="8">
        <f>IF(C856=1,$AE$32,$AE$33)</f>
        <v/>
      </c>
      <c r="Z856" s="9">
        <f>Y856*X856</f>
        <v/>
      </c>
      <c r="AA856" s="10">
        <f>IF(W856&gt;$AE$34,1,0)</f>
        <v/>
      </c>
      <c r="AB856">
        <f>IF(AA856=C856,1,0)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$AE$12+D857*$AE$13+E857*$AE$14+F857*$AE$15+G857*$AE$16+H857*$AE$17+I857*$AE$18+J857*$AE$19+K857*$AE$20+L857*$AE$21+M857*$AE$22+N857*$AE$23+O857*$AE$24+P857*$AE$25+Q857*$AE$26+R857*$AE$27+S857*$AE$28+T857*$AE$29+U857*$AE$30</f>
        <v/>
      </c>
      <c r="W857" s="8">
        <f>1/(1+EXP(-V857))</f>
        <v/>
      </c>
      <c r="X857" s="9">
        <f>-IF(C857=1,LN(W857),LN(1-W857))</f>
        <v/>
      </c>
      <c r="Y857" s="8">
        <f>IF(C857=1,$AE$32,$AE$33)</f>
        <v/>
      </c>
      <c r="Z857" s="9">
        <f>Y857*X857</f>
        <v/>
      </c>
      <c r="AA857" s="10">
        <f>IF(W857&gt;$AE$34,1,0)</f>
        <v/>
      </c>
      <c r="AB857">
        <f>IF(AA857=C857,1,0)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$AE$12+D858*$AE$13+E858*$AE$14+F858*$AE$15+G858*$AE$16+H858*$AE$17+I858*$AE$18+J858*$AE$19+K858*$AE$20+L858*$AE$21+M858*$AE$22+N858*$AE$23+O858*$AE$24+P858*$AE$25+Q858*$AE$26+R858*$AE$27+S858*$AE$28+T858*$AE$29+U858*$AE$30</f>
        <v/>
      </c>
      <c r="W858" s="8">
        <f>1/(1+EXP(-V858))</f>
        <v/>
      </c>
      <c r="X858" s="9">
        <f>-IF(C858=1,LN(W858),LN(1-W858))</f>
        <v/>
      </c>
      <c r="Y858" s="8">
        <f>IF(C858=1,$AE$32,$AE$33)</f>
        <v/>
      </c>
      <c r="Z858" s="9">
        <f>Y858*X858</f>
        <v/>
      </c>
      <c r="AA858" s="10">
        <f>IF(W858&gt;$AE$34,1,0)</f>
        <v/>
      </c>
      <c r="AB858">
        <f>IF(AA858=C858,1,0)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$AE$12+D859*$AE$13+E859*$AE$14+F859*$AE$15+G859*$AE$16+H859*$AE$17+I859*$AE$18+J859*$AE$19+K859*$AE$20+L859*$AE$21+M859*$AE$22+N859*$AE$23+O859*$AE$24+P859*$AE$25+Q859*$AE$26+R859*$AE$27+S859*$AE$28+T859*$AE$29+U859*$AE$30</f>
        <v/>
      </c>
      <c r="W859" s="8">
        <f>1/(1+EXP(-V859))</f>
        <v/>
      </c>
      <c r="X859" s="9">
        <f>-IF(C859=1,LN(W859),LN(1-W859))</f>
        <v/>
      </c>
      <c r="Y859" s="8">
        <f>IF(C859=1,$AE$32,$AE$33)</f>
        <v/>
      </c>
      <c r="Z859" s="9">
        <f>Y859*X859</f>
        <v/>
      </c>
      <c r="AA859" s="10">
        <f>IF(W859&gt;$AE$34,1,0)</f>
        <v/>
      </c>
      <c r="AB859">
        <f>IF(AA859=C859,1,0)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$AE$12+D860*$AE$13+E860*$AE$14+F860*$AE$15+G860*$AE$16+H860*$AE$17+I860*$AE$18+J860*$AE$19+K860*$AE$20+L860*$AE$21+M860*$AE$22+N860*$AE$23+O860*$AE$24+P860*$AE$25+Q860*$AE$26+R860*$AE$27+S860*$AE$28+T860*$AE$29+U860*$AE$30</f>
        <v/>
      </c>
      <c r="W860" s="8">
        <f>1/(1+EXP(-V860))</f>
        <v/>
      </c>
      <c r="X860" s="9">
        <f>-IF(C860=1,LN(W860),LN(1-W860))</f>
        <v/>
      </c>
      <c r="Y860" s="8">
        <f>IF(C860=1,$AE$32,$AE$33)</f>
        <v/>
      </c>
      <c r="Z860" s="9">
        <f>Y860*X860</f>
        <v/>
      </c>
      <c r="AA860" s="10">
        <f>IF(W860&gt;$AE$34,1,0)</f>
        <v/>
      </c>
      <c r="AB860">
        <f>IF(AA860=C860,1,0)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$AE$12+D861*$AE$13+E861*$AE$14+F861*$AE$15+G861*$AE$16+H861*$AE$17+I861*$AE$18+J861*$AE$19+K861*$AE$20+L861*$AE$21+M861*$AE$22+N861*$AE$23+O861*$AE$24+P861*$AE$25+Q861*$AE$26+R861*$AE$27+S861*$AE$28+T861*$AE$29+U861*$AE$30</f>
        <v/>
      </c>
      <c r="W861" s="8">
        <f>1/(1+EXP(-V861))</f>
        <v/>
      </c>
      <c r="X861" s="9">
        <f>-IF(C861=1,LN(W861),LN(1-W861))</f>
        <v/>
      </c>
      <c r="Y861" s="8">
        <f>IF(C861=1,$AE$32,$AE$33)</f>
        <v/>
      </c>
      <c r="Z861" s="9">
        <f>Y861*X861</f>
        <v/>
      </c>
      <c r="AA861" s="10">
        <f>IF(W861&gt;$AE$34,1,0)</f>
        <v/>
      </c>
      <c r="AB861">
        <f>IF(AA861=C861,1,0)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$AE$12+D862*$AE$13+E862*$AE$14+F862*$AE$15+G862*$AE$16+H862*$AE$17+I862*$AE$18+J862*$AE$19+K862*$AE$20+L862*$AE$21+M862*$AE$22+N862*$AE$23+O862*$AE$24+P862*$AE$25+Q862*$AE$26+R862*$AE$27+S862*$AE$28+T862*$AE$29+U862*$AE$30</f>
        <v/>
      </c>
      <c r="W862" s="8">
        <f>1/(1+EXP(-V862))</f>
        <v/>
      </c>
      <c r="X862" s="9">
        <f>-IF(C862=1,LN(W862),LN(1-W862))</f>
        <v/>
      </c>
      <c r="Y862" s="8">
        <f>IF(C862=1,$AE$32,$AE$33)</f>
        <v/>
      </c>
      <c r="Z862" s="9">
        <f>Y862*X862</f>
        <v/>
      </c>
      <c r="AA862" s="10">
        <f>IF(W862&gt;$AE$34,1,0)</f>
        <v/>
      </c>
      <c r="AB862">
        <f>IF(AA862=C862,1,0)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$AE$12+D863*$AE$13+E863*$AE$14+F863*$AE$15+G863*$AE$16+H863*$AE$17+I863*$AE$18+J863*$AE$19+K863*$AE$20+L863*$AE$21+M863*$AE$22+N863*$AE$23+O863*$AE$24+P863*$AE$25+Q863*$AE$26+R863*$AE$27+S863*$AE$28+T863*$AE$29+U863*$AE$30</f>
        <v/>
      </c>
      <c r="W863" s="8">
        <f>1/(1+EXP(-V863))</f>
        <v/>
      </c>
      <c r="X863" s="9">
        <f>-IF(C863=1,LN(W863),LN(1-W863))</f>
        <v/>
      </c>
      <c r="Y863" s="8">
        <f>IF(C863=1,$AE$32,$AE$33)</f>
        <v/>
      </c>
      <c r="Z863" s="9">
        <f>Y863*X863</f>
        <v/>
      </c>
      <c r="AA863" s="10">
        <f>IF(W863&gt;$AE$34,1,0)</f>
        <v/>
      </c>
      <c r="AB863">
        <f>IF(AA863=C863,1,0)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$AE$12+D864*$AE$13+E864*$AE$14+F864*$AE$15+G864*$AE$16+H864*$AE$17+I864*$AE$18+J864*$AE$19+K864*$AE$20+L864*$AE$21+M864*$AE$22+N864*$AE$23+O864*$AE$24+P864*$AE$25+Q864*$AE$26+R864*$AE$27+S864*$AE$28+T864*$AE$29+U864*$AE$30</f>
        <v/>
      </c>
      <c r="W864" s="8">
        <f>1/(1+EXP(-V864))</f>
        <v/>
      </c>
      <c r="X864" s="9">
        <f>-IF(C864=1,LN(W864),LN(1-W864))</f>
        <v/>
      </c>
      <c r="Y864" s="8">
        <f>IF(C864=1,$AE$32,$AE$33)</f>
        <v/>
      </c>
      <c r="Z864" s="9">
        <f>Y864*X864</f>
        <v/>
      </c>
      <c r="AA864" s="10">
        <f>IF(W864&gt;$AE$34,1,0)</f>
        <v/>
      </c>
      <c r="AB864">
        <f>IF(AA864=C864,1,0)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$AE$12+D865*$AE$13+E865*$AE$14+F865*$AE$15+G865*$AE$16+H865*$AE$17+I865*$AE$18+J865*$AE$19+K865*$AE$20+L865*$AE$21+M865*$AE$22+N865*$AE$23+O865*$AE$24+P865*$AE$25+Q865*$AE$26+R865*$AE$27+S865*$AE$28+T865*$AE$29+U865*$AE$30</f>
        <v/>
      </c>
      <c r="W865" s="8">
        <f>1/(1+EXP(-V865))</f>
        <v/>
      </c>
      <c r="X865" s="9">
        <f>-IF(C865=1,LN(W865),LN(1-W865))</f>
        <v/>
      </c>
      <c r="Y865" s="8">
        <f>IF(C865=1,$AE$32,$AE$33)</f>
        <v/>
      </c>
      <c r="Z865" s="9">
        <f>Y865*X865</f>
        <v/>
      </c>
      <c r="AA865" s="10">
        <f>IF(W865&gt;$AE$34,1,0)</f>
        <v/>
      </c>
      <c r="AB865">
        <f>IF(AA865=C865,1,0)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$AE$12+D866*$AE$13+E866*$AE$14+F866*$AE$15+G866*$AE$16+H866*$AE$17+I866*$AE$18+J866*$AE$19+K866*$AE$20+L866*$AE$21+M866*$AE$22+N866*$AE$23+O866*$AE$24+P866*$AE$25+Q866*$AE$26+R866*$AE$27+S866*$AE$28+T866*$AE$29+U866*$AE$30</f>
        <v/>
      </c>
      <c r="W866" s="8">
        <f>1/(1+EXP(-V866))</f>
        <v/>
      </c>
      <c r="X866" s="9">
        <f>-IF(C866=1,LN(W866),LN(1-W866))</f>
        <v/>
      </c>
      <c r="Y866" s="8">
        <f>IF(C866=1,$AE$32,$AE$33)</f>
        <v/>
      </c>
      <c r="Z866" s="9">
        <f>Y866*X866</f>
        <v/>
      </c>
      <c r="AA866" s="10">
        <f>IF(W866&gt;$AE$34,1,0)</f>
        <v/>
      </c>
      <c r="AB866">
        <f>IF(AA866=C866,1,0)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$AE$12+D867*$AE$13+E867*$AE$14+F867*$AE$15+G867*$AE$16+H867*$AE$17+I867*$AE$18+J867*$AE$19+K867*$AE$20+L867*$AE$21+M867*$AE$22+N867*$AE$23+O867*$AE$24+P867*$AE$25+Q867*$AE$26+R867*$AE$27+S867*$AE$28+T867*$AE$29+U867*$AE$30</f>
        <v/>
      </c>
      <c r="W867" s="8">
        <f>1/(1+EXP(-V867))</f>
        <v/>
      </c>
      <c r="X867" s="9">
        <f>-IF(C867=1,LN(W867),LN(1-W867))</f>
        <v/>
      </c>
      <c r="Y867" s="8">
        <f>IF(C867=1,$AE$32,$AE$33)</f>
        <v/>
      </c>
      <c r="Z867" s="9">
        <f>Y867*X867</f>
        <v/>
      </c>
      <c r="AA867" s="10">
        <f>IF(W867&gt;$AE$34,1,0)</f>
        <v/>
      </c>
      <c r="AB867">
        <f>IF(AA867=C867,1,0)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$AE$12+D868*$AE$13+E868*$AE$14+F868*$AE$15+G868*$AE$16+H868*$AE$17+I868*$AE$18+J868*$AE$19+K868*$AE$20+L868*$AE$21+M868*$AE$22+N868*$AE$23+O868*$AE$24+P868*$AE$25+Q868*$AE$26+R868*$AE$27+S868*$AE$28+T868*$AE$29+U868*$AE$30</f>
        <v/>
      </c>
      <c r="W868" s="8">
        <f>1/(1+EXP(-V868))</f>
        <v/>
      </c>
      <c r="X868" s="9">
        <f>-IF(C868=1,LN(W868),LN(1-W868))</f>
        <v/>
      </c>
      <c r="Y868" s="8">
        <f>IF(C868=1,$AE$32,$AE$33)</f>
        <v/>
      </c>
      <c r="Z868" s="9">
        <f>Y868*X868</f>
        <v/>
      </c>
      <c r="AA868" s="10">
        <f>IF(W868&gt;$AE$34,1,0)</f>
        <v/>
      </c>
      <c r="AB868">
        <f>IF(AA868=C868,1,0)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$AE$12+D869*$AE$13+E869*$AE$14+F869*$AE$15+G869*$AE$16+H869*$AE$17+I869*$AE$18+J869*$AE$19+K869*$AE$20+L869*$AE$21+M869*$AE$22+N869*$AE$23+O869*$AE$24+P869*$AE$25+Q869*$AE$26+R869*$AE$27+S869*$AE$28+T869*$AE$29+U869*$AE$30</f>
        <v/>
      </c>
      <c r="W869" s="8">
        <f>1/(1+EXP(-V869))</f>
        <v/>
      </c>
      <c r="X869" s="9">
        <f>-IF(C869=1,LN(W869),LN(1-W869))</f>
        <v/>
      </c>
      <c r="Y869" s="8">
        <f>IF(C869=1,$AE$32,$AE$33)</f>
        <v/>
      </c>
      <c r="Z869" s="9">
        <f>Y869*X869</f>
        <v/>
      </c>
      <c r="AA869" s="10">
        <f>IF(W869&gt;$AE$34,1,0)</f>
        <v/>
      </c>
      <c r="AB869">
        <f>IF(AA869=C869,1,0)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$AE$12+D870*$AE$13+E870*$AE$14+F870*$AE$15+G870*$AE$16+H870*$AE$17+I870*$AE$18+J870*$AE$19+K870*$AE$20+L870*$AE$21+M870*$AE$22+N870*$AE$23+O870*$AE$24+P870*$AE$25+Q870*$AE$26+R870*$AE$27+S870*$AE$28+T870*$AE$29+U870*$AE$30</f>
        <v/>
      </c>
      <c r="W870" s="8">
        <f>1/(1+EXP(-V870))</f>
        <v/>
      </c>
      <c r="X870" s="9">
        <f>-IF(C870=1,LN(W870),LN(1-W870))</f>
        <v/>
      </c>
      <c r="Y870" s="8">
        <f>IF(C870=1,$AE$32,$AE$33)</f>
        <v/>
      </c>
      <c r="Z870" s="9">
        <f>Y870*X870</f>
        <v/>
      </c>
      <c r="AA870" s="10">
        <f>IF(W870&gt;$AE$34,1,0)</f>
        <v/>
      </c>
      <c r="AB870">
        <f>IF(AA870=C870,1,0)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$AE$12+D871*$AE$13+E871*$AE$14+F871*$AE$15+G871*$AE$16+H871*$AE$17+I871*$AE$18+J871*$AE$19+K871*$AE$20+L871*$AE$21+M871*$AE$22+N871*$AE$23+O871*$AE$24+P871*$AE$25+Q871*$AE$26+R871*$AE$27+S871*$AE$28+T871*$AE$29+U871*$AE$30</f>
        <v/>
      </c>
      <c r="W871" s="8">
        <f>1/(1+EXP(-V871))</f>
        <v/>
      </c>
      <c r="X871" s="9">
        <f>-IF(C871=1,LN(W871),LN(1-W871))</f>
        <v/>
      </c>
      <c r="Y871" s="8">
        <f>IF(C871=1,$AE$32,$AE$33)</f>
        <v/>
      </c>
      <c r="Z871" s="9">
        <f>Y871*X871</f>
        <v/>
      </c>
      <c r="AA871" s="10">
        <f>IF(W871&gt;$AE$34,1,0)</f>
        <v/>
      </c>
      <c r="AB871">
        <f>IF(AA871=C871,1,0)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$AE$12+D872*$AE$13+E872*$AE$14+F872*$AE$15+G872*$AE$16+H872*$AE$17+I872*$AE$18+J872*$AE$19+K872*$AE$20+L872*$AE$21+M872*$AE$22+N872*$AE$23+O872*$AE$24+P872*$AE$25+Q872*$AE$26+R872*$AE$27+S872*$AE$28+T872*$AE$29+U872*$AE$30</f>
        <v/>
      </c>
      <c r="W872" s="8">
        <f>1/(1+EXP(-V872))</f>
        <v/>
      </c>
      <c r="X872" s="9">
        <f>-IF(C872=1,LN(W872),LN(1-W872))</f>
        <v/>
      </c>
      <c r="Y872" s="8">
        <f>IF(C872=1,$AE$32,$AE$33)</f>
        <v/>
      </c>
      <c r="Z872" s="9">
        <f>Y872*X872</f>
        <v/>
      </c>
      <c r="AA872" s="10">
        <f>IF(W872&gt;$AE$34,1,0)</f>
        <v/>
      </c>
      <c r="AB872">
        <f>IF(AA872=C872,1,0)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$AE$12+D873*$AE$13+E873*$AE$14+F873*$AE$15+G873*$AE$16+H873*$AE$17+I873*$AE$18+J873*$AE$19+K873*$AE$20+L873*$AE$21+M873*$AE$22+N873*$AE$23+O873*$AE$24+P873*$AE$25+Q873*$AE$26+R873*$AE$27+S873*$AE$28+T873*$AE$29+U873*$AE$30</f>
        <v/>
      </c>
      <c r="W873" s="8">
        <f>1/(1+EXP(-V873))</f>
        <v/>
      </c>
      <c r="X873" s="9">
        <f>-IF(C873=1,LN(W873),LN(1-W873))</f>
        <v/>
      </c>
      <c r="Y873" s="8">
        <f>IF(C873=1,$AE$32,$AE$33)</f>
        <v/>
      </c>
      <c r="Z873" s="9">
        <f>Y873*X873</f>
        <v/>
      </c>
      <c r="AA873" s="10">
        <f>IF(W873&gt;$AE$34,1,0)</f>
        <v/>
      </c>
      <c r="AB873">
        <f>IF(AA873=C873,1,0)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$AE$12+D874*$AE$13+E874*$AE$14+F874*$AE$15+G874*$AE$16+H874*$AE$17+I874*$AE$18+J874*$AE$19+K874*$AE$20+L874*$AE$21+M874*$AE$22+N874*$AE$23+O874*$AE$24+P874*$AE$25+Q874*$AE$26+R874*$AE$27+S874*$AE$28+T874*$AE$29+U874*$AE$30</f>
        <v/>
      </c>
      <c r="W874" s="8">
        <f>1/(1+EXP(-V874))</f>
        <v/>
      </c>
      <c r="X874" s="9">
        <f>-IF(C874=1,LN(W874),LN(1-W874))</f>
        <v/>
      </c>
      <c r="Y874" s="8">
        <f>IF(C874=1,$AE$32,$AE$33)</f>
        <v/>
      </c>
      <c r="Z874" s="9">
        <f>Y874*X874</f>
        <v/>
      </c>
      <c r="AA874" s="10">
        <f>IF(W874&gt;$AE$34,1,0)</f>
        <v/>
      </c>
      <c r="AB874">
        <f>IF(AA874=C874,1,0)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$AE$12+D875*$AE$13+E875*$AE$14+F875*$AE$15+G875*$AE$16+H875*$AE$17+I875*$AE$18+J875*$AE$19+K875*$AE$20+L875*$AE$21+M875*$AE$22+N875*$AE$23+O875*$AE$24+P875*$AE$25+Q875*$AE$26+R875*$AE$27+S875*$AE$28+T875*$AE$29+U875*$AE$30</f>
        <v/>
      </c>
      <c r="W875" s="8">
        <f>1/(1+EXP(-V875))</f>
        <v/>
      </c>
      <c r="X875" s="9">
        <f>-IF(C875=1,LN(W875),LN(1-W875))</f>
        <v/>
      </c>
      <c r="Y875" s="8">
        <f>IF(C875=1,$AE$32,$AE$33)</f>
        <v/>
      </c>
      <c r="Z875" s="9">
        <f>Y875*X875</f>
        <v/>
      </c>
      <c r="AA875" s="10">
        <f>IF(W875&gt;$AE$34,1,0)</f>
        <v/>
      </c>
      <c r="AB875">
        <f>IF(AA875=C875,1,0)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$AE$12+D876*$AE$13+E876*$AE$14+F876*$AE$15+G876*$AE$16+H876*$AE$17+I876*$AE$18+J876*$AE$19+K876*$AE$20+L876*$AE$21+M876*$AE$22+N876*$AE$23+O876*$AE$24+P876*$AE$25+Q876*$AE$26+R876*$AE$27+S876*$AE$28+T876*$AE$29+U876*$AE$30</f>
        <v/>
      </c>
      <c r="W876" s="8">
        <f>1/(1+EXP(-V876))</f>
        <v/>
      </c>
      <c r="X876" s="9">
        <f>-IF(C876=1,LN(W876),LN(1-W876))</f>
        <v/>
      </c>
      <c r="Y876" s="8">
        <f>IF(C876=1,$AE$32,$AE$33)</f>
        <v/>
      </c>
      <c r="Z876" s="9">
        <f>Y876*X876</f>
        <v/>
      </c>
      <c r="AA876" s="10">
        <f>IF(W876&gt;$AE$34,1,0)</f>
        <v/>
      </c>
      <c r="AB876">
        <f>IF(AA876=C876,1,0)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$AE$12+D877*$AE$13+E877*$AE$14+F877*$AE$15+G877*$AE$16+H877*$AE$17+I877*$AE$18+J877*$AE$19+K877*$AE$20+L877*$AE$21+M877*$AE$22+N877*$AE$23+O877*$AE$24+P877*$AE$25+Q877*$AE$26+R877*$AE$27+S877*$AE$28+T877*$AE$29+U877*$AE$30</f>
        <v/>
      </c>
      <c r="W877" s="8">
        <f>1/(1+EXP(-V877))</f>
        <v/>
      </c>
      <c r="X877" s="9">
        <f>-IF(C877=1,LN(W877),LN(1-W877))</f>
        <v/>
      </c>
      <c r="Y877" s="8">
        <f>IF(C877=1,$AE$32,$AE$33)</f>
        <v/>
      </c>
      <c r="Z877" s="9">
        <f>Y877*X877</f>
        <v/>
      </c>
      <c r="AA877" s="10">
        <f>IF(W877&gt;$AE$34,1,0)</f>
        <v/>
      </c>
      <c r="AB877">
        <f>IF(AA877=C877,1,0)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$AE$12+D878*$AE$13+E878*$AE$14+F878*$AE$15+G878*$AE$16+H878*$AE$17+I878*$AE$18+J878*$AE$19+K878*$AE$20+L878*$AE$21+M878*$AE$22+N878*$AE$23+O878*$AE$24+P878*$AE$25+Q878*$AE$26+R878*$AE$27+S878*$AE$28+T878*$AE$29+U878*$AE$30</f>
        <v/>
      </c>
      <c r="W878" s="8">
        <f>1/(1+EXP(-V878))</f>
        <v/>
      </c>
      <c r="X878" s="9">
        <f>-IF(C878=1,LN(W878),LN(1-W878))</f>
        <v/>
      </c>
      <c r="Y878" s="8">
        <f>IF(C878=1,$AE$32,$AE$33)</f>
        <v/>
      </c>
      <c r="Z878" s="9">
        <f>Y878*X878</f>
        <v/>
      </c>
      <c r="AA878" s="10">
        <f>IF(W878&gt;$AE$34,1,0)</f>
        <v/>
      </c>
      <c r="AB878">
        <f>IF(AA878=C878,1,0)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$AE$12+D879*$AE$13+E879*$AE$14+F879*$AE$15+G879*$AE$16+H879*$AE$17+I879*$AE$18+J879*$AE$19+K879*$AE$20+L879*$AE$21+M879*$AE$22+N879*$AE$23+O879*$AE$24+P879*$AE$25+Q879*$AE$26+R879*$AE$27+S879*$AE$28+T879*$AE$29+U879*$AE$30</f>
        <v/>
      </c>
      <c r="W879" s="8">
        <f>1/(1+EXP(-V879))</f>
        <v/>
      </c>
      <c r="X879" s="9">
        <f>-IF(C879=1,LN(W879),LN(1-W879))</f>
        <v/>
      </c>
      <c r="Y879" s="8">
        <f>IF(C879=1,$AE$32,$AE$33)</f>
        <v/>
      </c>
      <c r="Z879" s="9">
        <f>Y879*X879</f>
        <v/>
      </c>
      <c r="AA879" s="10">
        <f>IF(W879&gt;$AE$34,1,0)</f>
        <v/>
      </c>
      <c r="AB879">
        <f>IF(AA879=C879,1,0)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$AE$12+D880*$AE$13+E880*$AE$14+F880*$AE$15+G880*$AE$16+H880*$AE$17+I880*$AE$18+J880*$AE$19+K880*$AE$20+L880*$AE$21+M880*$AE$22+N880*$AE$23+O880*$AE$24+P880*$AE$25+Q880*$AE$26+R880*$AE$27+S880*$AE$28+T880*$AE$29+U880*$AE$30</f>
        <v/>
      </c>
      <c r="W880" s="8">
        <f>1/(1+EXP(-V880))</f>
        <v/>
      </c>
      <c r="X880" s="9">
        <f>-IF(C880=1,LN(W880),LN(1-W880))</f>
        <v/>
      </c>
      <c r="Y880" s="8">
        <f>IF(C880=1,$AE$32,$AE$33)</f>
        <v/>
      </c>
      <c r="Z880" s="9">
        <f>Y880*X880</f>
        <v/>
      </c>
      <c r="AA880" s="10">
        <f>IF(W880&gt;$AE$34,1,0)</f>
        <v/>
      </c>
      <c r="AB880">
        <f>IF(AA880=C880,1,0)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$AE$12+D881*$AE$13+E881*$AE$14+F881*$AE$15+G881*$AE$16+H881*$AE$17+I881*$AE$18+J881*$AE$19+K881*$AE$20+L881*$AE$21+M881*$AE$22+N881*$AE$23+O881*$AE$24+P881*$AE$25+Q881*$AE$26+R881*$AE$27+S881*$AE$28+T881*$AE$29+U881*$AE$30</f>
        <v/>
      </c>
      <c r="W881" s="8">
        <f>1/(1+EXP(-V881))</f>
        <v/>
      </c>
      <c r="X881" s="9">
        <f>-IF(C881=1,LN(W881),LN(1-W881))</f>
        <v/>
      </c>
      <c r="Y881" s="8">
        <f>IF(C881=1,$AE$32,$AE$33)</f>
        <v/>
      </c>
      <c r="Z881" s="9">
        <f>Y881*X881</f>
        <v/>
      </c>
      <c r="AA881" s="10">
        <f>IF(W881&gt;$AE$34,1,0)</f>
        <v/>
      </c>
      <c r="AB881">
        <f>IF(AA881=C881,1,0)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$AE$12+D882*$AE$13+E882*$AE$14+F882*$AE$15+G882*$AE$16+H882*$AE$17+I882*$AE$18+J882*$AE$19+K882*$AE$20+L882*$AE$21+M882*$AE$22+N882*$AE$23+O882*$AE$24+P882*$AE$25+Q882*$AE$26+R882*$AE$27+S882*$AE$28+T882*$AE$29+U882*$AE$30</f>
        <v/>
      </c>
      <c r="W882" s="8">
        <f>1/(1+EXP(-V882))</f>
        <v/>
      </c>
      <c r="X882" s="9">
        <f>-IF(C882=1,LN(W882),LN(1-W882))</f>
        <v/>
      </c>
      <c r="Y882" s="8">
        <f>IF(C882=1,$AE$32,$AE$33)</f>
        <v/>
      </c>
      <c r="Z882" s="9">
        <f>Y882*X882</f>
        <v/>
      </c>
      <c r="AA882" s="10">
        <f>IF(W882&gt;$AE$34,1,0)</f>
        <v/>
      </c>
      <c r="AB882">
        <f>IF(AA882=C882,1,0)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$AE$12+D883*$AE$13+E883*$AE$14+F883*$AE$15+G883*$AE$16+H883*$AE$17+I883*$AE$18+J883*$AE$19+K883*$AE$20+L883*$AE$21+M883*$AE$22+N883*$AE$23+O883*$AE$24+P883*$AE$25+Q883*$AE$26+R883*$AE$27+S883*$AE$28+T883*$AE$29+U883*$AE$30</f>
        <v/>
      </c>
      <c r="W883" s="8">
        <f>1/(1+EXP(-V883))</f>
        <v/>
      </c>
      <c r="X883" s="9">
        <f>-IF(C883=1,LN(W883),LN(1-W883))</f>
        <v/>
      </c>
      <c r="Y883" s="8">
        <f>IF(C883=1,$AE$32,$AE$33)</f>
        <v/>
      </c>
      <c r="Z883" s="9">
        <f>Y883*X883</f>
        <v/>
      </c>
      <c r="AA883" s="10">
        <f>IF(W883&gt;$AE$34,1,0)</f>
        <v/>
      </c>
      <c r="AB883">
        <f>IF(AA883=C883,1,0)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$AE$12+D884*$AE$13+E884*$AE$14+F884*$AE$15+G884*$AE$16+H884*$AE$17+I884*$AE$18+J884*$AE$19+K884*$AE$20+L884*$AE$21+M884*$AE$22+N884*$AE$23+O884*$AE$24+P884*$AE$25+Q884*$AE$26+R884*$AE$27+S884*$AE$28+T884*$AE$29+U884*$AE$30</f>
        <v/>
      </c>
      <c r="W884" s="8">
        <f>1/(1+EXP(-V884))</f>
        <v/>
      </c>
      <c r="X884" s="9">
        <f>-IF(C884=1,LN(W884),LN(1-W884))</f>
        <v/>
      </c>
      <c r="Y884" s="8">
        <f>IF(C884=1,$AE$32,$AE$33)</f>
        <v/>
      </c>
      <c r="Z884" s="9">
        <f>Y884*X884</f>
        <v/>
      </c>
      <c r="AA884" s="10">
        <f>IF(W884&gt;$AE$34,1,0)</f>
        <v/>
      </c>
      <c r="AB884">
        <f>IF(AA884=C884,1,0)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$AE$12+D885*$AE$13+E885*$AE$14+F885*$AE$15+G885*$AE$16+H885*$AE$17+I885*$AE$18+J885*$AE$19+K885*$AE$20+L885*$AE$21+M885*$AE$22+N885*$AE$23+O885*$AE$24+P885*$AE$25+Q885*$AE$26+R885*$AE$27+S885*$AE$28+T885*$AE$29+U885*$AE$30</f>
        <v/>
      </c>
      <c r="W885" s="8">
        <f>1/(1+EXP(-V885))</f>
        <v/>
      </c>
      <c r="X885" s="9">
        <f>-IF(C885=1,LN(W885),LN(1-W885))</f>
        <v/>
      </c>
      <c r="Y885" s="8">
        <f>IF(C885=1,$AE$32,$AE$33)</f>
        <v/>
      </c>
      <c r="Z885" s="9">
        <f>Y885*X885</f>
        <v/>
      </c>
      <c r="AA885" s="10">
        <f>IF(W885&gt;$AE$34,1,0)</f>
        <v/>
      </c>
      <c r="AB885">
        <f>IF(AA885=C885,1,0)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$AE$12+D886*$AE$13+E886*$AE$14+F886*$AE$15+G886*$AE$16+H886*$AE$17+I886*$AE$18+J886*$AE$19+K886*$AE$20+L886*$AE$21+M886*$AE$22+N886*$AE$23+O886*$AE$24+P886*$AE$25+Q886*$AE$26+R886*$AE$27+S886*$AE$28+T886*$AE$29+U886*$AE$30</f>
        <v/>
      </c>
      <c r="W886" s="8">
        <f>1/(1+EXP(-V886))</f>
        <v/>
      </c>
      <c r="X886" s="9">
        <f>-IF(C886=1,LN(W886),LN(1-W886))</f>
        <v/>
      </c>
      <c r="Y886" s="8">
        <f>IF(C886=1,$AE$32,$AE$33)</f>
        <v/>
      </c>
      <c r="Z886" s="9">
        <f>Y886*X886</f>
        <v/>
      </c>
      <c r="AA886" s="10">
        <f>IF(W886&gt;$AE$34,1,0)</f>
        <v/>
      </c>
      <c r="AB886">
        <f>IF(AA886=C886,1,0)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$AE$12+D887*$AE$13+E887*$AE$14+F887*$AE$15+G887*$AE$16+H887*$AE$17+I887*$AE$18+J887*$AE$19+K887*$AE$20+L887*$AE$21+M887*$AE$22+N887*$AE$23+O887*$AE$24+P887*$AE$25+Q887*$AE$26+R887*$AE$27+S887*$AE$28+T887*$AE$29+U887*$AE$30</f>
        <v/>
      </c>
      <c r="W887" s="8">
        <f>1/(1+EXP(-V887))</f>
        <v/>
      </c>
      <c r="X887" s="9">
        <f>-IF(C887=1,LN(W887),LN(1-W887))</f>
        <v/>
      </c>
      <c r="Y887" s="8">
        <f>IF(C887=1,$AE$32,$AE$33)</f>
        <v/>
      </c>
      <c r="Z887" s="9">
        <f>Y887*X887</f>
        <v/>
      </c>
      <c r="AA887" s="10">
        <f>IF(W887&gt;$AE$34,1,0)</f>
        <v/>
      </c>
      <c r="AB887">
        <f>IF(AA887=C887,1,0)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$AE$12+D888*$AE$13+E888*$AE$14+F888*$AE$15+G888*$AE$16+H888*$AE$17+I888*$AE$18+J888*$AE$19+K888*$AE$20+L888*$AE$21+M888*$AE$22+N888*$AE$23+O888*$AE$24+P888*$AE$25+Q888*$AE$26+R888*$AE$27+S888*$AE$28+T888*$AE$29+U888*$AE$30</f>
        <v/>
      </c>
      <c r="W888" s="8">
        <f>1/(1+EXP(-V888))</f>
        <v/>
      </c>
      <c r="X888" s="9">
        <f>-IF(C888=1,LN(W888),LN(1-W888))</f>
        <v/>
      </c>
      <c r="Y888" s="8">
        <f>IF(C888=1,$AE$32,$AE$33)</f>
        <v/>
      </c>
      <c r="Z888" s="9">
        <f>Y888*X888</f>
        <v/>
      </c>
      <c r="AA888" s="10">
        <f>IF(W888&gt;$AE$34,1,0)</f>
        <v/>
      </c>
      <c r="AB888">
        <f>IF(AA888=C888,1,0)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$AE$12+D889*$AE$13+E889*$AE$14+F889*$AE$15+G889*$AE$16+H889*$AE$17+I889*$AE$18+J889*$AE$19+K889*$AE$20+L889*$AE$21+M889*$AE$22+N889*$AE$23+O889*$AE$24+P889*$AE$25+Q889*$AE$26+R889*$AE$27+S889*$AE$28+T889*$AE$29+U889*$AE$30</f>
        <v/>
      </c>
      <c r="W889" s="8">
        <f>1/(1+EXP(-V889))</f>
        <v/>
      </c>
      <c r="X889" s="9">
        <f>-IF(C889=1,LN(W889),LN(1-W889))</f>
        <v/>
      </c>
      <c r="Y889" s="8">
        <f>IF(C889=1,$AE$32,$AE$33)</f>
        <v/>
      </c>
      <c r="Z889" s="9">
        <f>Y889*X889</f>
        <v/>
      </c>
      <c r="AA889" s="10">
        <f>IF(W889&gt;$AE$34,1,0)</f>
        <v/>
      </c>
      <c r="AB889">
        <f>IF(AA889=C889,1,0)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$AE$12+D890*$AE$13+E890*$AE$14+F890*$AE$15+G890*$AE$16+H890*$AE$17+I890*$AE$18+J890*$AE$19+K890*$AE$20+L890*$AE$21+M890*$AE$22+N890*$AE$23+O890*$AE$24+P890*$AE$25+Q890*$AE$26+R890*$AE$27+S890*$AE$28+T890*$AE$29+U890*$AE$30</f>
        <v/>
      </c>
      <c r="W890" s="8">
        <f>1/(1+EXP(-V890))</f>
        <v/>
      </c>
      <c r="X890" s="9">
        <f>-IF(C890=1,LN(W890),LN(1-W890))</f>
        <v/>
      </c>
      <c r="Y890" s="8">
        <f>IF(C890=1,$AE$32,$AE$33)</f>
        <v/>
      </c>
      <c r="Z890" s="9">
        <f>Y890*X890</f>
        <v/>
      </c>
      <c r="AA890" s="10">
        <f>IF(W890&gt;$AE$34,1,0)</f>
        <v/>
      </c>
      <c r="AB890">
        <f>IF(AA890=C890,1,0)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$AE$12+D891*$AE$13+E891*$AE$14+F891*$AE$15+G891*$AE$16+H891*$AE$17+I891*$AE$18+J891*$AE$19+K891*$AE$20+L891*$AE$21+M891*$AE$22+N891*$AE$23+O891*$AE$24+P891*$AE$25+Q891*$AE$26+R891*$AE$27+S891*$AE$28+T891*$AE$29+U891*$AE$30</f>
        <v/>
      </c>
      <c r="W891" s="8">
        <f>1/(1+EXP(-V891))</f>
        <v/>
      </c>
      <c r="X891" s="9">
        <f>-IF(C891=1,LN(W891),LN(1-W891))</f>
        <v/>
      </c>
      <c r="Y891" s="8">
        <f>IF(C891=1,$AE$32,$AE$33)</f>
        <v/>
      </c>
      <c r="Z891" s="9">
        <f>Y891*X891</f>
        <v/>
      </c>
      <c r="AA891" s="10">
        <f>IF(W891&gt;$AE$34,1,0)</f>
        <v/>
      </c>
      <c r="AB891">
        <f>IF(AA891=C891,1,0)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$AE$12+D892*$AE$13+E892*$AE$14+F892*$AE$15+G892*$AE$16+H892*$AE$17+I892*$AE$18+J892*$AE$19+K892*$AE$20+L892*$AE$21+M892*$AE$22+N892*$AE$23+O892*$AE$24+P892*$AE$25+Q892*$AE$26+R892*$AE$27+S892*$AE$28+T892*$AE$29+U892*$AE$30</f>
        <v/>
      </c>
      <c r="W892" s="8">
        <f>1/(1+EXP(-V892))</f>
        <v/>
      </c>
      <c r="X892" s="9">
        <f>-IF(C892=1,LN(W892),LN(1-W892))</f>
        <v/>
      </c>
      <c r="Y892" s="8">
        <f>IF(C892=1,$AE$32,$AE$33)</f>
        <v/>
      </c>
      <c r="Z892" s="9">
        <f>Y892*X892</f>
        <v/>
      </c>
      <c r="AA892" s="10">
        <f>IF(W892&gt;$AE$34,1,0)</f>
        <v/>
      </c>
      <c r="AB892">
        <f>IF(AA892=C892,1,0)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$AE$12+D893*$AE$13+E893*$AE$14+F893*$AE$15+G893*$AE$16+H893*$AE$17+I893*$AE$18+J893*$AE$19+K893*$AE$20+L893*$AE$21+M893*$AE$22+N893*$AE$23+O893*$AE$24+P893*$AE$25+Q893*$AE$26+R893*$AE$27+S893*$AE$28+T893*$AE$29+U893*$AE$30</f>
        <v/>
      </c>
      <c r="W893" s="8">
        <f>1/(1+EXP(-V893))</f>
        <v/>
      </c>
      <c r="X893" s="9">
        <f>-IF(C893=1,LN(W893),LN(1-W893))</f>
        <v/>
      </c>
      <c r="Y893" s="8">
        <f>IF(C893=1,$AE$32,$AE$33)</f>
        <v/>
      </c>
      <c r="Z893" s="9">
        <f>Y893*X893</f>
        <v/>
      </c>
      <c r="AA893" s="10">
        <f>IF(W893&gt;$AE$34,1,0)</f>
        <v/>
      </c>
      <c r="AB893">
        <f>IF(AA893=C893,1,0)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$AE$12+D894*$AE$13+E894*$AE$14+F894*$AE$15+G894*$AE$16+H894*$AE$17+I894*$AE$18+J894*$AE$19+K894*$AE$20+L894*$AE$21+M894*$AE$22+N894*$AE$23+O894*$AE$24+P894*$AE$25+Q894*$AE$26+R894*$AE$27+S894*$AE$28+T894*$AE$29+U894*$AE$30</f>
        <v/>
      </c>
      <c r="W894" s="8">
        <f>1/(1+EXP(-V894))</f>
        <v/>
      </c>
      <c r="X894" s="9">
        <f>-IF(C894=1,LN(W894),LN(1-W894))</f>
        <v/>
      </c>
      <c r="Y894" s="8">
        <f>IF(C894=1,$AE$32,$AE$33)</f>
        <v/>
      </c>
      <c r="Z894" s="9">
        <f>Y894*X894</f>
        <v/>
      </c>
      <c r="AA894" s="10">
        <f>IF(W894&gt;$AE$34,1,0)</f>
        <v/>
      </c>
      <c r="AB894">
        <f>IF(AA894=C894,1,0)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$AE$12+D895*$AE$13+E895*$AE$14+F895*$AE$15+G895*$AE$16+H895*$AE$17+I895*$AE$18+J895*$AE$19+K895*$AE$20+L895*$AE$21+M895*$AE$22+N895*$AE$23+O895*$AE$24+P895*$AE$25+Q895*$AE$26+R895*$AE$27+S895*$AE$28+T895*$AE$29+U895*$AE$30</f>
        <v/>
      </c>
      <c r="W895" s="8">
        <f>1/(1+EXP(-V895))</f>
        <v/>
      </c>
      <c r="X895" s="9">
        <f>-IF(C895=1,LN(W895),LN(1-W895))</f>
        <v/>
      </c>
      <c r="Y895" s="8">
        <f>IF(C895=1,$AE$32,$AE$33)</f>
        <v/>
      </c>
      <c r="Z895" s="9">
        <f>Y895*X895</f>
        <v/>
      </c>
      <c r="AA895" s="10">
        <f>IF(W895&gt;$AE$34,1,0)</f>
        <v/>
      </c>
      <c r="AB895">
        <f>IF(AA895=C895,1,0)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$AE$12+D896*$AE$13+E896*$AE$14+F896*$AE$15+G896*$AE$16+H896*$AE$17+I896*$AE$18+J896*$AE$19+K896*$AE$20+L896*$AE$21+M896*$AE$22+N896*$AE$23+O896*$AE$24+P896*$AE$25+Q896*$AE$26+R896*$AE$27+S896*$AE$28+T896*$AE$29+U896*$AE$30</f>
        <v/>
      </c>
      <c r="W896" s="8">
        <f>1/(1+EXP(-V896))</f>
        <v/>
      </c>
      <c r="X896" s="9">
        <f>-IF(C896=1,LN(W896),LN(1-W896))</f>
        <v/>
      </c>
      <c r="Y896" s="8">
        <f>IF(C896=1,$AE$32,$AE$33)</f>
        <v/>
      </c>
      <c r="Z896" s="9">
        <f>Y896*X896</f>
        <v/>
      </c>
      <c r="AA896" s="10">
        <f>IF(W896&gt;$AE$34,1,0)</f>
        <v/>
      </c>
      <c r="AB896">
        <f>IF(AA896=C896,1,0)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$AE$12+D897*$AE$13+E897*$AE$14+F897*$AE$15+G897*$AE$16+H897*$AE$17+I897*$AE$18+J897*$AE$19+K897*$AE$20+L897*$AE$21+M897*$AE$22+N897*$AE$23+O897*$AE$24+P897*$AE$25+Q897*$AE$26+R897*$AE$27+S897*$AE$28+T897*$AE$29+U897*$AE$30</f>
        <v/>
      </c>
      <c r="W897" s="8">
        <f>1/(1+EXP(-V897))</f>
        <v/>
      </c>
      <c r="X897" s="9">
        <f>-IF(C897=1,LN(W897),LN(1-W897))</f>
        <v/>
      </c>
      <c r="Y897" s="8">
        <f>IF(C897=1,$AE$32,$AE$33)</f>
        <v/>
      </c>
      <c r="Z897" s="9">
        <f>Y897*X897</f>
        <v/>
      </c>
      <c r="AA897" s="10">
        <f>IF(W897&gt;$AE$34,1,0)</f>
        <v/>
      </c>
      <c r="AB897">
        <f>IF(AA897=C897,1,0)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$AE$12+D898*$AE$13+E898*$AE$14+F898*$AE$15+G898*$AE$16+H898*$AE$17+I898*$AE$18+J898*$AE$19+K898*$AE$20+L898*$AE$21+M898*$AE$22+N898*$AE$23+O898*$AE$24+P898*$AE$25+Q898*$AE$26+R898*$AE$27+S898*$AE$28+T898*$AE$29+U898*$AE$30</f>
        <v/>
      </c>
      <c r="W898" s="8">
        <f>1/(1+EXP(-V898))</f>
        <v/>
      </c>
      <c r="X898" s="9">
        <f>-IF(C898=1,LN(W898),LN(1-W898))</f>
        <v/>
      </c>
      <c r="Y898" s="8">
        <f>IF(C898=1,$AE$32,$AE$33)</f>
        <v/>
      </c>
      <c r="Z898" s="9">
        <f>Y898*X898</f>
        <v/>
      </c>
      <c r="AA898" s="10">
        <f>IF(W898&gt;$AE$34,1,0)</f>
        <v/>
      </c>
      <c r="AB898">
        <f>IF(AA898=C898,1,0)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$AE$12+D899*$AE$13+E899*$AE$14+F899*$AE$15+G899*$AE$16+H899*$AE$17+I899*$AE$18+J899*$AE$19+K899*$AE$20+L899*$AE$21+M899*$AE$22+N899*$AE$23+O899*$AE$24+P899*$AE$25+Q899*$AE$26+R899*$AE$27+S899*$AE$28+T899*$AE$29+U899*$AE$30</f>
        <v/>
      </c>
      <c r="W899" s="8">
        <f>1/(1+EXP(-V899))</f>
        <v/>
      </c>
      <c r="X899" s="9">
        <f>-IF(C899=1,LN(W899),LN(1-W899))</f>
        <v/>
      </c>
      <c r="Y899" s="8">
        <f>IF(C899=1,$AE$32,$AE$33)</f>
        <v/>
      </c>
      <c r="Z899" s="9">
        <f>Y899*X899</f>
        <v/>
      </c>
      <c r="AA899" s="10">
        <f>IF(W899&gt;$AE$34,1,0)</f>
        <v/>
      </c>
      <c r="AB899">
        <f>IF(AA899=C899,1,0)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$AE$12+D900*$AE$13+E900*$AE$14+F900*$AE$15+G900*$AE$16+H900*$AE$17+I900*$AE$18+J900*$AE$19+K900*$AE$20+L900*$AE$21+M900*$AE$22+N900*$AE$23+O900*$AE$24+P900*$AE$25+Q900*$AE$26+R900*$AE$27+S900*$AE$28+T900*$AE$29+U900*$AE$30</f>
        <v/>
      </c>
      <c r="W900" s="8">
        <f>1/(1+EXP(-V900))</f>
        <v/>
      </c>
      <c r="X900" s="9">
        <f>-IF(C900=1,LN(W900),LN(1-W900))</f>
        <v/>
      </c>
      <c r="Y900" s="8">
        <f>IF(C900=1,$AE$32,$AE$33)</f>
        <v/>
      </c>
      <c r="Z900" s="9">
        <f>Y900*X900</f>
        <v/>
      </c>
      <c r="AA900" s="10">
        <f>IF(W900&gt;$AE$34,1,0)</f>
        <v/>
      </c>
      <c r="AB900">
        <f>IF(AA900=C900,1,0)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$AE$12+D901*$AE$13+E901*$AE$14+F901*$AE$15+G901*$AE$16+H901*$AE$17+I901*$AE$18+J901*$AE$19+K901*$AE$20+L901*$AE$21+M901*$AE$22+N901*$AE$23+O901*$AE$24+P901*$AE$25+Q901*$AE$26+R901*$AE$27+S901*$AE$28+T901*$AE$29+U901*$AE$30</f>
        <v/>
      </c>
      <c r="W901" s="8">
        <f>1/(1+EXP(-V901))</f>
        <v/>
      </c>
      <c r="X901" s="9">
        <f>-IF(C901=1,LN(W901),LN(1-W901))</f>
        <v/>
      </c>
      <c r="Y901" s="8">
        <f>IF(C901=1,$AE$32,$AE$33)</f>
        <v/>
      </c>
      <c r="Z901" s="9">
        <f>Y901*X901</f>
        <v/>
      </c>
      <c r="AA901" s="10">
        <f>IF(W901&gt;$AE$34,1,0)</f>
        <v/>
      </c>
      <c r="AB901">
        <f>IF(AA901=C901,1,0)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$AE$12+D902*$AE$13+E902*$AE$14+F902*$AE$15+G902*$AE$16+H902*$AE$17+I902*$AE$18+J902*$AE$19+K902*$AE$20+L902*$AE$21+M902*$AE$22+N902*$AE$23+O902*$AE$24+P902*$AE$25+Q902*$AE$26+R902*$AE$27+S902*$AE$28+T902*$AE$29+U902*$AE$30</f>
        <v/>
      </c>
      <c r="W902" s="8">
        <f>1/(1+EXP(-V902))</f>
        <v/>
      </c>
      <c r="X902" s="9">
        <f>-IF(C902=1,LN(W902),LN(1-W902))</f>
        <v/>
      </c>
      <c r="Y902" s="8">
        <f>IF(C902=1,$AE$32,$AE$33)</f>
        <v/>
      </c>
      <c r="Z902" s="9">
        <f>Y902*X902</f>
        <v/>
      </c>
      <c r="AA902" s="10">
        <f>IF(W902&gt;$AE$34,1,0)</f>
        <v/>
      </c>
      <c r="AB902">
        <f>IF(AA902=C902,1,0)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$AE$12+D903*$AE$13+E903*$AE$14+F903*$AE$15+G903*$AE$16+H903*$AE$17+I903*$AE$18+J903*$AE$19+K903*$AE$20+L903*$AE$21+M903*$AE$22+N903*$AE$23+O903*$AE$24+P903*$AE$25+Q903*$AE$26+R903*$AE$27+S903*$AE$28+T903*$AE$29+U903*$AE$30</f>
        <v/>
      </c>
      <c r="W903" s="8">
        <f>1/(1+EXP(-V903))</f>
        <v/>
      </c>
      <c r="X903" s="9">
        <f>-IF(C903=1,LN(W903),LN(1-W903))</f>
        <v/>
      </c>
      <c r="Y903" s="8">
        <f>IF(C903=1,$AE$32,$AE$33)</f>
        <v/>
      </c>
      <c r="Z903" s="9">
        <f>Y903*X903</f>
        <v/>
      </c>
      <c r="AA903" s="10">
        <f>IF(W903&gt;$AE$34,1,0)</f>
        <v/>
      </c>
      <c r="AB903">
        <f>IF(AA903=C903,1,0)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$AE$12+D904*$AE$13+E904*$AE$14+F904*$AE$15+G904*$AE$16+H904*$AE$17+I904*$AE$18+J904*$AE$19+K904*$AE$20+L904*$AE$21+M904*$AE$22+N904*$AE$23+O904*$AE$24+P904*$AE$25+Q904*$AE$26+R904*$AE$27+S904*$AE$28+T904*$AE$29+U904*$AE$30</f>
        <v/>
      </c>
      <c r="W904" s="8">
        <f>1/(1+EXP(-V904))</f>
        <v/>
      </c>
      <c r="X904" s="9">
        <f>-IF(C904=1,LN(W904),LN(1-W904))</f>
        <v/>
      </c>
      <c r="Y904" s="8">
        <f>IF(C904=1,$AE$32,$AE$33)</f>
        <v/>
      </c>
      <c r="Z904" s="9">
        <f>Y904*X904</f>
        <v/>
      </c>
      <c r="AA904" s="10">
        <f>IF(W904&gt;$AE$34,1,0)</f>
        <v/>
      </c>
      <c r="AB904">
        <f>IF(AA904=C904,1,0)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$AE$12+D905*$AE$13+E905*$AE$14+F905*$AE$15+G905*$AE$16+H905*$AE$17+I905*$AE$18+J905*$AE$19+K905*$AE$20+L905*$AE$21+M905*$AE$22+N905*$AE$23+O905*$AE$24+P905*$AE$25+Q905*$AE$26+R905*$AE$27+S905*$AE$28+T905*$AE$29+U905*$AE$30</f>
        <v/>
      </c>
      <c r="W905" s="8">
        <f>1/(1+EXP(-V905))</f>
        <v/>
      </c>
      <c r="X905" s="9">
        <f>-IF(C905=1,LN(W905),LN(1-W905))</f>
        <v/>
      </c>
      <c r="Y905" s="8">
        <f>IF(C905=1,$AE$32,$AE$33)</f>
        <v/>
      </c>
      <c r="Z905" s="9">
        <f>Y905*X905</f>
        <v/>
      </c>
      <c r="AA905" s="10">
        <f>IF(W905&gt;$AE$34,1,0)</f>
        <v/>
      </c>
      <c r="AB905">
        <f>IF(AA905=C905,1,0)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$AE$12+D906*$AE$13+E906*$AE$14+F906*$AE$15+G906*$AE$16+H906*$AE$17+I906*$AE$18+J906*$AE$19+K906*$AE$20+L906*$AE$21+M906*$AE$22+N906*$AE$23+O906*$AE$24+P906*$AE$25+Q906*$AE$26+R906*$AE$27+S906*$AE$28+T906*$AE$29+U906*$AE$30</f>
        <v/>
      </c>
      <c r="W906" s="8">
        <f>1/(1+EXP(-V906))</f>
        <v/>
      </c>
      <c r="X906" s="9">
        <f>-IF(C906=1,LN(W906),LN(1-W906))</f>
        <v/>
      </c>
      <c r="Y906" s="8">
        <f>IF(C906=1,$AE$32,$AE$33)</f>
        <v/>
      </c>
      <c r="Z906" s="9">
        <f>Y906*X906</f>
        <v/>
      </c>
      <c r="AA906" s="10">
        <f>IF(W906&gt;$AE$34,1,0)</f>
        <v/>
      </c>
      <c r="AB906">
        <f>IF(AA906=C906,1,0)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$AE$12+D907*$AE$13+E907*$AE$14+F907*$AE$15+G907*$AE$16+H907*$AE$17+I907*$AE$18+J907*$AE$19+K907*$AE$20+L907*$AE$21+M907*$AE$22+N907*$AE$23+O907*$AE$24+P907*$AE$25+Q907*$AE$26+R907*$AE$27+S907*$AE$28+T907*$AE$29+U907*$AE$30</f>
        <v/>
      </c>
      <c r="W907" s="8">
        <f>1/(1+EXP(-V907))</f>
        <v/>
      </c>
      <c r="X907" s="9">
        <f>-IF(C907=1,LN(W907),LN(1-W907))</f>
        <v/>
      </c>
      <c r="Y907" s="8">
        <f>IF(C907=1,$AE$32,$AE$33)</f>
        <v/>
      </c>
      <c r="Z907" s="9">
        <f>Y907*X907</f>
        <v/>
      </c>
      <c r="AA907" s="10">
        <f>IF(W907&gt;$AE$34,1,0)</f>
        <v/>
      </c>
      <c r="AB907">
        <f>IF(AA907=C907,1,0)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$AE$12+D908*$AE$13+E908*$AE$14+F908*$AE$15+G908*$AE$16+H908*$AE$17+I908*$AE$18+J908*$AE$19+K908*$AE$20+L908*$AE$21+M908*$AE$22+N908*$AE$23+O908*$AE$24+P908*$AE$25+Q908*$AE$26+R908*$AE$27+S908*$AE$28+T908*$AE$29+U908*$AE$30</f>
        <v/>
      </c>
      <c r="W908" s="8">
        <f>1/(1+EXP(-V908))</f>
        <v/>
      </c>
      <c r="X908" s="9">
        <f>-IF(C908=1,LN(W908),LN(1-W908))</f>
        <v/>
      </c>
      <c r="Y908" s="8">
        <f>IF(C908=1,$AE$32,$AE$33)</f>
        <v/>
      </c>
      <c r="Z908" s="9">
        <f>Y908*X908</f>
        <v/>
      </c>
      <c r="AA908" s="10">
        <f>IF(W908&gt;$AE$34,1,0)</f>
        <v/>
      </c>
      <c r="AB908">
        <f>IF(AA908=C908,1,0)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$AE$12+D909*$AE$13+E909*$AE$14+F909*$AE$15+G909*$AE$16+H909*$AE$17+I909*$AE$18+J909*$AE$19+K909*$AE$20+L909*$AE$21+M909*$AE$22+N909*$AE$23+O909*$AE$24+P909*$AE$25+Q909*$AE$26+R909*$AE$27+S909*$AE$28+T909*$AE$29+U909*$AE$30</f>
        <v/>
      </c>
      <c r="W909" s="8">
        <f>1/(1+EXP(-V909))</f>
        <v/>
      </c>
      <c r="X909" s="9">
        <f>-IF(C909=1,LN(W909),LN(1-W909))</f>
        <v/>
      </c>
      <c r="Y909" s="8">
        <f>IF(C909=1,$AE$32,$AE$33)</f>
        <v/>
      </c>
      <c r="Z909" s="9">
        <f>Y909*X909</f>
        <v/>
      </c>
      <c r="AA909" s="10">
        <f>IF(W909&gt;$AE$34,1,0)</f>
        <v/>
      </c>
      <c r="AB909">
        <f>IF(AA909=C909,1,0)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$AE$12+D910*$AE$13+E910*$AE$14+F910*$AE$15+G910*$AE$16+H910*$AE$17+I910*$AE$18+J910*$AE$19+K910*$AE$20+L910*$AE$21+M910*$AE$22+N910*$AE$23+O910*$AE$24+P910*$AE$25+Q910*$AE$26+R910*$AE$27+S910*$AE$28+T910*$AE$29+U910*$AE$30</f>
        <v/>
      </c>
      <c r="W910" s="8">
        <f>1/(1+EXP(-V910))</f>
        <v/>
      </c>
      <c r="X910" s="9">
        <f>-IF(C910=1,LN(W910),LN(1-W910))</f>
        <v/>
      </c>
      <c r="Y910" s="8">
        <f>IF(C910=1,$AE$32,$AE$33)</f>
        <v/>
      </c>
      <c r="Z910" s="9">
        <f>Y910*X910</f>
        <v/>
      </c>
      <c r="AA910" s="10">
        <f>IF(W910&gt;$AE$34,1,0)</f>
        <v/>
      </c>
      <c r="AB910">
        <f>IF(AA910=C910,1,0)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$AE$12+D911*$AE$13+E911*$AE$14+F911*$AE$15+G911*$AE$16+H911*$AE$17+I911*$AE$18+J911*$AE$19+K911*$AE$20+L911*$AE$21+M911*$AE$22+N911*$AE$23+O911*$AE$24+P911*$AE$25+Q911*$AE$26+R911*$AE$27+S911*$AE$28+T911*$AE$29+U911*$AE$30</f>
        <v/>
      </c>
      <c r="W911" s="8">
        <f>1/(1+EXP(-V911))</f>
        <v/>
      </c>
      <c r="X911" s="9">
        <f>-IF(C911=1,LN(W911),LN(1-W911))</f>
        <v/>
      </c>
      <c r="Y911" s="8">
        <f>IF(C911=1,$AE$32,$AE$33)</f>
        <v/>
      </c>
      <c r="Z911" s="9">
        <f>Y911*X911</f>
        <v/>
      </c>
      <c r="AA911" s="10">
        <f>IF(W911&gt;$AE$34,1,0)</f>
        <v/>
      </c>
      <c r="AB911">
        <f>IF(AA911=C911,1,0)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$AE$12+D912*$AE$13+E912*$AE$14+F912*$AE$15+G912*$AE$16+H912*$AE$17+I912*$AE$18+J912*$AE$19+K912*$AE$20+L912*$AE$21+M912*$AE$22+N912*$AE$23+O912*$AE$24+P912*$AE$25+Q912*$AE$26+R912*$AE$27+S912*$AE$28+T912*$AE$29+U912*$AE$30</f>
        <v/>
      </c>
      <c r="W912" s="8">
        <f>1/(1+EXP(-V912))</f>
        <v/>
      </c>
      <c r="X912" s="9">
        <f>-IF(C912=1,LN(W912),LN(1-W912))</f>
        <v/>
      </c>
      <c r="Y912" s="8">
        <f>IF(C912=1,$AE$32,$AE$33)</f>
        <v/>
      </c>
      <c r="Z912" s="9">
        <f>Y912*X912</f>
        <v/>
      </c>
      <c r="AA912" s="10">
        <f>IF(W912&gt;$AE$34,1,0)</f>
        <v/>
      </c>
      <c r="AB912">
        <f>IF(AA912=C912,1,0)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$AE$12+D913*$AE$13+E913*$AE$14+F913*$AE$15+G913*$AE$16+H913*$AE$17+I913*$AE$18+J913*$AE$19+K913*$AE$20+L913*$AE$21+M913*$AE$22+N913*$AE$23+O913*$AE$24+P913*$AE$25+Q913*$AE$26+R913*$AE$27+S913*$AE$28+T913*$AE$29+U913*$AE$30</f>
        <v/>
      </c>
      <c r="W913" s="8">
        <f>1/(1+EXP(-V913))</f>
        <v/>
      </c>
      <c r="X913" s="9">
        <f>-IF(C913=1,LN(W913),LN(1-W913))</f>
        <v/>
      </c>
      <c r="Y913" s="8">
        <f>IF(C913=1,$AE$32,$AE$33)</f>
        <v/>
      </c>
      <c r="Z913" s="9">
        <f>Y913*X913</f>
        <v/>
      </c>
      <c r="AA913" s="10">
        <f>IF(W913&gt;$AE$34,1,0)</f>
        <v/>
      </c>
      <c r="AB913">
        <f>IF(AA913=C913,1,0)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$AE$12+D914*$AE$13+E914*$AE$14+F914*$AE$15+G914*$AE$16+H914*$AE$17+I914*$AE$18+J914*$AE$19+K914*$AE$20+L914*$AE$21+M914*$AE$22+N914*$AE$23+O914*$AE$24+P914*$AE$25+Q914*$AE$26+R914*$AE$27+S914*$AE$28+T914*$AE$29+U914*$AE$30</f>
        <v/>
      </c>
      <c r="W914" s="8">
        <f>1/(1+EXP(-V914))</f>
        <v/>
      </c>
      <c r="X914" s="9">
        <f>-IF(C914=1,LN(W914),LN(1-W914))</f>
        <v/>
      </c>
      <c r="Y914" s="8">
        <f>IF(C914=1,$AE$32,$AE$33)</f>
        <v/>
      </c>
      <c r="Z914" s="9">
        <f>Y914*X914</f>
        <v/>
      </c>
      <c r="AA914" s="10">
        <f>IF(W914&gt;$AE$34,1,0)</f>
        <v/>
      </c>
      <c r="AB914">
        <f>IF(AA914=C914,1,0)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$AE$12+D915*$AE$13+E915*$AE$14+F915*$AE$15+G915*$AE$16+H915*$AE$17+I915*$AE$18+J915*$AE$19+K915*$AE$20+L915*$AE$21+M915*$AE$22+N915*$AE$23+O915*$AE$24+P915*$AE$25+Q915*$AE$26+R915*$AE$27+S915*$AE$28+T915*$AE$29+U915*$AE$30</f>
        <v/>
      </c>
      <c r="W915" s="8">
        <f>1/(1+EXP(-V915))</f>
        <v/>
      </c>
      <c r="X915" s="9">
        <f>-IF(C915=1,LN(W915),LN(1-W915))</f>
        <v/>
      </c>
      <c r="Y915" s="8">
        <f>IF(C915=1,$AE$32,$AE$33)</f>
        <v/>
      </c>
      <c r="Z915" s="9">
        <f>Y915*X915</f>
        <v/>
      </c>
      <c r="AA915" s="10">
        <f>IF(W915&gt;$AE$34,1,0)</f>
        <v/>
      </c>
      <c r="AB915">
        <f>IF(AA915=C915,1,0)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$AE$12+D916*$AE$13+E916*$AE$14+F916*$AE$15+G916*$AE$16+H916*$AE$17+I916*$AE$18+J916*$AE$19+K916*$AE$20+L916*$AE$21+M916*$AE$22+N916*$AE$23+O916*$AE$24+P916*$AE$25+Q916*$AE$26+R916*$AE$27+S916*$AE$28+T916*$AE$29+U916*$AE$30</f>
        <v/>
      </c>
      <c r="W916" s="8">
        <f>1/(1+EXP(-V916))</f>
        <v/>
      </c>
      <c r="X916" s="9">
        <f>-IF(C916=1,LN(W916),LN(1-W916))</f>
        <v/>
      </c>
      <c r="Y916" s="8">
        <f>IF(C916=1,$AE$32,$AE$33)</f>
        <v/>
      </c>
      <c r="Z916" s="9">
        <f>Y916*X916</f>
        <v/>
      </c>
      <c r="AA916" s="10">
        <f>IF(W916&gt;$AE$34,1,0)</f>
        <v/>
      </c>
      <c r="AB916">
        <f>IF(AA916=C916,1,0)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$AE$12+D917*$AE$13+E917*$AE$14+F917*$AE$15+G917*$AE$16+H917*$AE$17+I917*$AE$18+J917*$AE$19+K917*$AE$20+L917*$AE$21+M917*$AE$22+N917*$AE$23+O917*$AE$24+P917*$AE$25+Q917*$AE$26+R917*$AE$27+S917*$AE$28+T917*$AE$29+U917*$AE$30</f>
        <v/>
      </c>
      <c r="W917" s="8">
        <f>1/(1+EXP(-V917))</f>
        <v/>
      </c>
      <c r="X917" s="9">
        <f>-IF(C917=1,LN(W917),LN(1-W917))</f>
        <v/>
      </c>
      <c r="Y917" s="8">
        <f>IF(C917=1,$AE$32,$AE$33)</f>
        <v/>
      </c>
      <c r="Z917" s="9">
        <f>Y917*X917</f>
        <v/>
      </c>
      <c r="AA917" s="10">
        <f>IF(W917&gt;$AE$34,1,0)</f>
        <v/>
      </c>
      <c r="AB917">
        <f>IF(AA917=C917,1,0)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$AE$12+D918*$AE$13+E918*$AE$14+F918*$AE$15+G918*$AE$16+H918*$AE$17+I918*$AE$18+J918*$AE$19+K918*$AE$20+L918*$AE$21+M918*$AE$22+N918*$AE$23+O918*$AE$24+P918*$AE$25+Q918*$AE$26+R918*$AE$27+S918*$AE$28+T918*$AE$29+U918*$AE$30</f>
        <v/>
      </c>
      <c r="W918" s="8">
        <f>1/(1+EXP(-V918))</f>
        <v/>
      </c>
      <c r="X918" s="9">
        <f>-IF(C918=1,LN(W918),LN(1-W918))</f>
        <v/>
      </c>
      <c r="Y918" s="8">
        <f>IF(C918=1,$AE$32,$AE$33)</f>
        <v/>
      </c>
      <c r="Z918" s="9">
        <f>Y918*X918</f>
        <v/>
      </c>
      <c r="AA918" s="10">
        <f>IF(W918&gt;$AE$34,1,0)</f>
        <v/>
      </c>
      <c r="AB918">
        <f>IF(AA918=C918,1,0)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$AE$12+D919*$AE$13+E919*$AE$14+F919*$AE$15+G919*$AE$16+H919*$AE$17+I919*$AE$18+J919*$AE$19+K919*$AE$20+L919*$AE$21+M919*$AE$22+N919*$AE$23+O919*$AE$24+P919*$AE$25+Q919*$AE$26+R919*$AE$27+S919*$AE$28+T919*$AE$29+U919*$AE$30</f>
        <v/>
      </c>
      <c r="W919" s="8">
        <f>1/(1+EXP(-V919))</f>
        <v/>
      </c>
      <c r="X919" s="9">
        <f>-IF(C919=1,LN(W919),LN(1-W919))</f>
        <v/>
      </c>
      <c r="Y919" s="8">
        <f>IF(C919=1,$AE$32,$AE$33)</f>
        <v/>
      </c>
      <c r="Z919" s="9">
        <f>Y919*X919</f>
        <v/>
      </c>
      <c r="AA919" s="10">
        <f>IF(W919&gt;$AE$34,1,0)</f>
        <v/>
      </c>
      <c r="AB919">
        <f>IF(AA919=C919,1,0)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$AE$12+D920*$AE$13+E920*$AE$14+F920*$AE$15+G920*$AE$16+H920*$AE$17+I920*$AE$18+J920*$AE$19+K920*$AE$20+L920*$AE$21+M920*$AE$22+N920*$AE$23+O920*$AE$24+P920*$AE$25+Q920*$AE$26+R920*$AE$27+S920*$AE$28+T920*$AE$29+U920*$AE$30</f>
        <v/>
      </c>
      <c r="W920" s="8">
        <f>1/(1+EXP(-V920))</f>
        <v/>
      </c>
      <c r="X920" s="9">
        <f>-IF(C920=1,LN(W920),LN(1-W920))</f>
        <v/>
      </c>
      <c r="Y920" s="8">
        <f>IF(C920=1,$AE$32,$AE$33)</f>
        <v/>
      </c>
      <c r="Z920" s="9">
        <f>Y920*X920</f>
        <v/>
      </c>
      <c r="AA920" s="10">
        <f>IF(W920&gt;$AE$34,1,0)</f>
        <v/>
      </c>
      <c r="AB920">
        <f>IF(AA920=C920,1,0)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$AE$12+D921*$AE$13+E921*$AE$14+F921*$AE$15+G921*$AE$16+H921*$AE$17+I921*$AE$18+J921*$AE$19+K921*$AE$20+L921*$AE$21+M921*$AE$22+N921*$AE$23+O921*$AE$24+P921*$AE$25+Q921*$AE$26+R921*$AE$27+S921*$AE$28+T921*$AE$29+U921*$AE$30</f>
        <v/>
      </c>
      <c r="W921" s="8">
        <f>1/(1+EXP(-V921))</f>
        <v/>
      </c>
      <c r="X921" s="9">
        <f>-IF(C921=1,LN(W921),LN(1-W921))</f>
        <v/>
      </c>
      <c r="Y921" s="8">
        <f>IF(C921=1,$AE$32,$AE$33)</f>
        <v/>
      </c>
      <c r="Z921" s="9">
        <f>Y921*X921</f>
        <v/>
      </c>
      <c r="AA921" s="10">
        <f>IF(W921&gt;$AE$34,1,0)</f>
        <v/>
      </c>
      <c r="AB921">
        <f>IF(AA921=C921,1,0)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$AE$12+D922*$AE$13+E922*$AE$14+F922*$AE$15+G922*$AE$16+H922*$AE$17+I922*$AE$18+J922*$AE$19+K922*$AE$20+L922*$AE$21+M922*$AE$22+N922*$AE$23+O922*$AE$24+P922*$AE$25+Q922*$AE$26+R922*$AE$27+S922*$AE$28+T922*$AE$29+U922*$AE$30</f>
        <v/>
      </c>
      <c r="W922" s="8">
        <f>1/(1+EXP(-V922))</f>
        <v/>
      </c>
      <c r="X922" s="9">
        <f>-IF(C922=1,LN(W922),LN(1-W922))</f>
        <v/>
      </c>
      <c r="Y922" s="8">
        <f>IF(C922=1,$AE$32,$AE$33)</f>
        <v/>
      </c>
      <c r="Z922" s="9">
        <f>Y922*X922</f>
        <v/>
      </c>
      <c r="AA922" s="10">
        <f>IF(W922&gt;$AE$34,1,0)</f>
        <v/>
      </c>
      <c r="AB922">
        <f>IF(AA922=C922,1,0)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$AE$12+D923*$AE$13+E923*$AE$14+F923*$AE$15+G923*$AE$16+H923*$AE$17+I923*$AE$18+J923*$AE$19+K923*$AE$20+L923*$AE$21+M923*$AE$22+N923*$AE$23+O923*$AE$24+P923*$AE$25+Q923*$AE$26+R923*$AE$27+S923*$AE$28+T923*$AE$29+U923*$AE$30</f>
        <v/>
      </c>
      <c r="W923" s="8">
        <f>1/(1+EXP(-V923))</f>
        <v/>
      </c>
      <c r="X923" s="9">
        <f>-IF(C923=1,LN(W923),LN(1-W923))</f>
        <v/>
      </c>
      <c r="Y923" s="8">
        <f>IF(C923=1,$AE$32,$AE$33)</f>
        <v/>
      </c>
      <c r="Z923" s="9">
        <f>Y923*X923</f>
        <v/>
      </c>
      <c r="AA923" s="10">
        <f>IF(W923&gt;$AE$34,1,0)</f>
        <v/>
      </c>
      <c r="AB923">
        <f>IF(AA923=C923,1,0)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$AE$12+D924*$AE$13+E924*$AE$14+F924*$AE$15+G924*$AE$16+H924*$AE$17+I924*$AE$18+J924*$AE$19+K924*$AE$20+L924*$AE$21+M924*$AE$22+N924*$AE$23+O924*$AE$24+P924*$AE$25+Q924*$AE$26+R924*$AE$27+S924*$AE$28+T924*$AE$29+U924*$AE$30</f>
        <v/>
      </c>
      <c r="W924" s="8">
        <f>1/(1+EXP(-V924))</f>
        <v/>
      </c>
      <c r="X924" s="9">
        <f>-IF(C924=1,LN(W924),LN(1-W924))</f>
        <v/>
      </c>
      <c r="Y924" s="8">
        <f>IF(C924=1,$AE$32,$AE$33)</f>
        <v/>
      </c>
      <c r="Z924" s="9">
        <f>Y924*X924</f>
        <v/>
      </c>
      <c r="AA924" s="10">
        <f>IF(W924&gt;$AE$34,1,0)</f>
        <v/>
      </c>
      <c r="AB924">
        <f>IF(AA924=C924,1,0)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$AE$12+D925*$AE$13+E925*$AE$14+F925*$AE$15+G925*$AE$16+H925*$AE$17+I925*$AE$18+J925*$AE$19+K925*$AE$20+L925*$AE$21+M925*$AE$22+N925*$AE$23+O925*$AE$24+P925*$AE$25+Q925*$AE$26+R925*$AE$27+S925*$AE$28+T925*$AE$29+U925*$AE$30</f>
        <v/>
      </c>
      <c r="W925" s="8">
        <f>1/(1+EXP(-V925))</f>
        <v/>
      </c>
      <c r="X925" s="9">
        <f>-IF(C925=1,LN(W925),LN(1-W925))</f>
        <v/>
      </c>
      <c r="Y925" s="8">
        <f>IF(C925=1,$AE$32,$AE$33)</f>
        <v/>
      </c>
      <c r="Z925" s="9">
        <f>Y925*X925</f>
        <v/>
      </c>
      <c r="AA925" s="10">
        <f>IF(W925&gt;$AE$34,1,0)</f>
        <v/>
      </c>
      <c r="AB925">
        <f>IF(AA925=C925,1,0)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$AE$12+D926*$AE$13+E926*$AE$14+F926*$AE$15+G926*$AE$16+H926*$AE$17+I926*$AE$18+J926*$AE$19+K926*$AE$20+L926*$AE$21+M926*$AE$22+N926*$AE$23+O926*$AE$24+P926*$AE$25+Q926*$AE$26+R926*$AE$27+S926*$AE$28+T926*$AE$29+U926*$AE$30</f>
        <v/>
      </c>
      <c r="W926" s="8">
        <f>1/(1+EXP(-V926))</f>
        <v/>
      </c>
      <c r="X926" s="9">
        <f>-IF(C926=1,LN(W926),LN(1-W926))</f>
        <v/>
      </c>
      <c r="Y926" s="8">
        <f>IF(C926=1,$AE$32,$AE$33)</f>
        <v/>
      </c>
      <c r="Z926" s="9">
        <f>Y926*X926</f>
        <v/>
      </c>
      <c r="AA926" s="10">
        <f>IF(W926&gt;$AE$34,1,0)</f>
        <v/>
      </c>
      <c r="AB926">
        <f>IF(AA926=C926,1,0)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$AE$12+D927*$AE$13+E927*$AE$14+F927*$AE$15+G927*$AE$16+H927*$AE$17+I927*$AE$18+J927*$AE$19+K927*$AE$20+L927*$AE$21+M927*$AE$22+N927*$AE$23+O927*$AE$24+P927*$AE$25+Q927*$AE$26+R927*$AE$27+S927*$AE$28+T927*$AE$29+U927*$AE$30</f>
        <v/>
      </c>
      <c r="W927" s="8">
        <f>1/(1+EXP(-V927))</f>
        <v/>
      </c>
      <c r="X927" s="9">
        <f>-IF(C927=1,LN(W927),LN(1-W927))</f>
        <v/>
      </c>
      <c r="Y927" s="8">
        <f>IF(C927=1,$AE$32,$AE$33)</f>
        <v/>
      </c>
      <c r="Z927" s="9">
        <f>Y927*X927</f>
        <v/>
      </c>
      <c r="AA927" s="10">
        <f>IF(W927&gt;$AE$34,1,0)</f>
        <v/>
      </c>
      <c r="AB927">
        <f>IF(AA927=C927,1,0)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$AE$12+D928*$AE$13+E928*$AE$14+F928*$AE$15+G928*$AE$16+H928*$AE$17+I928*$AE$18+J928*$AE$19+K928*$AE$20+L928*$AE$21+M928*$AE$22+N928*$AE$23+O928*$AE$24+P928*$AE$25+Q928*$AE$26+R928*$AE$27+S928*$AE$28+T928*$AE$29+U928*$AE$30</f>
        <v/>
      </c>
      <c r="W928" s="8">
        <f>1/(1+EXP(-V928))</f>
        <v/>
      </c>
      <c r="X928" s="9">
        <f>-IF(C928=1,LN(W928),LN(1-W928))</f>
        <v/>
      </c>
      <c r="Y928" s="8">
        <f>IF(C928=1,$AE$32,$AE$33)</f>
        <v/>
      </c>
      <c r="Z928" s="9">
        <f>Y928*X928</f>
        <v/>
      </c>
      <c r="AA928" s="10">
        <f>IF(W928&gt;$AE$34,1,0)</f>
        <v/>
      </c>
      <c r="AB928">
        <f>IF(AA928=C928,1,0)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$AE$12+D929*$AE$13+E929*$AE$14+F929*$AE$15+G929*$AE$16+H929*$AE$17+I929*$AE$18+J929*$AE$19+K929*$AE$20+L929*$AE$21+M929*$AE$22+N929*$AE$23+O929*$AE$24+P929*$AE$25+Q929*$AE$26+R929*$AE$27+S929*$AE$28+T929*$AE$29+U929*$AE$30</f>
        <v/>
      </c>
      <c r="W929" s="8">
        <f>1/(1+EXP(-V929))</f>
        <v/>
      </c>
      <c r="X929" s="9">
        <f>-IF(C929=1,LN(W929),LN(1-W929))</f>
        <v/>
      </c>
      <c r="Y929" s="8">
        <f>IF(C929=1,$AE$32,$AE$33)</f>
        <v/>
      </c>
      <c r="Z929" s="9">
        <f>Y929*X929</f>
        <v/>
      </c>
      <c r="AA929" s="10">
        <f>IF(W929&gt;$AE$34,1,0)</f>
        <v/>
      </c>
      <c r="AB929">
        <f>IF(AA929=C929,1,0)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$AE$12+D930*$AE$13+E930*$AE$14+F930*$AE$15+G930*$AE$16+H930*$AE$17+I930*$AE$18+J930*$AE$19+K930*$AE$20+L930*$AE$21+M930*$AE$22+N930*$AE$23+O930*$AE$24+P930*$AE$25+Q930*$AE$26+R930*$AE$27+S930*$AE$28+T930*$AE$29+U930*$AE$30</f>
        <v/>
      </c>
      <c r="W930" s="8">
        <f>1/(1+EXP(-V930))</f>
        <v/>
      </c>
      <c r="X930" s="9">
        <f>-IF(C930=1,LN(W930),LN(1-W930))</f>
        <v/>
      </c>
      <c r="Y930" s="8">
        <f>IF(C930=1,$AE$32,$AE$33)</f>
        <v/>
      </c>
      <c r="Z930" s="9">
        <f>Y930*X930</f>
        <v/>
      </c>
      <c r="AA930" s="10">
        <f>IF(W930&gt;$AE$34,1,0)</f>
        <v/>
      </c>
      <c r="AB930">
        <f>IF(AA930=C930,1,0)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$AE$12+D931*$AE$13+E931*$AE$14+F931*$AE$15+G931*$AE$16+H931*$AE$17+I931*$AE$18+J931*$AE$19+K931*$AE$20+L931*$AE$21+M931*$AE$22+N931*$AE$23+O931*$AE$24+P931*$AE$25+Q931*$AE$26+R931*$AE$27+S931*$AE$28+T931*$AE$29+U931*$AE$30</f>
        <v/>
      </c>
      <c r="W931" s="8">
        <f>1/(1+EXP(-V931))</f>
        <v/>
      </c>
      <c r="X931" s="9">
        <f>-IF(C931=1,LN(W931),LN(1-W931))</f>
        <v/>
      </c>
      <c r="Y931" s="8">
        <f>IF(C931=1,$AE$32,$AE$33)</f>
        <v/>
      </c>
      <c r="Z931" s="9">
        <f>Y931*X931</f>
        <v/>
      </c>
      <c r="AA931" s="10">
        <f>IF(W931&gt;$AE$34,1,0)</f>
        <v/>
      </c>
      <c r="AB931">
        <f>IF(AA931=C931,1,0)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$AE$12+D932*$AE$13+E932*$AE$14+F932*$AE$15+G932*$AE$16+H932*$AE$17+I932*$AE$18+J932*$AE$19+K932*$AE$20+L932*$AE$21+M932*$AE$22+N932*$AE$23+O932*$AE$24+P932*$AE$25+Q932*$AE$26+R932*$AE$27+S932*$AE$28+T932*$AE$29+U932*$AE$30</f>
        <v/>
      </c>
      <c r="W932" s="8">
        <f>1/(1+EXP(-V932))</f>
        <v/>
      </c>
      <c r="X932" s="9">
        <f>-IF(C932=1,LN(W932),LN(1-W932))</f>
        <v/>
      </c>
      <c r="Y932" s="8">
        <f>IF(C932=1,$AE$32,$AE$33)</f>
        <v/>
      </c>
      <c r="Z932" s="9">
        <f>Y932*X932</f>
        <v/>
      </c>
      <c r="AA932" s="10">
        <f>IF(W932&gt;$AE$34,1,0)</f>
        <v/>
      </c>
      <c r="AB932">
        <f>IF(AA932=C932,1,0)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$AE$12+D933*$AE$13+E933*$AE$14+F933*$AE$15+G933*$AE$16+H933*$AE$17+I933*$AE$18+J933*$AE$19+K933*$AE$20+L933*$AE$21+M933*$AE$22+N933*$AE$23+O933*$AE$24+P933*$AE$25+Q933*$AE$26+R933*$AE$27+S933*$AE$28+T933*$AE$29+U933*$AE$30</f>
        <v/>
      </c>
      <c r="W933" s="8">
        <f>1/(1+EXP(-V933))</f>
        <v/>
      </c>
      <c r="X933" s="9">
        <f>-IF(C933=1,LN(W933),LN(1-W933))</f>
        <v/>
      </c>
      <c r="Y933" s="8">
        <f>IF(C933=1,$AE$32,$AE$33)</f>
        <v/>
      </c>
      <c r="Z933" s="9">
        <f>Y933*X933</f>
        <v/>
      </c>
      <c r="AA933" s="10">
        <f>IF(W933&gt;$AE$34,1,0)</f>
        <v/>
      </c>
      <c r="AB933">
        <f>IF(AA933=C933,1,0)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$AE$12+D934*$AE$13+E934*$AE$14+F934*$AE$15+G934*$AE$16+H934*$AE$17+I934*$AE$18+J934*$AE$19+K934*$AE$20+L934*$AE$21+M934*$AE$22+N934*$AE$23+O934*$AE$24+P934*$AE$25+Q934*$AE$26+R934*$AE$27+S934*$AE$28+T934*$AE$29+U934*$AE$30</f>
        <v/>
      </c>
      <c r="W934" s="8">
        <f>1/(1+EXP(-V934))</f>
        <v/>
      </c>
      <c r="X934" s="9">
        <f>-IF(C934=1,LN(W934),LN(1-W934))</f>
        <v/>
      </c>
      <c r="Y934" s="8">
        <f>IF(C934=1,$AE$32,$AE$33)</f>
        <v/>
      </c>
      <c r="Z934" s="9">
        <f>Y934*X934</f>
        <v/>
      </c>
      <c r="AA934" s="10">
        <f>IF(W934&gt;$AE$34,1,0)</f>
        <v/>
      </c>
      <c r="AB934">
        <f>IF(AA934=C934,1,0)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$AE$12+D935*$AE$13+E935*$AE$14+F935*$AE$15+G935*$AE$16+H935*$AE$17+I935*$AE$18+J935*$AE$19+K935*$AE$20+L935*$AE$21+M935*$AE$22+N935*$AE$23+O935*$AE$24+P935*$AE$25+Q935*$AE$26+R935*$AE$27+S935*$AE$28+T935*$AE$29+U935*$AE$30</f>
        <v/>
      </c>
      <c r="W935" s="8">
        <f>1/(1+EXP(-V935))</f>
        <v/>
      </c>
      <c r="X935" s="9">
        <f>-IF(C935=1,LN(W935),LN(1-W935))</f>
        <v/>
      </c>
      <c r="Y935" s="8">
        <f>IF(C935=1,$AE$32,$AE$33)</f>
        <v/>
      </c>
      <c r="Z935" s="9">
        <f>Y935*X935</f>
        <v/>
      </c>
      <c r="AA935" s="10">
        <f>IF(W935&gt;$AE$34,1,0)</f>
        <v/>
      </c>
      <c r="AB935">
        <f>IF(AA935=C935,1,0)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$AE$12+D936*$AE$13+E936*$AE$14+F936*$AE$15+G936*$AE$16+H936*$AE$17+I936*$AE$18+J936*$AE$19+K936*$AE$20+L936*$AE$21+M936*$AE$22+N936*$AE$23+O936*$AE$24+P936*$AE$25+Q936*$AE$26+R936*$AE$27+S936*$AE$28+T936*$AE$29+U936*$AE$30</f>
        <v/>
      </c>
      <c r="W936" s="8">
        <f>1/(1+EXP(-V936))</f>
        <v/>
      </c>
      <c r="X936" s="9">
        <f>-IF(C936=1,LN(W936),LN(1-W936))</f>
        <v/>
      </c>
      <c r="Y936" s="8">
        <f>IF(C936=1,$AE$32,$AE$33)</f>
        <v/>
      </c>
      <c r="Z936" s="9">
        <f>Y936*X936</f>
        <v/>
      </c>
      <c r="AA936" s="10">
        <f>IF(W936&gt;$AE$34,1,0)</f>
        <v/>
      </c>
      <c r="AB936">
        <f>IF(AA936=C936,1,0)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$AE$12+D937*$AE$13+E937*$AE$14+F937*$AE$15+G937*$AE$16+H937*$AE$17+I937*$AE$18+J937*$AE$19+K937*$AE$20+L937*$AE$21+M937*$AE$22+N937*$AE$23+O937*$AE$24+P937*$AE$25+Q937*$AE$26+R937*$AE$27+S937*$AE$28+T937*$AE$29+U937*$AE$30</f>
        <v/>
      </c>
      <c r="W937" s="8">
        <f>1/(1+EXP(-V937))</f>
        <v/>
      </c>
      <c r="X937" s="9">
        <f>-IF(C937=1,LN(W937),LN(1-W937))</f>
        <v/>
      </c>
      <c r="Y937" s="8">
        <f>IF(C937=1,$AE$32,$AE$33)</f>
        <v/>
      </c>
      <c r="Z937" s="9">
        <f>Y937*X937</f>
        <v/>
      </c>
      <c r="AA937" s="10">
        <f>IF(W937&gt;$AE$34,1,0)</f>
        <v/>
      </c>
      <c r="AB937">
        <f>IF(AA937=C937,1,0)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$AE$12+D938*$AE$13+E938*$AE$14+F938*$AE$15+G938*$AE$16+H938*$AE$17+I938*$AE$18+J938*$AE$19+K938*$AE$20+L938*$AE$21+M938*$AE$22+N938*$AE$23+O938*$AE$24+P938*$AE$25+Q938*$AE$26+R938*$AE$27+S938*$AE$28+T938*$AE$29+U938*$AE$30</f>
        <v/>
      </c>
      <c r="W938" s="8">
        <f>1/(1+EXP(-V938))</f>
        <v/>
      </c>
      <c r="X938" s="9">
        <f>-IF(C938=1,LN(W938),LN(1-W938))</f>
        <v/>
      </c>
      <c r="Y938" s="8">
        <f>IF(C938=1,$AE$32,$AE$33)</f>
        <v/>
      </c>
      <c r="Z938" s="9">
        <f>Y938*X938</f>
        <v/>
      </c>
      <c r="AA938" s="10">
        <f>IF(W938&gt;$AE$34,1,0)</f>
        <v/>
      </c>
      <c r="AB938">
        <f>IF(AA938=C938,1,0)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$AE$12+D939*$AE$13+E939*$AE$14+F939*$AE$15+G939*$AE$16+H939*$AE$17+I939*$AE$18+J939*$AE$19+K939*$AE$20+L939*$AE$21+M939*$AE$22+N939*$AE$23+O939*$AE$24+P939*$AE$25+Q939*$AE$26+R939*$AE$27+S939*$AE$28+T939*$AE$29+U939*$AE$30</f>
        <v/>
      </c>
      <c r="W939" s="8">
        <f>1/(1+EXP(-V939))</f>
        <v/>
      </c>
      <c r="X939" s="9">
        <f>-IF(C939=1,LN(W939),LN(1-W939))</f>
        <v/>
      </c>
      <c r="Y939" s="8">
        <f>IF(C939=1,$AE$32,$AE$33)</f>
        <v/>
      </c>
      <c r="Z939" s="9">
        <f>Y939*X939</f>
        <v/>
      </c>
      <c r="AA939" s="10">
        <f>IF(W939&gt;$AE$34,1,0)</f>
        <v/>
      </c>
      <c r="AB939">
        <f>IF(AA939=C939,1,0)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$AE$12+D940*$AE$13+E940*$AE$14+F940*$AE$15+G940*$AE$16+H940*$AE$17+I940*$AE$18+J940*$AE$19+K940*$AE$20+L940*$AE$21+M940*$AE$22+N940*$AE$23+O940*$AE$24+P940*$AE$25+Q940*$AE$26+R940*$AE$27+S940*$AE$28+T940*$AE$29+U940*$AE$30</f>
        <v/>
      </c>
      <c r="W940" s="8">
        <f>1/(1+EXP(-V940))</f>
        <v/>
      </c>
      <c r="X940" s="9">
        <f>-IF(C940=1,LN(W940),LN(1-W940))</f>
        <v/>
      </c>
      <c r="Y940" s="8">
        <f>IF(C940=1,$AE$32,$AE$33)</f>
        <v/>
      </c>
      <c r="Z940" s="9">
        <f>Y940*X940</f>
        <v/>
      </c>
      <c r="AA940" s="10">
        <f>IF(W940&gt;$AE$34,1,0)</f>
        <v/>
      </c>
      <c r="AB940">
        <f>IF(AA940=C940,1,0)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$AE$12+D941*$AE$13+E941*$AE$14+F941*$AE$15+G941*$AE$16+H941*$AE$17+I941*$AE$18+J941*$AE$19+K941*$AE$20+L941*$AE$21+M941*$AE$22+N941*$AE$23+O941*$AE$24+P941*$AE$25+Q941*$AE$26+R941*$AE$27+S941*$AE$28+T941*$AE$29+U941*$AE$30</f>
        <v/>
      </c>
      <c r="W941" s="8">
        <f>1/(1+EXP(-V941))</f>
        <v/>
      </c>
      <c r="X941" s="9">
        <f>-IF(C941=1,LN(W941),LN(1-W941))</f>
        <v/>
      </c>
      <c r="Y941" s="8">
        <f>IF(C941=1,$AE$32,$AE$33)</f>
        <v/>
      </c>
      <c r="Z941" s="9">
        <f>Y941*X941</f>
        <v/>
      </c>
      <c r="AA941" s="10">
        <f>IF(W941&gt;$AE$34,1,0)</f>
        <v/>
      </c>
      <c r="AB941">
        <f>IF(AA941=C941,1,0)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$AE$12+D942*$AE$13+E942*$AE$14+F942*$AE$15+G942*$AE$16+H942*$AE$17+I942*$AE$18+J942*$AE$19+K942*$AE$20+L942*$AE$21+M942*$AE$22+N942*$AE$23+O942*$AE$24+P942*$AE$25+Q942*$AE$26+R942*$AE$27+S942*$AE$28+T942*$AE$29+U942*$AE$30</f>
        <v/>
      </c>
      <c r="W942" s="8">
        <f>1/(1+EXP(-V942))</f>
        <v/>
      </c>
      <c r="X942" s="9">
        <f>-IF(C942=1,LN(W942),LN(1-W942))</f>
        <v/>
      </c>
      <c r="Y942" s="8">
        <f>IF(C942=1,$AE$32,$AE$33)</f>
        <v/>
      </c>
      <c r="Z942" s="9">
        <f>Y942*X942</f>
        <v/>
      </c>
      <c r="AA942" s="10">
        <f>IF(W942&gt;$AE$34,1,0)</f>
        <v/>
      </c>
      <c r="AB942">
        <f>IF(AA942=C942,1,0)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$AE$12+D943*$AE$13+E943*$AE$14+F943*$AE$15+G943*$AE$16+H943*$AE$17+I943*$AE$18+J943*$AE$19+K943*$AE$20+L943*$AE$21+M943*$AE$22+N943*$AE$23+O943*$AE$24+P943*$AE$25+Q943*$AE$26+R943*$AE$27+S943*$AE$28+T943*$AE$29+U943*$AE$30</f>
        <v/>
      </c>
      <c r="W943" s="8">
        <f>1/(1+EXP(-V943))</f>
        <v/>
      </c>
      <c r="X943" s="9">
        <f>-IF(C943=1,LN(W943),LN(1-W943))</f>
        <v/>
      </c>
      <c r="Y943" s="8">
        <f>IF(C943=1,$AE$32,$AE$33)</f>
        <v/>
      </c>
      <c r="Z943" s="9">
        <f>Y943*X943</f>
        <v/>
      </c>
      <c r="AA943" s="10">
        <f>IF(W943&gt;$AE$34,1,0)</f>
        <v/>
      </c>
      <c r="AB943">
        <f>IF(AA943=C943,1,0)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$AE$12+D944*$AE$13+E944*$AE$14+F944*$AE$15+G944*$AE$16+H944*$AE$17+I944*$AE$18+J944*$AE$19+K944*$AE$20+L944*$AE$21+M944*$AE$22+N944*$AE$23+O944*$AE$24+P944*$AE$25+Q944*$AE$26+R944*$AE$27+S944*$AE$28+T944*$AE$29+U944*$AE$30</f>
        <v/>
      </c>
      <c r="W944" s="8">
        <f>1/(1+EXP(-V944))</f>
        <v/>
      </c>
      <c r="X944" s="9">
        <f>-IF(C944=1,LN(W944),LN(1-W944))</f>
        <v/>
      </c>
      <c r="Y944" s="8">
        <f>IF(C944=1,$AE$32,$AE$33)</f>
        <v/>
      </c>
      <c r="Z944" s="9">
        <f>Y944*X944</f>
        <v/>
      </c>
      <c r="AA944" s="10">
        <f>IF(W944&gt;$AE$34,1,0)</f>
        <v/>
      </c>
      <c r="AB944">
        <f>IF(AA944=C944,1,0)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$AE$12+D945*$AE$13+E945*$AE$14+F945*$AE$15+G945*$AE$16+H945*$AE$17+I945*$AE$18+J945*$AE$19+K945*$AE$20+L945*$AE$21+M945*$AE$22+N945*$AE$23+O945*$AE$24+P945*$AE$25+Q945*$AE$26+R945*$AE$27+S945*$AE$28+T945*$AE$29+U945*$AE$30</f>
        <v/>
      </c>
      <c r="W945" s="8">
        <f>1/(1+EXP(-V945))</f>
        <v/>
      </c>
      <c r="X945" s="9">
        <f>-IF(C945=1,LN(W945),LN(1-W945))</f>
        <v/>
      </c>
      <c r="Y945" s="8">
        <f>IF(C945=1,$AE$32,$AE$33)</f>
        <v/>
      </c>
      <c r="Z945" s="9">
        <f>Y945*X945</f>
        <v/>
      </c>
      <c r="AA945" s="10">
        <f>IF(W945&gt;$AE$34,1,0)</f>
        <v/>
      </c>
      <c r="AB945">
        <f>IF(AA945=C945,1,0)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$AE$12+D946*$AE$13+E946*$AE$14+F946*$AE$15+G946*$AE$16+H946*$AE$17+I946*$AE$18+J946*$AE$19+K946*$AE$20+L946*$AE$21+M946*$AE$22+N946*$AE$23+O946*$AE$24+P946*$AE$25+Q946*$AE$26+R946*$AE$27+S946*$AE$28+T946*$AE$29+U946*$AE$30</f>
        <v/>
      </c>
      <c r="W946" s="8">
        <f>1/(1+EXP(-V946))</f>
        <v/>
      </c>
      <c r="X946" s="9">
        <f>-IF(C946=1,LN(W946),LN(1-W946))</f>
        <v/>
      </c>
      <c r="Y946" s="8">
        <f>IF(C946=1,$AE$32,$AE$33)</f>
        <v/>
      </c>
      <c r="Z946" s="9">
        <f>Y946*X946</f>
        <v/>
      </c>
      <c r="AA946" s="10">
        <f>IF(W946&gt;$AE$34,1,0)</f>
        <v/>
      </c>
      <c r="AB946">
        <f>IF(AA946=C946,1,0)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$AE$12+D947*$AE$13+E947*$AE$14+F947*$AE$15+G947*$AE$16+H947*$AE$17+I947*$AE$18+J947*$AE$19+K947*$AE$20+L947*$AE$21+M947*$AE$22+N947*$AE$23+O947*$AE$24+P947*$AE$25+Q947*$AE$26+R947*$AE$27+S947*$AE$28+T947*$AE$29+U947*$AE$30</f>
        <v/>
      </c>
      <c r="W947" s="8">
        <f>1/(1+EXP(-V947))</f>
        <v/>
      </c>
      <c r="X947" s="9">
        <f>-IF(C947=1,LN(W947),LN(1-W947))</f>
        <v/>
      </c>
      <c r="Y947" s="8">
        <f>IF(C947=1,$AE$32,$AE$33)</f>
        <v/>
      </c>
      <c r="Z947" s="9">
        <f>Y947*X947</f>
        <v/>
      </c>
      <c r="AA947" s="10">
        <f>IF(W947&gt;$AE$34,1,0)</f>
        <v/>
      </c>
      <c r="AB947">
        <f>IF(AA947=C947,1,0)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$AE$12+D948*$AE$13+E948*$AE$14+F948*$AE$15+G948*$AE$16+H948*$AE$17+I948*$AE$18+J948*$AE$19+K948*$AE$20+L948*$AE$21+M948*$AE$22+N948*$AE$23+O948*$AE$24+P948*$AE$25+Q948*$AE$26+R948*$AE$27+S948*$AE$28+T948*$AE$29+U948*$AE$30</f>
        <v/>
      </c>
      <c r="W948" s="8">
        <f>1/(1+EXP(-V948))</f>
        <v/>
      </c>
      <c r="X948" s="9">
        <f>-IF(C948=1,LN(W948),LN(1-W948))</f>
        <v/>
      </c>
      <c r="Y948" s="8">
        <f>IF(C948=1,$AE$32,$AE$33)</f>
        <v/>
      </c>
      <c r="Z948" s="9">
        <f>Y948*X948</f>
        <v/>
      </c>
      <c r="AA948" s="10">
        <f>IF(W948&gt;$AE$34,1,0)</f>
        <v/>
      </c>
      <c r="AB948">
        <f>IF(AA948=C948,1,0)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$AE$12+D949*$AE$13+E949*$AE$14+F949*$AE$15+G949*$AE$16+H949*$AE$17+I949*$AE$18+J949*$AE$19+K949*$AE$20+L949*$AE$21+M949*$AE$22+N949*$AE$23+O949*$AE$24+P949*$AE$25+Q949*$AE$26+R949*$AE$27+S949*$AE$28+T949*$AE$29+U949*$AE$30</f>
        <v/>
      </c>
      <c r="W949" s="8">
        <f>1/(1+EXP(-V949))</f>
        <v/>
      </c>
      <c r="X949" s="9">
        <f>-IF(C949=1,LN(W949),LN(1-W949))</f>
        <v/>
      </c>
      <c r="Y949" s="8">
        <f>IF(C949=1,$AE$32,$AE$33)</f>
        <v/>
      </c>
      <c r="Z949" s="9">
        <f>Y949*X949</f>
        <v/>
      </c>
      <c r="AA949" s="10">
        <f>IF(W949&gt;$AE$34,1,0)</f>
        <v/>
      </c>
      <c r="AB949">
        <f>IF(AA949=C949,1,0)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$AE$12+D950*$AE$13+E950*$AE$14+F950*$AE$15+G950*$AE$16+H950*$AE$17+I950*$AE$18+J950*$AE$19+K950*$AE$20+L950*$AE$21+M950*$AE$22+N950*$AE$23+O950*$AE$24+P950*$AE$25+Q950*$AE$26+R950*$AE$27+S950*$AE$28+T950*$AE$29+U950*$AE$30</f>
        <v/>
      </c>
      <c r="W950" s="8">
        <f>1/(1+EXP(-V950))</f>
        <v/>
      </c>
      <c r="X950" s="9">
        <f>-IF(C950=1,LN(W950),LN(1-W950))</f>
        <v/>
      </c>
      <c r="Y950" s="8">
        <f>IF(C950=1,$AE$32,$AE$33)</f>
        <v/>
      </c>
      <c r="Z950" s="9">
        <f>Y950*X950</f>
        <v/>
      </c>
      <c r="AA950" s="10">
        <f>IF(W950&gt;$AE$34,1,0)</f>
        <v/>
      </c>
      <c r="AB950">
        <f>IF(AA950=C950,1,0)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$AE$12+D951*$AE$13+E951*$AE$14+F951*$AE$15+G951*$AE$16+H951*$AE$17+I951*$AE$18+J951*$AE$19+K951*$AE$20+L951*$AE$21+M951*$AE$22+N951*$AE$23+O951*$AE$24+P951*$AE$25+Q951*$AE$26+R951*$AE$27+S951*$AE$28+T951*$AE$29+U951*$AE$30</f>
        <v/>
      </c>
      <c r="W951" s="8">
        <f>1/(1+EXP(-V951))</f>
        <v/>
      </c>
      <c r="X951" s="9">
        <f>-IF(C951=1,LN(W951),LN(1-W951))</f>
        <v/>
      </c>
      <c r="Y951" s="8">
        <f>IF(C951=1,$AE$32,$AE$33)</f>
        <v/>
      </c>
      <c r="Z951" s="9">
        <f>Y951*X951</f>
        <v/>
      </c>
      <c r="AA951" s="10">
        <f>IF(W951&gt;$AE$34,1,0)</f>
        <v/>
      </c>
      <c r="AB951">
        <f>IF(AA951=C951,1,0)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$AE$12+D952*$AE$13+E952*$AE$14+F952*$AE$15+G952*$AE$16+H952*$AE$17+I952*$AE$18+J952*$AE$19+K952*$AE$20+L952*$AE$21+M952*$AE$22+N952*$AE$23+O952*$AE$24+P952*$AE$25+Q952*$AE$26+R952*$AE$27+S952*$AE$28+T952*$AE$29+U952*$AE$30</f>
        <v/>
      </c>
      <c r="W952" s="8">
        <f>1/(1+EXP(-V952))</f>
        <v/>
      </c>
      <c r="X952" s="9">
        <f>-IF(C952=1,LN(W952),LN(1-W952))</f>
        <v/>
      </c>
      <c r="Y952" s="8">
        <f>IF(C952=1,$AE$32,$AE$33)</f>
        <v/>
      </c>
      <c r="Z952" s="9">
        <f>Y952*X952</f>
        <v/>
      </c>
      <c r="AA952" s="10">
        <f>IF(W952&gt;$AE$34,1,0)</f>
        <v/>
      </c>
      <c r="AB952">
        <f>IF(AA952=C952,1,0)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$AE$12+D953*$AE$13+E953*$AE$14+F953*$AE$15+G953*$AE$16+H953*$AE$17+I953*$AE$18+J953*$AE$19+K953*$AE$20+L953*$AE$21+M953*$AE$22+N953*$AE$23+O953*$AE$24+P953*$AE$25+Q953*$AE$26+R953*$AE$27+S953*$AE$28+T953*$AE$29+U953*$AE$30</f>
        <v/>
      </c>
      <c r="W953" s="8">
        <f>1/(1+EXP(-V953))</f>
        <v/>
      </c>
      <c r="X953" s="9">
        <f>-IF(C953=1,LN(W953),LN(1-W953))</f>
        <v/>
      </c>
      <c r="Y953" s="8">
        <f>IF(C953=1,$AE$32,$AE$33)</f>
        <v/>
      </c>
      <c r="Z953" s="9">
        <f>Y953*X953</f>
        <v/>
      </c>
      <c r="AA953" s="10">
        <f>IF(W953&gt;$AE$34,1,0)</f>
        <v/>
      </c>
      <c r="AB953">
        <f>IF(AA953=C953,1,0)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$AE$12+D954*$AE$13+E954*$AE$14+F954*$AE$15+G954*$AE$16+H954*$AE$17+I954*$AE$18+J954*$AE$19+K954*$AE$20+L954*$AE$21+M954*$AE$22+N954*$AE$23+O954*$AE$24+P954*$AE$25+Q954*$AE$26+R954*$AE$27+S954*$AE$28+T954*$AE$29+U954*$AE$30</f>
        <v/>
      </c>
      <c r="W954" s="8">
        <f>1/(1+EXP(-V954))</f>
        <v/>
      </c>
      <c r="X954" s="9">
        <f>-IF(C954=1,LN(W954),LN(1-W954))</f>
        <v/>
      </c>
      <c r="Y954" s="8">
        <f>IF(C954=1,$AE$32,$AE$33)</f>
        <v/>
      </c>
      <c r="Z954" s="9">
        <f>Y954*X954</f>
        <v/>
      </c>
      <c r="AA954" s="10">
        <f>IF(W954&gt;$AE$34,1,0)</f>
        <v/>
      </c>
      <c r="AB954">
        <f>IF(AA954=C954,1,0)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$AE$12+D955*$AE$13+E955*$AE$14+F955*$AE$15+G955*$AE$16+H955*$AE$17+I955*$AE$18+J955*$AE$19+K955*$AE$20+L955*$AE$21+M955*$AE$22+N955*$AE$23+O955*$AE$24+P955*$AE$25+Q955*$AE$26+R955*$AE$27+S955*$AE$28+T955*$AE$29+U955*$AE$30</f>
        <v/>
      </c>
      <c r="W955" s="8">
        <f>1/(1+EXP(-V955))</f>
        <v/>
      </c>
      <c r="X955" s="9">
        <f>-IF(C955=1,LN(W955),LN(1-W955))</f>
        <v/>
      </c>
      <c r="Y955" s="8">
        <f>IF(C955=1,$AE$32,$AE$33)</f>
        <v/>
      </c>
      <c r="Z955" s="9">
        <f>Y955*X955</f>
        <v/>
      </c>
      <c r="AA955" s="10">
        <f>IF(W955&gt;$AE$34,1,0)</f>
        <v/>
      </c>
      <c r="AB955">
        <f>IF(AA955=C955,1,0)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$AE$12+D956*$AE$13+E956*$AE$14+F956*$AE$15+G956*$AE$16+H956*$AE$17+I956*$AE$18+J956*$AE$19+K956*$AE$20+L956*$AE$21+M956*$AE$22+N956*$AE$23+O956*$AE$24+P956*$AE$25+Q956*$AE$26+R956*$AE$27+S956*$AE$28+T956*$AE$29+U956*$AE$30</f>
        <v/>
      </c>
      <c r="W956" s="8">
        <f>1/(1+EXP(-V956))</f>
        <v/>
      </c>
      <c r="X956" s="9">
        <f>-IF(C956=1,LN(W956),LN(1-W956))</f>
        <v/>
      </c>
      <c r="Y956" s="8">
        <f>IF(C956=1,$AE$32,$AE$33)</f>
        <v/>
      </c>
      <c r="Z956" s="9">
        <f>Y956*X956</f>
        <v/>
      </c>
      <c r="AA956" s="10">
        <f>IF(W956&gt;$AE$34,1,0)</f>
        <v/>
      </c>
      <c r="AB956">
        <f>IF(AA956=C956,1,0)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$AE$12+D957*$AE$13+E957*$AE$14+F957*$AE$15+G957*$AE$16+H957*$AE$17+I957*$AE$18+J957*$AE$19+K957*$AE$20+L957*$AE$21+M957*$AE$22+N957*$AE$23+O957*$AE$24+P957*$AE$25+Q957*$AE$26+R957*$AE$27+S957*$AE$28+T957*$AE$29+U957*$AE$30</f>
        <v/>
      </c>
      <c r="W957" s="8">
        <f>1/(1+EXP(-V957))</f>
        <v/>
      </c>
      <c r="X957" s="9">
        <f>-IF(C957=1,LN(W957),LN(1-W957))</f>
        <v/>
      </c>
      <c r="Y957" s="8">
        <f>IF(C957=1,$AE$32,$AE$33)</f>
        <v/>
      </c>
      <c r="Z957" s="9">
        <f>Y957*X957</f>
        <v/>
      </c>
      <c r="AA957" s="10">
        <f>IF(W957&gt;$AE$34,1,0)</f>
        <v/>
      </c>
      <c r="AB957">
        <f>IF(AA957=C957,1,0)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$AE$12+D958*$AE$13+E958*$AE$14+F958*$AE$15+G958*$AE$16+H958*$AE$17+I958*$AE$18+J958*$AE$19+K958*$AE$20+L958*$AE$21+M958*$AE$22+N958*$AE$23+O958*$AE$24+P958*$AE$25+Q958*$AE$26+R958*$AE$27+S958*$AE$28+T958*$AE$29+U958*$AE$30</f>
        <v/>
      </c>
      <c r="W958" s="8">
        <f>1/(1+EXP(-V958))</f>
        <v/>
      </c>
      <c r="X958" s="9">
        <f>-IF(C958=1,LN(W958),LN(1-W958))</f>
        <v/>
      </c>
      <c r="Y958" s="8">
        <f>IF(C958=1,$AE$32,$AE$33)</f>
        <v/>
      </c>
      <c r="Z958" s="9">
        <f>Y958*X958</f>
        <v/>
      </c>
      <c r="AA958" s="10">
        <f>IF(W958&gt;$AE$34,1,0)</f>
        <v/>
      </c>
      <c r="AB958">
        <f>IF(AA958=C958,1,0)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$AE$12+D959*$AE$13+E959*$AE$14+F959*$AE$15+G959*$AE$16+H959*$AE$17+I959*$AE$18+J959*$AE$19+K959*$AE$20+L959*$AE$21+M959*$AE$22+N959*$AE$23+O959*$AE$24+P959*$AE$25+Q959*$AE$26+R959*$AE$27+S959*$AE$28+T959*$AE$29+U959*$AE$30</f>
        <v/>
      </c>
      <c r="W959" s="8">
        <f>1/(1+EXP(-V959))</f>
        <v/>
      </c>
      <c r="X959" s="9">
        <f>-IF(C959=1,LN(W959),LN(1-W959))</f>
        <v/>
      </c>
      <c r="Y959" s="8">
        <f>IF(C959=1,$AE$32,$AE$33)</f>
        <v/>
      </c>
      <c r="Z959" s="9">
        <f>Y959*X959</f>
        <v/>
      </c>
      <c r="AA959" s="10">
        <f>IF(W959&gt;$AE$34,1,0)</f>
        <v/>
      </c>
      <c r="AB959">
        <f>IF(AA959=C959,1,0)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$AE$12+D960*$AE$13+E960*$AE$14+F960*$AE$15+G960*$AE$16+H960*$AE$17+I960*$AE$18+J960*$AE$19+K960*$AE$20+L960*$AE$21+M960*$AE$22+N960*$AE$23+O960*$AE$24+P960*$AE$25+Q960*$AE$26+R960*$AE$27+S960*$AE$28+T960*$AE$29+U960*$AE$30</f>
        <v/>
      </c>
      <c r="W960" s="8">
        <f>1/(1+EXP(-V960))</f>
        <v/>
      </c>
      <c r="X960" s="9">
        <f>-IF(C960=1,LN(W960),LN(1-W960))</f>
        <v/>
      </c>
      <c r="Y960" s="8">
        <f>IF(C960=1,$AE$32,$AE$33)</f>
        <v/>
      </c>
      <c r="Z960" s="9">
        <f>Y960*X960</f>
        <v/>
      </c>
      <c r="AA960" s="10">
        <f>IF(W960&gt;$AE$34,1,0)</f>
        <v/>
      </c>
      <c r="AB960">
        <f>IF(AA960=C960,1,0)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$AE$12+D961*$AE$13+E961*$AE$14+F961*$AE$15+G961*$AE$16+H961*$AE$17+I961*$AE$18+J961*$AE$19+K961*$AE$20+L961*$AE$21+M961*$AE$22+N961*$AE$23+O961*$AE$24+P961*$AE$25+Q961*$AE$26+R961*$AE$27+S961*$AE$28+T961*$AE$29+U961*$AE$30</f>
        <v/>
      </c>
      <c r="W961" s="8">
        <f>1/(1+EXP(-V961))</f>
        <v/>
      </c>
      <c r="X961" s="9">
        <f>-IF(C961=1,LN(W961),LN(1-W961))</f>
        <v/>
      </c>
      <c r="Y961" s="8">
        <f>IF(C961=1,$AE$32,$AE$33)</f>
        <v/>
      </c>
      <c r="Z961" s="9">
        <f>Y961*X961</f>
        <v/>
      </c>
      <c r="AA961" s="10">
        <f>IF(W961&gt;$AE$34,1,0)</f>
        <v/>
      </c>
      <c r="AB961">
        <f>IF(AA961=C961,1,0)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$AE$12+D962*$AE$13+E962*$AE$14+F962*$AE$15+G962*$AE$16+H962*$AE$17+I962*$AE$18+J962*$AE$19+K962*$AE$20+L962*$AE$21+M962*$AE$22+N962*$AE$23+O962*$AE$24+P962*$AE$25+Q962*$AE$26+R962*$AE$27+S962*$AE$28+T962*$AE$29+U962*$AE$30</f>
        <v/>
      </c>
      <c r="W962" s="8">
        <f>1/(1+EXP(-V962))</f>
        <v/>
      </c>
      <c r="X962" s="9">
        <f>-IF(C962=1,LN(W962),LN(1-W962))</f>
        <v/>
      </c>
      <c r="Y962" s="8">
        <f>IF(C962=1,$AE$32,$AE$33)</f>
        <v/>
      </c>
      <c r="Z962" s="9">
        <f>Y962*X962</f>
        <v/>
      </c>
      <c r="AA962" s="10">
        <f>IF(W962&gt;$AE$34,1,0)</f>
        <v/>
      </c>
      <c r="AB962">
        <f>IF(AA962=C962,1,0)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$AE$12+D963*$AE$13+E963*$AE$14+F963*$AE$15+G963*$AE$16+H963*$AE$17+I963*$AE$18+J963*$AE$19+K963*$AE$20+L963*$AE$21+M963*$AE$22+N963*$AE$23+O963*$AE$24+P963*$AE$25+Q963*$AE$26+R963*$AE$27+S963*$AE$28+T963*$AE$29+U963*$AE$30</f>
        <v/>
      </c>
      <c r="W963" s="8">
        <f>1/(1+EXP(-V963))</f>
        <v/>
      </c>
      <c r="X963" s="9">
        <f>-IF(C963=1,LN(W963),LN(1-W963))</f>
        <v/>
      </c>
      <c r="Y963" s="8">
        <f>IF(C963=1,$AE$32,$AE$33)</f>
        <v/>
      </c>
      <c r="Z963" s="9">
        <f>Y963*X963</f>
        <v/>
      </c>
      <c r="AA963" s="10">
        <f>IF(W963&gt;$AE$34,1,0)</f>
        <v/>
      </c>
      <c r="AB963">
        <f>IF(AA963=C963,1,0)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$AE$12+D964*$AE$13+E964*$AE$14+F964*$AE$15+G964*$AE$16+H964*$AE$17+I964*$AE$18+J964*$AE$19+K964*$AE$20+L964*$AE$21+M964*$AE$22+N964*$AE$23+O964*$AE$24+P964*$AE$25+Q964*$AE$26+R964*$AE$27+S964*$AE$28+T964*$AE$29+U964*$AE$30</f>
        <v/>
      </c>
      <c r="W964" s="8">
        <f>1/(1+EXP(-V964))</f>
        <v/>
      </c>
      <c r="X964" s="9">
        <f>-IF(C964=1,LN(W964),LN(1-W964))</f>
        <v/>
      </c>
      <c r="Y964" s="8">
        <f>IF(C964=1,$AE$32,$AE$33)</f>
        <v/>
      </c>
      <c r="Z964" s="9">
        <f>Y964*X964</f>
        <v/>
      </c>
      <c r="AA964" s="10">
        <f>IF(W964&gt;$AE$34,1,0)</f>
        <v/>
      </c>
      <c r="AB964">
        <f>IF(AA964=C964,1,0)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$AE$12+D965*$AE$13+E965*$AE$14+F965*$AE$15+G965*$AE$16+H965*$AE$17+I965*$AE$18+J965*$AE$19+K965*$AE$20+L965*$AE$21+M965*$AE$22+N965*$AE$23+O965*$AE$24+P965*$AE$25+Q965*$AE$26+R965*$AE$27+S965*$AE$28+T965*$AE$29+U965*$AE$30</f>
        <v/>
      </c>
      <c r="W965" s="8">
        <f>1/(1+EXP(-V965))</f>
        <v/>
      </c>
      <c r="X965" s="9">
        <f>-IF(C965=1,LN(W965),LN(1-W965))</f>
        <v/>
      </c>
      <c r="Y965" s="8">
        <f>IF(C965=1,$AE$32,$AE$33)</f>
        <v/>
      </c>
      <c r="Z965" s="9">
        <f>Y965*X965</f>
        <v/>
      </c>
      <c r="AA965" s="10">
        <f>IF(W965&gt;$AE$34,1,0)</f>
        <v/>
      </c>
      <c r="AB965">
        <f>IF(AA965=C965,1,0)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$AE$12+D966*$AE$13+E966*$AE$14+F966*$AE$15+G966*$AE$16+H966*$AE$17+I966*$AE$18+J966*$AE$19+K966*$AE$20+L966*$AE$21+M966*$AE$22+N966*$AE$23+O966*$AE$24+P966*$AE$25+Q966*$AE$26+R966*$AE$27+S966*$AE$28+T966*$AE$29+U966*$AE$30</f>
        <v/>
      </c>
      <c r="W966" s="8">
        <f>1/(1+EXP(-V966))</f>
        <v/>
      </c>
      <c r="X966" s="9">
        <f>-IF(C966=1,LN(W966),LN(1-W966))</f>
        <v/>
      </c>
      <c r="Y966" s="8">
        <f>IF(C966=1,$AE$32,$AE$33)</f>
        <v/>
      </c>
      <c r="Z966" s="9">
        <f>Y966*X966</f>
        <v/>
      </c>
      <c r="AA966" s="10">
        <f>IF(W966&gt;$AE$34,1,0)</f>
        <v/>
      </c>
      <c r="AB966">
        <f>IF(AA966=C966,1,0)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$AE$12+D967*$AE$13+E967*$AE$14+F967*$AE$15+G967*$AE$16+H967*$AE$17+I967*$AE$18+J967*$AE$19+K967*$AE$20+L967*$AE$21+M967*$AE$22+N967*$AE$23+O967*$AE$24+P967*$AE$25+Q967*$AE$26+R967*$AE$27+S967*$AE$28+T967*$AE$29+U967*$AE$30</f>
        <v/>
      </c>
      <c r="W967" s="8">
        <f>1/(1+EXP(-V967))</f>
        <v/>
      </c>
      <c r="X967" s="9">
        <f>-IF(C967=1,LN(W967),LN(1-W967))</f>
        <v/>
      </c>
      <c r="Y967" s="8">
        <f>IF(C967=1,$AE$32,$AE$33)</f>
        <v/>
      </c>
      <c r="Z967" s="9">
        <f>Y967*X967</f>
        <v/>
      </c>
      <c r="AA967" s="10">
        <f>IF(W967&gt;$AE$34,1,0)</f>
        <v/>
      </c>
      <c r="AB967">
        <f>IF(AA967=C967,1,0)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$AE$12+D968*$AE$13+E968*$AE$14+F968*$AE$15+G968*$AE$16+H968*$AE$17+I968*$AE$18+J968*$AE$19+K968*$AE$20+L968*$AE$21+M968*$AE$22+N968*$AE$23+O968*$AE$24+P968*$AE$25+Q968*$AE$26+R968*$AE$27+S968*$AE$28+T968*$AE$29+U968*$AE$30</f>
        <v/>
      </c>
      <c r="W968" s="8">
        <f>1/(1+EXP(-V968))</f>
        <v/>
      </c>
      <c r="X968" s="9">
        <f>-IF(C968=1,LN(W968),LN(1-W968))</f>
        <v/>
      </c>
      <c r="Y968" s="8">
        <f>IF(C968=1,$AE$32,$AE$33)</f>
        <v/>
      </c>
      <c r="Z968" s="9">
        <f>Y968*X968</f>
        <v/>
      </c>
      <c r="AA968" s="10">
        <f>IF(W968&gt;$AE$34,1,0)</f>
        <v/>
      </c>
      <c r="AB968">
        <f>IF(AA968=C968,1,0)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$AE$12+D969*$AE$13+E969*$AE$14+F969*$AE$15+G969*$AE$16+H969*$AE$17+I969*$AE$18+J969*$AE$19+K969*$AE$20+L969*$AE$21+M969*$AE$22+N969*$AE$23+O969*$AE$24+P969*$AE$25+Q969*$AE$26+R969*$AE$27+S969*$AE$28+T969*$AE$29+U969*$AE$30</f>
        <v/>
      </c>
      <c r="W969" s="8">
        <f>1/(1+EXP(-V969))</f>
        <v/>
      </c>
      <c r="X969" s="9">
        <f>-IF(C969=1,LN(W969),LN(1-W969))</f>
        <v/>
      </c>
      <c r="Y969" s="8">
        <f>IF(C969=1,$AE$32,$AE$33)</f>
        <v/>
      </c>
      <c r="Z969" s="9">
        <f>Y969*X969</f>
        <v/>
      </c>
      <c r="AA969" s="10">
        <f>IF(W969&gt;$AE$34,1,0)</f>
        <v/>
      </c>
      <c r="AB969">
        <f>IF(AA969=C969,1,0)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$AE$12+D970*$AE$13+E970*$AE$14+F970*$AE$15+G970*$AE$16+H970*$AE$17+I970*$AE$18+J970*$AE$19+K970*$AE$20+L970*$AE$21+M970*$AE$22+N970*$AE$23+O970*$AE$24+P970*$AE$25+Q970*$AE$26+R970*$AE$27+S970*$AE$28+T970*$AE$29+U970*$AE$30</f>
        <v/>
      </c>
      <c r="W970" s="8">
        <f>1/(1+EXP(-V970))</f>
        <v/>
      </c>
      <c r="X970" s="9">
        <f>-IF(C970=1,LN(W970),LN(1-W970))</f>
        <v/>
      </c>
      <c r="Y970" s="8">
        <f>IF(C970=1,$AE$32,$AE$33)</f>
        <v/>
      </c>
      <c r="Z970" s="9">
        <f>Y970*X970</f>
        <v/>
      </c>
      <c r="AA970" s="10">
        <f>IF(W970&gt;$AE$34,1,0)</f>
        <v/>
      </c>
      <c r="AB970">
        <f>IF(AA970=C970,1,0)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$AE$12+D971*$AE$13+E971*$AE$14+F971*$AE$15+G971*$AE$16+H971*$AE$17+I971*$AE$18+J971*$AE$19+K971*$AE$20+L971*$AE$21+M971*$AE$22+N971*$AE$23+O971*$AE$24+P971*$AE$25+Q971*$AE$26+R971*$AE$27+S971*$AE$28+T971*$AE$29+U971*$AE$30</f>
        <v/>
      </c>
      <c r="W971" s="8">
        <f>1/(1+EXP(-V971))</f>
        <v/>
      </c>
      <c r="X971" s="9">
        <f>-IF(C971=1,LN(W971),LN(1-W971))</f>
        <v/>
      </c>
      <c r="Y971" s="8">
        <f>IF(C971=1,$AE$32,$AE$33)</f>
        <v/>
      </c>
      <c r="Z971" s="9">
        <f>Y971*X971</f>
        <v/>
      </c>
      <c r="AA971" s="10">
        <f>IF(W971&gt;$AE$34,1,0)</f>
        <v/>
      </c>
      <c r="AB971">
        <f>IF(AA971=C971,1,0)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$AE$12+D972*$AE$13+E972*$AE$14+F972*$AE$15+G972*$AE$16+H972*$AE$17+I972*$AE$18+J972*$AE$19+K972*$AE$20+L972*$AE$21+M972*$AE$22+N972*$AE$23+O972*$AE$24+P972*$AE$25+Q972*$AE$26+R972*$AE$27+S972*$AE$28+T972*$AE$29+U972*$AE$30</f>
        <v/>
      </c>
      <c r="W972" s="8">
        <f>1/(1+EXP(-V972))</f>
        <v/>
      </c>
      <c r="X972" s="9">
        <f>-IF(C972=1,LN(W972),LN(1-W972))</f>
        <v/>
      </c>
      <c r="Y972" s="8">
        <f>IF(C972=1,$AE$32,$AE$33)</f>
        <v/>
      </c>
      <c r="Z972" s="9">
        <f>Y972*X972</f>
        <v/>
      </c>
      <c r="AA972" s="10">
        <f>IF(W972&gt;$AE$34,1,0)</f>
        <v/>
      </c>
      <c r="AB972">
        <f>IF(AA972=C972,1,0)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$AE$12+D973*$AE$13+E973*$AE$14+F973*$AE$15+G973*$AE$16+H973*$AE$17+I973*$AE$18+J973*$AE$19+K973*$AE$20+L973*$AE$21+M973*$AE$22+N973*$AE$23+O973*$AE$24+P973*$AE$25+Q973*$AE$26+R973*$AE$27+S973*$AE$28+T973*$AE$29+U973*$AE$30</f>
        <v/>
      </c>
      <c r="W973" s="8">
        <f>1/(1+EXP(-V973))</f>
        <v/>
      </c>
      <c r="X973" s="9">
        <f>-IF(C973=1,LN(W973),LN(1-W973))</f>
        <v/>
      </c>
      <c r="Y973" s="8">
        <f>IF(C973=1,$AE$32,$AE$33)</f>
        <v/>
      </c>
      <c r="Z973" s="9">
        <f>Y973*X973</f>
        <v/>
      </c>
      <c r="AA973" s="10">
        <f>IF(W973&gt;$AE$34,1,0)</f>
        <v/>
      </c>
      <c r="AB973">
        <f>IF(AA973=C973,1,0)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$AE$12+D974*$AE$13+E974*$AE$14+F974*$AE$15+G974*$AE$16+H974*$AE$17+I974*$AE$18+J974*$AE$19+K974*$AE$20+L974*$AE$21+M974*$AE$22+N974*$AE$23+O974*$AE$24+P974*$AE$25+Q974*$AE$26+R974*$AE$27+S974*$AE$28+T974*$AE$29+U974*$AE$30</f>
        <v/>
      </c>
      <c r="W974" s="8">
        <f>1/(1+EXP(-V974))</f>
        <v/>
      </c>
      <c r="X974" s="9">
        <f>-IF(C974=1,LN(W974),LN(1-W974))</f>
        <v/>
      </c>
      <c r="Y974" s="8">
        <f>IF(C974=1,$AE$32,$AE$33)</f>
        <v/>
      </c>
      <c r="Z974" s="9">
        <f>Y974*X974</f>
        <v/>
      </c>
      <c r="AA974" s="10">
        <f>IF(W974&gt;$AE$34,1,0)</f>
        <v/>
      </c>
      <c r="AB974">
        <f>IF(AA974=C974,1,0)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$AE$12+D975*$AE$13+E975*$AE$14+F975*$AE$15+G975*$AE$16+H975*$AE$17+I975*$AE$18+J975*$AE$19+K975*$AE$20+L975*$AE$21+M975*$AE$22+N975*$AE$23+O975*$AE$24+P975*$AE$25+Q975*$AE$26+R975*$AE$27+S975*$AE$28+T975*$AE$29+U975*$AE$30</f>
        <v/>
      </c>
      <c r="W975" s="8">
        <f>1/(1+EXP(-V975))</f>
        <v/>
      </c>
      <c r="X975" s="9">
        <f>-IF(C975=1,LN(W975),LN(1-W975))</f>
        <v/>
      </c>
      <c r="Y975" s="8">
        <f>IF(C975=1,$AE$32,$AE$33)</f>
        <v/>
      </c>
      <c r="Z975" s="9">
        <f>Y975*X975</f>
        <v/>
      </c>
      <c r="AA975" s="10">
        <f>IF(W975&gt;$AE$34,1,0)</f>
        <v/>
      </c>
      <c r="AB975">
        <f>IF(AA975=C975,1,0)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$AE$12+D976*$AE$13+E976*$AE$14+F976*$AE$15+G976*$AE$16+H976*$AE$17+I976*$AE$18+J976*$AE$19+K976*$AE$20+L976*$AE$21+M976*$AE$22+N976*$AE$23+O976*$AE$24+P976*$AE$25+Q976*$AE$26+R976*$AE$27+S976*$AE$28+T976*$AE$29+U976*$AE$30</f>
        <v/>
      </c>
      <c r="W976" s="8">
        <f>1/(1+EXP(-V976))</f>
        <v/>
      </c>
      <c r="X976" s="9">
        <f>-IF(C976=1,LN(W976),LN(1-W976))</f>
        <v/>
      </c>
      <c r="Y976" s="8">
        <f>IF(C976=1,$AE$32,$AE$33)</f>
        <v/>
      </c>
      <c r="Z976" s="9">
        <f>Y976*X976</f>
        <v/>
      </c>
      <c r="AA976" s="10">
        <f>IF(W976&gt;$AE$34,1,0)</f>
        <v/>
      </c>
      <c r="AB976">
        <f>IF(AA976=C976,1,0)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$AE$12+D977*$AE$13+E977*$AE$14+F977*$AE$15+G977*$AE$16+H977*$AE$17+I977*$AE$18+J977*$AE$19+K977*$AE$20+L977*$AE$21+M977*$AE$22+N977*$AE$23+O977*$AE$24+P977*$AE$25+Q977*$AE$26+R977*$AE$27+S977*$AE$28+T977*$AE$29+U977*$AE$30</f>
        <v/>
      </c>
      <c r="W977" s="8">
        <f>1/(1+EXP(-V977))</f>
        <v/>
      </c>
      <c r="X977" s="9">
        <f>-IF(C977=1,LN(W977),LN(1-W977))</f>
        <v/>
      </c>
      <c r="Y977" s="8">
        <f>IF(C977=1,$AE$32,$AE$33)</f>
        <v/>
      </c>
      <c r="Z977" s="9">
        <f>Y977*X977</f>
        <v/>
      </c>
      <c r="AA977" s="10">
        <f>IF(W977&gt;$AE$34,1,0)</f>
        <v/>
      </c>
      <c r="AB977">
        <f>IF(AA977=C977,1,0)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$AE$12+D978*$AE$13+E978*$AE$14+F978*$AE$15+G978*$AE$16+H978*$AE$17+I978*$AE$18+J978*$AE$19+K978*$AE$20+L978*$AE$21+M978*$AE$22+N978*$AE$23+O978*$AE$24+P978*$AE$25+Q978*$AE$26+R978*$AE$27+S978*$AE$28+T978*$AE$29+U978*$AE$30</f>
        <v/>
      </c>
      <c r="W978" s="8">
        <f>1/(1+EXP(-V978))</f>
        <v/>
      </c>
      <c r="X978" s="9">
        <f>-IF(C978=1,LN(W978),LN(1-W978))</f>
        <v/>
      </c>
      <c r="Y978" s="8">
        <f>IF(C978=1,$AE$32,$AE$33)</f>
        <v/>
      </c>
      <c r="Z978" s="9">
        <f>Y978*X978</f>
        <v/>
      </c>
      <c r="AA978" s="10">
        <f>IF(W978&gt;$AE$34,1,0)</f>
        <v/>
      </c>
      <c r="AB978">
        <f>IF(AA978=C978,1,0)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$AE$12+D979*$AE$13+E979*$AE$14+F979*$AE$15+G979*$AE$16+H979*$AE$17+I979*$AE$18+J979*$AE$19+K979*$AE$20+L979*$AE$21+M979*$AE$22+N979*$AE$23+O979*$AE$24+P979*$AE$25+Q979*$AE$26+R979*$AE$27+S979*$AE$28+T979*$AE$29+U979*$AE$30</f>
        <v/>
      </c>
      <c r="W979" s="8">
        <f>1/(1+EXP(-V979))</f>
        <v/>
      </c>
      <c r="X979" s="9">
        <f>-IF(C979=1,LN(W979),LN(1-W979))</f>
        <v/>
      </c>
      <c r="Y979" s="8">
        <f>IF(C979=1,$AE$32,$AE$33)</f>
        <v/>
      </c>
      <c r="Z979" s="9">
        <f>Y979*X979</f>
        <v/>
      </c>
      <c r="AA979" s="10">
        <f>IF(W979&gt;$AE$34,1,0)</f>
        <v/>
      </c>
      <c r="AB979">
        <f>IF(AA979=C979,1,0)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$AE$12+D980*$AE$13+E980*$AE$14+F980*$AE$15+G980*$AE$16+H980*$AE$17+I980*$AE$18+J980*$AE$19+K980*$AE$20+L980*$AE$21+M980*$AE$22+N980*$AE$23+O980*$AE$24+P980*$AE$25+Q980*$AE$26+R980*$AE$27+S980*$AE$28+T980*$AE$29+U980*$AE$30</f>
        <v/>
      </c>
      <c r="W980" s="8">
        <f>1/(1+EXP(-V980))</f>
        <v/>
      </c>
      <c r="X980" s="9">
        <f>-IF(C980=1,LN(W980),LN(1-W980))</f>
        <v/>
      </c>
      <c r="Y980" s="8">
        <f>IF(C980=1,$AE$32,$AE$33)</f>
        <v/>
      </c>
      <c r="Z980" s="9">
        <f>Y980*X980</f>
        <v/>
      </c>
      <c r="AA980" s="10">
        <f>IF(W980&gt;$AE$34,1,0)</f>
        <v/>
      </c>
      <c r="AB980">
        <f>IF(AA980=C980,1,0)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$AE$12+D981*$AE$13+E981*$AE$14+F981*$AE$15+G981*$AE$16+H981*$AE$17+I981*$AE$18+J981*$AE$19+K981*$AE$20+L981*$AE$21+M981*$AE$22+N981*$AE$23+O981*$AE$24+P981*$AE$25+Q981*$AE$26+R981*$AE$27+S981*$AE$28+T981*$AE$29+U981*$AE$30</f>
        <v/>
      </c>
      <c r="W981" s="8">
        <f>1/(1+EXP(-V981))</f>
        <v/>
      </c>
      <c r="X981" s="9">
        <f>-IF(C981=1,LN(W981),LN(1-W981))</f>
        <v/>
      </c>
      <c r="Y981" s="8">
        <f>IF(C981=1,$AE$32,$AE$33)</f>
        <v/>
      </c>
      <c r="Z981" s="9">
        <f>Y981*X981</f>
        <v/>
      </c>
      <c r="AA981" s="10">
        <f>IF(W981&gt;$AE$34,1,0)</f>
        <v/>
      </c>
      <c r="AB981">
        <f>IF(AA981=C981,1,0)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$AE$12+D982*$AE$13+E982*$AE$14+F982*$AE$15+G982*$AE$16+H982*$AE$17+I982*$AE$18+J982*$AE$19+K982*$AE$20+L982*$AE$21+M982*$AE$22+N982*$AE$23+O982*$AE$24+P982*$AE$25+Q982*$AE$26+R982*$AE$27+S982*$AE$28+T982*$AE$29+U982*$AE$30</f>
        <v/>
      </c>
      <c r="W982" s="8">
        <f>1/(1+EXP(-V982))</f>
        <v/>
      </c>
      <c r="X982" s="9">
        <f>-IF(C982=1,LN(W982),LN(1-W982))</f>
        <v/>
      </c>
      <c r="Y982" s="8">
        <f>IF(C982=1,$AE$32,$AE$33)</f>
        <v/>
      </c>
      <c r="Z982" s="9">
        <f>Y982*X982</f>
        <v/>
      </c>
      <c r="AA982" s="10">
        <f>IF(W982&gt;$AE$34,1,0)</f>
        <v/>
      </c>
      <c r="AB982">
        <f>IF(AA982=C982,1,0)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$AE$12+D983*$AE$13+E983*$AE$14+F983*$AE$15+G983*$AE$16+H983*$AE$17+I983*$AE$18+J983*$AE$19+K983*$AE$20+L983*$AE$21+M983*$AE$22+N983*$AE$23+O983*$AE$24+P983*$AE$25+Q983*$AE$26+R983*$AE$27+S983*$AE$28+T983*$AE$29+U983*$AE$30</f>
        <v/>
      </c>
      <c r="W983" s="8">
        <f>1/(1+EXP(-V983))</f>
        <v/>
      </c>
      <c r="X983" s="9">
        <f>-IF(C983=1,LN(W983),LN(1-W983))</f>
        <v/>
      </c>
      <c r="Y983" s="8">
        <f>IF(C983=1,$AE$32,$AE$33)</f>
        <v/>
      </c>
      <c r="Z983" s="9">
        <f>Y983*X983</f>
        <v/>
      </c>
      <c r="AA983" s="10">
        <f>IF(W983&gt;$AE$34,1,0)</f>
        <v/>
      </c>
      <c r="AB983">
        <f>IF(AA983=C983,1,0)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$AE$12+D984*$AE$13+E984*$AE$14+F984*$AE$15+G984*$AE$16+H984*$AE$17+I984*$AE$18+J984*$AE$19+K984*$AE$20+L984*$AE$21+M984*$AE$22+N984*$AE$23+O984*$AE$24+P984*$AE$25+Q984*$AE$26+R984*$AE$27+S984*$AE$28+T984*$AE$29+U984*$AE$30</f>
        <v/>
      </c>
      <c r="W984" s="8">
        <f>1/(1+EXP(-V984))</f>
        <v/>
      </c>
      <c r="X984" s="9">
        <f>-IF(C984=1,LN(W984),LN(1-W984))</f>
        <v/>
      </c>
      <c r="Y984" s="8">
        <f>IF(C984=1,$AE$32,$AE$33)</f>
        <v/>
      </c>
      <c r="Z984" s="9">
        <f>Y984*X984</f>
        <v/>
      </c>
      <c r="AA984" s="10">
        <f>IF(W984&gt;$AE$34,1,0)</f>
        <v/>
      </c>
      <c r="AB984">
        <f>IF(AA984=C984,1,0)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$AE$12+D985*$AE$13+E985*$AE$14+F985*$AE$15+G985*$AE$16+H985*$AE$17+I985*$AE$18+J985*$AE$19+K985*$AE$20+L985*$AE$21+M985*$AE$22+N985*$AE$23+O985*$AE$24+P985*$AE$25+Q985*$AE$26+R985*$AE$27+S985*$AE$28+T985*$AE$29+U985*$AE$30</f>
        <v/>
      </c>
      <c r="W985" s="8">
        <f>1/(1+EXP(-V985))</f>
        <v/>
      </c>
      <c r="X985" s="9">
        <f>-IF(C985=1,LN(W985),LN(1-W985))</f>
        <v/>
      </c>
      <c r="Y985" s="8">
        <f>IF(C985=1,$AE$32,$AE$33)</f>
        <v/>
      </c>
      <c r="Z985" s="9">
        <f>Y985*X985</f>
        <v/>
      </c>
      <c r="AA985" s="10">
        <f>IF(W985&gt;$AE$34,1,0)</f>
        <v/>
      </c>
      <c r="AB985">
        <f>IF(AA985=C985,1,0)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$AE$12+D986*$AE$13+E986*$AE$14+F986*$AE$15+G986*$AE$16+H986*$AE$17+I986*$AE$18+J986*$AE$19+K986*$AE$20+L986*$AE$21+M986*$AE$22+N986*$AE$23+O986*$AE$24+P986*$AE$25+Q986*$AE$26+R986*$AE$27+S986*$AE$28+T986*$AE$29+U986*$AE$30</f>
        <v/>
      </c>
      <c r="W986" s="8">
        <f>1/(1+EXP(-V986))</f>
        <v/>
      </c>
      <c r="X986" s="9">
        <f>-IF(C986=1,LN(W986),LN(1-W986))</f>
        <v/>
      </c>
      <c r="Y986" s="8">
        <f>IF(C986=1,$AE$32,$AE$33)</f>
        <v/>
      </c>
      <c r="Z986" s="9">
        <f>Y986*X986</f>
        <v/>
      </c>
      <c r="AA986" s="10">
        <f>IF(W986&gt;$AE$34,1,0)</f>
        <v/>
      </c>
      <c r="AB986">
        <f>IF(AA986=C986,1,0)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$AE$12+D987*$AE$13+E987*$AE$14+F987*$AE$15+G987*$AE$16+H987*$AE$17+I987*$AE$18+J987*$AE$19+K987*$AE$20+L987*$AE$21+M987*$AE$22+N987*$AE$23+O987*$AE$24+P987*$AE$25+Q987*$AE$26+R987*$AE$27+S987*$AE$28+T987*$AE$29+U987*$AE$30</f>
        <v/>
      </c>
      <c r="W987" s="8">
        <f>1/(1+EXP(-V987))</f>
        <v/>
      </c>
      <c r="X987" s="9">
        <f>-IF(C987=1,LN(W987),LN(1-W987))</f>
        <v/>
      </c>
      <c r="Y987" s="8">
        <f>IF(C987=1,$AE$32,$AE$33)</f>
        <v/>
      </c>
      <c r="Z987" s="9">
        <f>Y987*X987</f>
        <v/>
      </c>
      <c r="AA987" s="10">
        <f>IF(W987&gt;$AE$34,1,0)</f>
        <v/>
      </c>
      <c r="AB987">
        <f>IF(AA987=C987,1,0)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$AE$12+D988*$AE$13+E988*$AE$14+F988*$AE$15+G988*$AE$16+H988*$AE$17+I988*$AE$18+J988*$AE$19+K988*$AE$20+L988*$AE$21+M988*$AE$22+N988*$AE$23+O988*$AE$24+P988*$AE$25+Q988*$AE$26+R988*$AE$27+S988*$AE$28+T988*$AE$29+U988*$AE$30</f>
        <v/>
      </c>
      <c r="W988" s="8">
        <f>1/(1+EXP(-V988))</f>
        <v/>
      </c>
      <c r="X988" s="9">
        <f>-IF(C988=1,LN(W988),LN(1-W988))</f>
        <v/>
      </c>
      <c r="Y988" s="8">
        <f>IF(C988=1,$AE$32,$AE$33)</f>
        <v/>
      </c>
      <c r="Z988" s="9">
        <f>Y988*X988</f>
        <v/>
      </c>
      <c r="AA988" s="10">
        <f>IF(W988&gt;$AE$34,1,0)</f>
        <v/>
      </c>
      <c r="AB988">
        <f>IF(AA988=C988,1,0)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$AE$12+D989*$AE$13+E989*$AE$14+F989*$AE$15+G989*$AE$16+H989*$AE$17+I989*$AE$18+J989*$AE$19+K989*$AE$20+L989*$AE$21+M989*$AE$22+N989*$AE$23+O989*$AE$24+P989*$AE$25+Q989*$AE$26+R989*$AE$27+S989*$AE$28+T989*$AE$29+U989*$AE$30</f>
        <v/>
      </c>
      <c r="W989" s="8">
        <f>1/(1+EXP(-V989))</f>
        <v/>
      </c>
      <c r="X989" s="9">
        <f>-IF(C989=1,LN(W989),LN(1-W989))</f>
        <v/>
      </c>
      <c r="Y989" s="8">
        <f>IF(C989=1,$AE$32,$AE$33)</f>
        <v/>
      </c>
      <c r="Z989" s="9">
        <f>Y989*X989</f>
        <v/>
      </c>
      <c r="AA989" s="10">
        <f>IF(W989&gt;$AE$34,1,0)</f>
        <v/>
      </c>
      <c r="AB989">
        <f>IF(AA989=C989,1,0)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$AE$12+D990*$AE$13+E990*$AE$14+F990*$AE$15+G990*$AE$16+H990*$AE$17+I990*$AE$18+J990*$AE$19+K990*$AE$20+L990*$AE$21+M990*$AE$22+N990*$AE$23+O990*$AE$24+P990*$AE$25+Q990*$AE$26+R990*$AE$27+S990*$AE$28+T990*$AE$29+U990*$AE$30</f>
        <v/>
      </c>
      <c r="W990" s="8">
        <f>1/(1+EXP(-V990))</f>
        <v/>
      </c>
      <c r="X990" s="9">
        <f>-IF(C990=1,LN(W990),LN(1-W990))</f>
        <v/>
      </c>
      <c r="Y990" s="8">
        <f>IF(C990=1,$AE$32,$AE$33)</f>
        <v/>
      </c>
      <c r="Z990" s="9">
        <f>Y990*X990</f>
        <v/>
      </c>
      <c r="AA990" s="10">
        <f>IF(W990&gt;$AE$34,1,0)</f>
        <v/>
      </c>
      <c r="AB990">
        <f>IF(AA990=C990,1,0)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$AE$12+D991*$AE$13+E991*$AE$14+F991*$AE$15+G991*$AE$16+H991*$AE$17+I991*$AE$18+J991*$AE$19+K991*$AE$20+L991*$AE$21+M991*$AE$22+N991*$AE$23+O991*$AE$24+P991*$AE$25+Q991*$AE$26+R991*$AE$27+S991*$AE$28+T991*$AE$29+U991*$AE$30</f>
        <v/>
      </c>
      <c r="W991" s="8">
        <f>1/(1+EXP(-V991))</f>
        <v/>
      </c>
      <c r="X991" s="9">
        <f>-IF(C991=1,LN(W991),LN(1-W991))</f>
        <v/>
      </c>
      <c r="Y991" s="8">
        <f>IF(C991=1,$AE$32,$AE$33)</f>
        <v/>
      </c>
      <c r="Z991" s="9">
        <f>Y991*X991</f>
        <v/>
      </c>
      <c r="AA991" s="10">
        <f>IF(W991&gt;$AE$34,1,0)</f>
        <v/>
      </c>
      <c r="AB991">
        <f>IF(AA991=C991,1,0)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$AE$12+D992*$AE$13+E992*$AE$14+F992*$AE$15+G992*$AE$16+H992*$AE$17+I992*$AE$18+J992*$AE$19+K992*$AE$20+L992*$AE$21+M992*$AE$22+N992*$AE$23+O992*$AE$24+P992*$AE$25+Q992*$AE$26+R992*$AE$27+S992*$AE$28+T992*$AE$29+U992*$AE$30</f>
        <v/>
      </c>
      <c r="W992" s="8">
        <f>1/(1+EXP(-V992))</f>
        <v/>
      </c>
      <c r="X992" s="9">
        <f>-IF(C992=1,LN(W992),LN(1-W992))</f>
        <v/>
      </c>
      <c r="Y992" s="8">
        <f>IF(C992=1,$AE$32,$AE$33)</f>
        <v/>
      </c>
      <c r="Z992" s="9">
        <f>Y992*X992</f>
        <v/>
      </c>
      <c r="AA992" s="10">
        <f>IF(W992&gt;$AE$34,1,0)</f>
        <v/>
      </c>
      <c r="AB992">
        <f>IF(AA992=C992,1,0)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$AE$12+D993*$AE$13+E993*$AE$14+F993*$AE$15+G993*$AE$16+H993*$AE$17+I993*$AE$18+J993*$AE$19+K993*$AE$20+L993*$AE$21+M993*$AE$22+N993*$AE$23+O993*$AE$24+P993*$AE$25+Q993*$AE$26+R993*$AE$27+S993*$AE$28+T993*$AE$29+U993*$AE$30</f>
        <v/>
      </c>
      <c r="W993" s="8">
        <f>1/(1+EXP(-V993))</f>
        <v/>
      </c>
      <c r="X993" s="9">
        <f>-IF(C993=1,LN(W993),LN(1-W993))</f>
        <v/>
      </c>
      <c r="Y993" s="8">
        <f>IF(C993=1,$AE$32,$AE$33)</f>
        <v/>
      </c>
      <c r="Z993" s="9">
        <f>Y993*X993</f>
        <v/>
      </c>
      <c r="AA993" s="10">
        <f>IF(W993&gt;$AE$34,1,0)</f>
        <v/>
      </c>
      <c r="AB993">
        <f>IF(AA993=C993,1,0)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$AE$12+D994*$AE$13+E994*$AE$14+F994*$AE$15+G994*$AE$16+H994*$AE$17+I994*$AE$18+J994*$AE$19+K994*$AE$20+L994*$AE$21+M994*$AE$22+N994*$AE$23+O994*$AE$24+P994*$AE$25+Q994*$AE$26+R994*$AE$27+S994*$AE$28+T994*$AE$29+U994*$AE$30</f>
        <v/>
      </c>
      <c r="W994" s="8">
        <f>1/(1+EXP(-V994))</f>
        <v/>
      </c>
      <c r="X994" s="9">
        <f>-IF(C994=1,LN(W994),LN(1-W994))</f>
        <v/>
      </c>
      <c r="Y994" s="8">
        <f>IF(C994=1,$AE$32,$AE$33)</f>
        <v/>
      </c>
      <c r="Z994" s="9">
        <f>Y994*X994</f>
        <v/>
      </c>
      <c r="AA994" s="10">
        <f>IF(W994&gt;$AE$34,1,0)</f>
        <v/>
      </c>
      <c r="AB994">
        <f>IF(AA994=C994,1,0)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$AE$12+D995*$AE$13+E995*$AE$14+F995*$AE$15+G995*$AE$16+H995*$AE$17+I995*$AE$18+J995*$AE$19+K995*$AE$20+L995*$AE$21+M995*$AE$22+N995*$AE$23+O995*$AE$24+P995*$AE$25+Q995*$AE$26+R995*$AE$27+S995*$AE$28+T995*$AE$29+U995*$AE$30</f>
        <v/>
      </c>
      <c r="W995" s="8">
        <f>1/(1+EXP(-V995))</f>
        <v/>
      </c>
      <c r="X995" s="9">
        <f>-IF(C995=1,LN(W995),LN(1-W995))</f>
        <v/>
      </c>
      <c r="Y995" s="8">
        <f>IF(C995=1,$AE$32,$AE$33)</f>
        <v/>
      </c>
      <c r="Z995" s="9">
        <f>Y995*X995</f>
        <v/>
      </c>
      <c r="AA995" s="10">
        <f>IF(W995&gt;$AE$34,1,0)</f>
        <v/>
      </c>
      <c r="AB995">
        <f>IF(AA995=C995,1,0)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$AE$12+D996*$AE$13+E996*$AE$14+F996*$AE$15+G996*$AE$16+H996*$AE$17+I996*$AE$18+J996*$AE$19+K996*$AE$20+L996*$AE$21+M996*$AE$22+N996*$AE$23+O996*$AE$24+P996*$AE$25+Q996*$AE$26+R996*$AE$27+S996*$AE$28+T996*$AE$29+U996*$AE$30</f>
        <v/>
      </c>
      <c r="W996" s="8">
        <f>1/(1+EXP(-V996))</f>
        <v/>
      </c>
      <c r="X996" s="9">
        <f>-IF(C996=1,LN(W996),LN(1-W996))</f>
        <v/>
      </c>
      <c r="Y996" s="8">
        <f>IF(C996=1,$AE$32,$AE$33)</f>
        <v/>
      </c>
      <c r="Z996" s="9">
        <f>Y996*X996</f>
        <v/>
      </c>
      <c r="AA996" s="10">
        <f>IF(W996&gt;$AE$34,1,0)</f>
        <v/>
      </c>
      <c r="AB996">
        <f>IF(AA996=C996,1,0)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$AE$12+D997*$AE$13+E997*$AE$14+F997*$AE$15+G997*$AE$16+H997*$AE$17+I997*$AE$18+J997*$AE$19+K997*$AE$20+L997*$AE$21+M997*$AE$22+N997*$AE$23+O997*$AE$24+P997*$AE$25+Q997*$AE$26+R997*$AE$27+S997*$AE$28+T997*$AE$29+U997*$AE$30</f>
        <v/>
      </c>
      <c r="W997" s="8">
        <f>1/(1+EXP(-V997))</f>
        <v/>
      </c>
      <c r="X997" s="9">
        <f>-IF(C997=1,LN(W997),LN(1-W997))</f>
        <v/>
      </c>
      <c r="Y997" s="8">
        <f>IF(C997=1,$AE$32,$AE$33)</f>
        <v/>
      </c>
      <c r="Z997" s="9">
        <f>Y997*X997</f>
        <v/>
      </c>
      <c r="AA997" s="10">
        <f>IF(W997&gt;$AE$34,1,0)</f>
        <v/>
      </c>
      <c r="AB997">
        <f>IF(AA997=C997,1,0)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$AE$12+D998*$AE$13+E998*$AE$14+F998*$AE$15+G998*$AE$16+H998*$AE$17+I998*$AE$18+J998*$AE$19+K998*$AE$20+L998*$AE$21+M998*$AE$22+N998*$AE$23+O998*$AE$24+P998*$AE$25+Q998*$AE$26+R998*$AE$27+S998*$AE$28+T998*$AE$29+U998*$AE$30</f>
        <v/>
      </c>
      <c r="W998" s="8">
        <f>1/(1+EXP(-V998))</f>
        <v/>
      </c>
      <c r="X998" s="9">
        <f>-IF(C998=1,LN(W998),LN(1-W998))</f>
        <v/>
      </c>
      <c r="Y998" s="8">
        <f>IF(C998=1,$AE$32,$AE$33)</f>
        <v/>
      </c>
      <c r="Z998" s="9">
        <f>Y998*X998</f>
        <v/>
      </c>
      <c r="AA998" s="10">
        <f>IF(W998&gt;$AE$34,1,0)</f>
        <v/>
      </c>
      <c r="AB998">
        <f>IF(AA998=C998,1,0)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$AE$12+D999*$AE$13+E999*$AE$14+F999*$AE$15+G999*$AE$16+H999*$AE$17+I999*$AE$18+J999*$AE$19+K999*$AE$20+L999*$AE$21+M999*$AE$22+N999*$AE$23+O999*$AE$24+P999*$AE$25+Q999*$AE$26+R999*$AE$27+S999*$AE$28+T999*$AE$29+U999*$AE$30</f>
        <v/>
      </c>
      <c r="W999" s="8">
        <f>1/(1+EXP(-V999))</f>
        <v/>
      </c>
      <c r="X999" s="9">
        <f>-IF(C999=1,LN(W999),LN(1-W999))</f>
        <v/>
      </c>
      <c r="Y999" s="8">
        <f>IF(C999=1,$AE$32,$AE$33)</f>
        <v/>
      </c>
      <c r="Z999" s="9">
        <f>Y999*X999</f>
        <v/>
      </c>
      <c r="AA999" s="10">
        <f>IF(W999&gt;$AE$34,1,0)</f>
        <v/>
      </c>
      <c r="AB999">
        <f>IF(AA999=C999,1,0)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$AE$12+D1000*$AE$13+E1000*$AE$14+F1000*$AE$15+G1000*$AE$16+H1000*$AE$17+I1000*$AE$18+J1000*$AE$19+K1000*$AE$20+L1000*$AE$21+M1000*$AE$22+N1000*$AE$23+O1000*$AE$24+P1000*$AE$25+Q1000*$AE$26+R1000*$AE$27+S1000*$AE$28+T1000*$AE$29+U1000*$AE$30</f>
        <v/>
      </c>
      <c r="W1000" s="8">
        <f>1/(1+EXP(-V1000))</f>
        <v/>
      </c>
      <c r="X1000" s="9">
        <f>-IF(C1000=1,LN(W1000),LN(1-W1000))</f>
        <v/>
      </c>
      <c r="Y1000" s="8">
        <f>IF(C1000=1,$AE$32,$AE$33)</f>
        <v/>
      </c>
      <c r="Z1000" s="9">
        <f>Y1000*X1000</f>
        <v/>
      </c>
      <c r="AA1000" s="10">
        <f>IF(W1000&gt;$AE$34,1,0)</f>
        <v/>
      </c>
      <c r="AB1000">
        <f>IF(AA1000=C1000,1,0)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$AE$12+D1001*$AE$13+E1001*$AE$14+F1001*$AE$15+G1001*$AE$16+H1001*$AE$17+I1001*$AE$18+J1001*$AE$19+K1001*$AE$20+L1001*$AE$21+M1001*$AE$22+N1001*$AE$23+O1001*$AE$24+P1001*$AE$25+Q1001*$AE$26+R1001*$AE$27+S1001*$AE$28+T1001*$AE$29+U1001*$AE$30</f>
        <v/>
      </c>
      <c r="W1001" s="8">
        <f>1/(1+EXP(-V1001))</f>
        <v/>
      </c>
      <c r="X1001" s="9">
        <f>-IF(C1001=1,LN(W1001),LN(1-W1001))</f>
        <v/>
      </c>
      <c r="Y1001" s="8">
        <f>IF(C1001=1,$AE$32,$AE$33)</f>
        <v/>
      </c>
      <c r="Z1001" s="9">
        <f>Y1001*X1001</f>
        <v/>
      </c>
      <c r="AA1001" s="10">
        <f>IF(W1001&gt;$AE$34,1,0)</f>
        <v/>
      </c>
      <c r="AB1001">
        <f>IF(AA1001=C1001,1,0)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$AE$12+D1002*$AE$13+E1002*$AE$14+F1002*$AE$15+G1002*$AE$16+H1002*$AE$17+I1002*$AE$18+J1002*$AE$19+K1002*$AE$20+L1002*$AE$21+M1002*$AE$22+N1002*$AE$23+O1002*$AE$24+P1002*$AE$25+Q1002*$AE$26+R1002*$AE$27+S1002*$AE$28+T1002*$AE$29+U1002*$AE$30</f>
        <v/>
      </c>
      <c r="W1002" s="8">
        <f>1/(1+EXP(-V1002))</f>
        <v/>
      </c>
      <c r="X1002" s="9">
        <f>-IF(C1002=1,LN(W1002),LN(1-W1002))</f>
        <v/>
      </c>
      <c r="Y1002" s="8">
        <f>IF(C1002=1,$AE$32,$AE$33)</f>
        <v/>
      </c>
      <c r="Z1002" s="9">
        <f>Y1002*X1002</f>
        <v/>
      </c>
      <c r="AA1002" s="10">
        <f>IF(W1002&gt;$AE$34,1,0)</f>
        <v/>
      </c>
      <c r="AB1002">
        <f>IF(AA1002=C1002,1,0)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$AE$12+D1003*$AE$13+E1003*$AE$14+F1003*$AE$15+G1003*$AE$16+H1003*$AE$17+I1003*$AE$18+J1003*$AE$19+K1003*$AE$20+L1003*$AE$21+M1003*$AE$22+N1003*$AE$23+O1003*$AE$24+P1003*$AE$25+Q1003*$AE$26+R1003*$AE$27+S1003*$AE$28+T1003*$AE$29+U1003*$AE$30</f>
        <v/>
      </c>
      <c r="W1003" s="8">
        <f>1/(1+EXP(-V1003))</f>
        <v/>
      </c>
      <c r="X1003" s="9">
        <f>-IF(C1003=1,LN(W1003),LN(1-W1003))</f>
        <v/>
      </c>
      <c r="Y1003" s="8">
        <f>IF(C1003=1,$AE$32,$AE$33)</f>
        <v/>
      </c>
      <c r="Z1003" s="9">
        <f>Y1003*X1003</f>
        <v/>
      </c>
      <c r="AA1003" s="10">
        <f>IF(W1003&gt;$AE$34,1,0)</f>
        <v/>
      </c>
      <c r="AB1003">
        <f>IF(AA1003=C1003,1,0)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$AE$12+D1004*$AE$13+E1004*$AE$14+F1004*$AE$15+G1004*$AE$16+H1004*$AE$17+I1004*$AE$18+J1004*$AE$19+K1004*$AE$20+L1004*$AE$21+M1004*$AE$22+N1004*$AE$23+O1004*$AE$24+P1004*$AE$25+Q1004*$AE$26+R1004*$AE$27+S1004*$AE$28+T1004*$AE$29+U1004*$AE$30</f>
        <v/>
      </c>
      <c r="W1004" s="8">
        <f>1/(1+EXP(-V1004))</f>
        <v/>
      </c>
      <c r="X1004" s="9">
        <f>-IF(C1004=1,LN(W1004),LN(1-W1004))</f>
        <v/>
      </c>
      <c r="Y1004" s="8">
        <f>IF(C1004=1,$AE$32,$AE$33)</f>
        <v/>
      </c>
      <c r="Z1004" s="9">
        <f>Y1004*X1004</f>
        <v/>
      </c>
      <c r="AA1004" s="10">
        <f>IF(W1004&gt;$AE$34,1,0)</f>
        <v/>
      </c>
      <c r="AB1004">
        <f>IF(AA1004=C1004,1,0)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$AE$12+D1005*$AE$13+E1005*$AE$14+F1005*$AE$15+G1005*$AE$16+H1005*$AE$17+I1005*$AE$18+J1005*$AE$19+K1005*$AE$20+L1005*$AE$21+M1005*$AE$22+N1005*$AE$23+O1005*$AE$24+P1005*$AE$25+Q1005*$AE$26+R1005*$AE$27+S1005*$AE$28+T1005*$AE$29+U1005*$AE$30</f>
        <v/>
      </c>
      <c r="W1005" s="8">
        <f>1/(1+EXP(-V1005))</f>
        <v/>
      </c>
      <c r="X1005" s="9">
        <f>-IF(C1005=1,LN(W1005),LN(1-W1005))</f>
        <v/>
      </c>
      <c r="Y1005" s="8">
        <f>IF(C1005=1,$AE$32,$AE$33)</f>
        <v/>
      </c>
      <c r="Z1005" s="9">
        <f>Y1005*X1005</f>
        <v/>
      </c>
      <c r="AA1005" s="10">
        <f>IF(W1005&gt;$AE$34,1,0)</f>
        <v/>
      </c>
      <c r="AB1005">
        <f>IF(AA1005=C1005,1,0)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$AE$12+D1006*$AE$13+E1006*$AE$14+F1006*$AE$15+G1006*$AE$16+H1006*$AE$17+I1006*$AE$18+J1006*$AE$19+K1006*$AE$20+L1006*$AE$21+M1006*$AE$22+N1006*$AE$23+O1006*$AE$24+P1006*$AE$25+Q1006*$AE$26+R1006*$AE$27+S1006*$AE$28+T1006*$AE$29+U1006*$AE$30</f>
        <v/>
      </c>
      <c r="W1006" s="8">
        <f>1/(1+EXP(-V1006))</f>
        <v/>
      </c>
      <c r="X1006" s="9">
        <f>-IF(C1006=1,LN(W1006),LN(1-W1006))</f>
        <v/>
      </c>
      <c r="Y1006" s="8">
        <f>IF(C1006=1,$AE$32,$AE$33)</f>
        <v/>
      </c>
      <c r="Z1006" s="9">
        <f>Y1006*X1006</f>
        <v/>
      </c>
      <c r="AA1006" s="10">
        <f>IF(W1006&gt;$AE$34,1,0)</f>
        <v/>
      </c>
      <c r="AB1006">
        <f>IF(AA1006=C1006,1,0)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IF(C1007=1,$AE$32,$AE$33)</f>
        <v/>
      </c>
      <c r="Z1007" s="9">
        <f>Y1007*X1007</f>
        <v/>
      </c>
      <c r="AA1007" s="10">
        <f>IF(W1007&gt;$AE$34,1,0)</f>
        <v/>
      </c>
      <c r="AB1007">
        <f>IF(AA1007=C1007,1,0)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IF(C1008=1,$AE$32,$AE$33)</f>
        <v/>
      </c>
      <c r="Z1008" s="9">
        <f>Y1008*X1008</f>
        <v/>
      </c>
      <c r="AA1008" s="10">
        <f>IF(W1008&gt;$AE$34,1,0)</f>
        <v/>
      </c>
      <c r="AB1008">
        <f>IF(AA1008=C1008,1,0)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IF(C1009=1,$AE$32,$AE$33)</f>
        <v/>
      </c>
      <c r="Z1009" s="9">
        <f>Y1009*X1009</f>
        <v/>
      </c>
      <c r="AA1009" s="10">
        <f>IF(W1009&gt;$AE$34,1,0)</f>
        <v/>
      </c>
      <c r="AB1009">
        <f>IF(AA1009=C1009,1,0)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IF(C1010=1,$AE$32,$AE$33)</f>
        <v/>
      </c>
      <c r="Z1010" s="9">
        <f>Y1010*X1010</f>
        <v/>
      </c>
      <c r="AA1010" s="10">
        <f>IF(W1010&gt;$AE$34,1,0)</f>
        <v/>
      </c>
      <c r="AB1010">
        <f>IF(AA1010=C1010,1,0)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IF(C1011=1,$AE$32,$AE$33)</f>
        <v/>
      </c>
      <c r="Z1011" s="9">
        <f>Y1011*X1011</f>
        <v/>
      </c>
      <c r="AA1011" s="10">
        <f>IF(W1011&gt;$AE$34,1,0)</f>
        <v/>
      </c>
      <c r="AB1011">
        <f>IF(AA1011=C1011,1,0)</f>
        <v/>
      </c>
    </row>
  </sheetData>
  <mergeCells count="3">
    <mergeCell ref="A3:R3"/>
    <mergeCell ref="A2:R2"/>
    <mergeCell ref="AD48:AF48"/>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cols>
    <col width="34" customWidth="1" min="1" max="1"/>
    <col width="19" customWidth="1" min="2" max="2"/>
    <col width="19" customWidth="1" min="3" max="3"/>
    <col width="19" customWidth="1" min="4" max="4"/>
    <col width="19" customWidth="1" min="5" max="5"/>
    <col width="19" customWidth="1" min="6" max="6"/>
    <col width="19" customWidth="1" min="7" max="7"/>
    <col width="13"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s>
  <sheetData>
    <row r="1">
      <c r="A1" s="3" t="inlineStr">
        <is>
          <t>SMOTE: inventing new defaulters by interpolating between neighbors (computed in Python)</t>
        </is>
      </c>
    </row>
    <row r="2" ht="65" customHeight="1">
      <c r="A2" s="2" t="inlineStr">
        <is>
          <t>SMOTE (Synthetic Minority Oversampling Technique, Chawla et al., 2002) answers the risk of oversampling by repetition: instead of duplicating a row, it creates new rows. It takes a defaulter at random, finds its 5 nearest neighbors among the defaulters (distance over the scaled columns), picks one of them and creates a synthetic customer at a random point on the segment joining them: x_new = x_a + u · (x_b − x_a), with u between 0 and 1. It repeats until the minority class matches the majority: here, 280 synthetic customers, to reach 490 and 490.</t>
        </is>
      </c>
    </row>
    <row r="3" ht="80.5" customHeight="1">
      <c r="A3" s="2" t="inlineStr">
        <is>
          <t>Below, three examples with their two real parents (ids from sheet 1) and the cell u in light blue: move it and you will see the child slide between the two. An honest detail: the 0/1 columns become fractional (a synthetic customer can have 0.37 of 'renting'), which means nothing; there are variants (SMOTE-NC) that treat the categorical columns separately. It also shows why SMOTE is not magic: the synthetic rows live inside the cloud of defaulters that already existed, so the new information is limited; what it does is smooth the oversampling. In this dataset its testing result is practically that of class weights. SMOTE is in the imbalanced-learn library (imblearn) and is applied only to training, never to testing.</t>
        </is>
      </c>
    </row>
    <row r="4"/>
    <row r="5">
      <c r="A5" s="3" t="inlineStr">
        <is>
          <t>Example 1: parent a = id 675, parent b = id 332</t>
        </is>
      </c>
      <c r="C5" t="inlineStr">
        <is>
          <t>u =</t>
        </is>
      </c>
      <c r="D5" s="20" t="n">
        <v>0.8080000000000001</v>
      </c>
    </row>
    <row r="6">
      <c r="A6" s="4" t="inlineStr"/>
      <c r="B6" s="4" t="inlineStr">
        <is>
          <t>duration</t>
        </is>
      </c>
      <c r="C6" s="4" t="inlineStr">
        <is>
          <t>amount</t>
        </is>
      </c>
      <c r="D6" s="4" t="inlineStr">
        <is>
          <t>age</t>
        </is>
      </c>
      <c r="E6" s="4" t="inlineStr">
        <is>
          <t>installment_pct_income</t>
        </is>
      </c>
      <c r="F6" s="4" t="inlineStr">
        <is>
          <t>chk_negative</t>
        </is>
      </c>
      <c r="G6" s="4" t="inlineStr">
        <is>
          <t>chk_0_200</t>
        </is>
      </c>
      <c r="H6" s="4" t="inlineStr">
        <is>
          <t>chk_over_200</t>
        </is>
      </c>
      <c r="I6" s="4" t="inlineStr">
        <is>
          <t>hist_critical</t>
        </is>
      </c>
      <c r="J6" s="4" t="inlineStr">
        <is>
          <t>hist_delays</t>
        </is>
      </c>
      <c r="K6" s="4" t="inlineStr">
        <is>
          <t>hist_no_credits</t>
        </is>
      </c>
      <c r="L6" s="4" t="inlineStr">
        <is>
          <t>sav_100_1000</t>
        </is>
      </c>
      <c r="M6" s="4" t="inlineStr">
        <is>
          <t>sav_over_1000</t>
        </is>
      </c>
      <c r="N6" s="4" t="inlineStr">
        <is>
          <t>sav_unknown</t>
        </is>
      </c>
      <c r="O6" s="4" t="inlineStr">
        <is>
          <t>housing_rent</t>
        </is>
      </c>
      <c r="P6" s="4" t="inlineStr">
        <is>
          <t>housing_free</t>
        </is>
      </c>
      <c r="Q6" s="4" t="inlineStr">
        <is>
          <t>purpose_car</t>
        </is>
      </c>
      <c r="R6" s="4" t="inlineStr">
        <is>
          <t>purpose_radio_tv</t>
        </is>
      </c>
      <c r="S6" s="4" t="inlineStr">
        <is>
          <t>purpose_furniture</t>
        </is>
      </c>
    </row>
    <row r="7">
      <c r="A7" s="3" t="inlineStr">
        <is>
          <t>parent a (real)</t>
        </is>
      </c>
      <c r="B7" s="6" t="n">
        <v>0.02262954691863145</v>
      </c>
      <c r="C7" s="6" t="n">
        <v>-0.2346715623697989</v>
      </c>
      <c r="D7" s="6" t="n">
        <v>0.4748726930111218</v>
      </c>
      <c r="E7" s="6" t="n">
        <v>0.9185437189662378</v>
      </c>
      <c r="F7" s="6" t="n">
        <v>0</v>
      </c>
      <c r="G7" s="6" t="n">
        <v>0</v>
      </c>
      <c r="H7" s="6" t="n">
        <v>0</v>
      </c>
      <c r="I7" s="6" t="n">
        <v>0</v>
      </c>
      <c r="J7" s="6" t="n">
        <v>1</v>
      </c>
      <c r="K7" s="6" t="n">
        <v>0</v>
      </c>
      <c r="L7" s="6" t="n">
        <v>1</v>
      </c>
      <c r="M7" s="6" t="n">
        <v>0</v>
      </c>
      <c r="N7" s="6" t="n">
        <v>0</v>
      </c>
      <c r="O7" s="6" t="n">
        <v>0</v>
      </c>
      <c r="P7" s="6" t="n">
        <v>0</v>
      </c>
      <c r="Q7" s="6" t="n">
        <v>0</v>
      </c>
      <c r="R7" s="6" t="n">
        <v>0</v>
      </c>
      <c r="S7" s="6" t="n">
        <v>0</v>
      </c>
    </row>
    <row r="8">
      <c r="A8" s="3" t="inlineStr">
        <is>
          <t>parent b (real)</t>
        </is>
      </c>
      <c r="B8" s="6" t="n">
        <v>-0.2301473069597001</v>
      </c>
      <c r="C8" s="6" t="n">
        <v>-0.4851947654824373</v>
      </c>
      <c r="D8" s="6" t="n">
        <v>-0.4818305346669622</v>
      </c>
      <c r="E8" s="6" t="n">
        <v>0.9185437189662378</v>
      </c>
      <c r="F8" s="6" t="n">
        <v>0</v>
      </c>
      <c r="G8" s="6" t="n">
        <v>0</v>
      </c>
      <c r="H8" s="6" t="n">
        <v>0</v>
      </c>
      <c r="I8" s="6" t="n">
        <v>1</v>
      </c>
      <c r="J8" s="6" t="n">
        <v>0</v>
      </c>
      <c r="K8" s="6" t="n">
        <v>0</v>
      </c>
      <c r="L8" s="6" t="n">
        <v>1</v>
      </c>
      <c r="M8" s="6" t="n">
        <v>0</v>
      </c>
      <c r="N8" s="6" t="n">
        <v>0</v>
      </c>
      <c r="O8" s="6" t="n">
        <v>0</v>
      </c>
      <c r="P8" s="6" t="n">
        <v>0</v>
      </c>
      <c r="Q8" s="6" t="n">
        <v>0</v>
      </c>
      <c r="R8" s="6" t="n">
        <v>0</v>
      </c>
      <c r="S8" s="6" t="n">
        <v>0</v>
      </c>
    </row>
    <row r="9">
      <c r="A9" s="3" t="inlineStr">
        <is>
          <t>synthetic child = a + u · (b − a)</t>
        </is>
      </c>
      <c r="B9" s="8">
        <f>B7+$D$5*(B8-B7)</f>
        <v/>
      </c>
      <c r="C9" s="8">
        <f>C7+$D$5*(C8-C7)</f>
        <v/>
      </c>
      <c r="D9" s="8">
        <f>D7+$D$5*(D8-D7)</f>
        <v/>
      </c>
      <c r="E9" s="8">
        <f>E7+$D$5*(E8-E7)</f>
        <v/>
      </c>
      <c r="F9" s="8">
        <f>F7+$D$5*(F8-F7)</f>
        <v/>
      </c>
      <c r="G9" s="8">
        <f>G7+$D$5*(G8-G7)</f>
        <v/>
      </c>
      <c r="H9" s="8">
        <f>H7+$D$5*(H8-H7)</f>
        <v/>
      </c>
      <c r="I9" s="8">
        <f>I7+$D$5*(I8-I7)</f>
        <v/>
      </c>
      <c r="J9" s="8">
        <f>J7+$D$5*(J8-J7)</f>
        <v/>
      </c>
      <c r="K9" s="8">
        <f>K7+$D$5*(K8-K7)</f>
        <v/>
      </c>
      <c r="L9" s="8">
        <f>L7+$D$5*(L8-L7)</f>
        <v/>
      </c>
      <c r="M9" s="8">
        <f>M7+$D$5*(M8-M7)</f>
        <v/>
      </c>
      <c r="N9" s="8">
        <f>N7+$D$5*(N8-N7)</f>
        <v/>
      </c>
      <c r="O9" s="8">
        <f>O7+$D$5*(O8-O7)</f>
        <v/>
      </c>
      <c r="P9" s="8">
        <f>P7+$D$5*(P8-P7)</f>
        <v/>
      </c>
      <c r="Q9" s="8">
        <f>Q7+$D$5*(Q8-Q7)</f>
        <v/>
      </c>
      <c r="R9" s="8">
        <f>R7+$D$5*(R8-R7)</f>
        <v/>
      </c>
      <c r="S9" s="8">
        <f>S7+$D$5*(S8-S7)</f>
        <v/>
      </c>
    </row>
    <row r="10"/>
    <row r="11">
      <c r="A11" s="3" t="inlineStr">
        <is>
          <t>Example 2: parent a = id 501, parent b = id 723</t>
        </is>
      </c>
      <c r="C11" t="inlineStr">
        <is>
          <t>u =</t>
        </is>
      </c>
      <c r="D11" s="20" t="n">
        <v>0.286</v>
      </c>
    </row>
    <row r="12">
      <c r="A12" s="4" t="inlineStr"/>
      <c r="B12" s="4" t="inlineStr">
        <is>
          <t>duration</t>
        </is>
      </c>
      <c r="C12" s="4" t="inlineStr">
        <is>
          <t>amount</t>
        </is>
      </c>
      <c r="D12" s="4" t="inlineStr">
        <is>
          <t>age</t>
        </is>
      </c>
      <c r="E12" s="4" t="inlineStr">
        <is>
          <t>installment_pct_income</t>
        </is>
      </c>
      <c r="F12" s="4" t="inlineStr">
        <is>
          <t>chk_negative</t>
        </is>
      </c>
      <c r="G12" s="4" t="inlineStr">
        <is>
          <t>chk_0_200</t>
        </is>
      </c>
      <c r="H12" s="4" t="inlineStr">
        <is>
          <t>chk_over_200</t>
        </is>
      </c>
      <c r="I12" s="4" t="inlineStr">
        <is>
          <t>hist_critical</t>
        </is>
      </c>
      <c r="J12" s="4" t="inlineStr">
        <is>
          <t>hist_delays</t>
        </is>
      </c>
      <c r="K12" s="4" t="inlineStr">
        <is>
          <t>hist_no_credits</t>
        </is>
      </c>
      <c r="L12" s="4" t="inlineStr">
        <is>
          <t>sav_100_1000</t>
        </is>
      </c>
      <c r="M12" s="4" t="inlineStr">
        <is>
          <t>sav_over_1000</t>
        </is>
      </c>
      <c r="N12" s="4" t="inlineStr">
        <is>
          <t>sav_unknown</t>
        </is>
      </c>
      <c r="O12" s="4" t="inlineStr">
        <is>
          <t>housing_rent</t>
        </is>
      </c>
      <c r="P12" s="4" t="inlineStr">
        <is>
          <t>housing_free</t>
        </is>
      </c>
      <c r="Q12" s="4" t="inlineStr">
        <is>
          <t>purpose_car</t>
        </is>
      </c>
      <c r="R12" s="4" t="inlineStr">
        <is>
          <t>purpose_radio_tv</t>
        </is>
      </c>
      <c r="S12" s="4" t="inlineStr">
        <is>
          <t>purpose_furniture</t>
        </is>
      </c>
    </row>
    <row r="13">
      <c r="A13" s="3" t="inlineStr">
        <is>
          <t>parent a (real)</t>
        </is>
      </c>
      <c r="B13" s="6" t="n">
        <v>0.275406400796963</v>
      </c>
      <c r="C13" s="6" t="n">
        <v>-0.04467980358465557</v>
      </c>
      <c r="D13" s="6" t="n">
        <v>-0.7427495967609852</v>
      </c>
      <c r="E13" s="6" t="n">
        <v>0.9185437189662378</v>
      </c>
      <c r="F13" s="6" t="n">
        <v>1</v>
      </c>
      <c r="G13" s="6" t="n">
        <v>0</v>
      </c>
      <c r="H13" s="6" t="n">
        <v>0</v>
      </c>
      <c r="I13" s="6" t="n">
        <v>0</v>
      </c>
      <c r="J13" s="6" t="n">
        <v>0</v>
      </c>
      <c r="K13" s="6" t="n">
        <v>0</v>
      </c>
      <c r="L13" s="6" t="n">
        <v>0</v>
      </c>
      <c r="M13" s="6" t="n">
        <v>0</v>
      </c>
      <c r="N13" s="6" t="n">
        <v>0</v>
      </c>
      <c r="O13" s="6" t="n">
        <v>0</v>
      </c>
      <c r="P13" s="6" t="n">
        <v>0</v>
      </c>
      <c r="Q13" s="6" t="n">
        <v>1</v>
      </c>
      <c r="R13" s="6" t="n">
        <v>0</v>
      </c>
      <c r="S13" s="6" t="n">
        <v>0</v>
      </c>
    </row>
    <row r="14">
      <c r="A14" s="3" t="inlineStr">
        <is>
          <t>parent b (real)</t>
        </is>
      </c>
      <c r="B14" s="6" t="n">
        <v>-0.7357010147163632</v>
      </c>
      <c r="C14" s="6" t="n">
        <v>-0.7077265492528815</v>
      </c>
      <c r="D14" s="6" t="n">
        <v>-1.003668658855008</v>
      </c>
      <c r="E14" s="6" t="n">
        <v>0.9185437189662378</v>
      </c>
      <c r="F14" s="6" t="n">
        <v>1</v>
      </c>
      <c r="G14" s="6" t="n">
        <v>0</v>
      </c>
      <c r="H14" s="6" t="n">
        <v>0</v>
      </c>
      <c r="I14" s="6" t="n">
        <v>0</v>
      </c>
      <c r="J14" s="6" t="n">
        <v>0</v>
      </c>
      <c r="K14" s="6" t="n">
        <v>0</v>
      </c>
      <c r="L14" s="6" t="n">
        <v>0</v>
      </c>
      <c r="M14" s="6" t="n">
        <v>0</v>
      </c>
      <c r="N14" s="6" t="n">
        <v>0</v>
      </c>
      <c r="O14" s="6" t="n">
        <v>0</v>
      </c>
      <c r="P14" s="6" t="n">
        <v>0</v>
      </c>
      <c r="Q14" s="6" t="n">
        <v>1</v>
      </c>
      <c r="R14" s="6" t="n">
        <v>0</v>
      </c>
      <c r="S14" s="6" t="n">
        <v>0</v>
      </c>
    </row>
    <row r="15">
      <c r="A15" s="3" t="inlineStr">
        <is>
          <t>synthetic child = a + u · (b − a)</t>
        </is>
      </c>
      <c r="B15" s="8">
        <f>B13+$D$11*(B14-B13)</f>
        <v/>
      </c>
      <c r="C15" s="8">
        <f>C13+$D$11*(C14-C13)</f>
        <v/>
      </c>
      <c r="D15" s="8">
        <f>D13+$D$11*(D14-D13)</f>
        <v/>
      </c>
      <c r="E15" s="8">
        <f>E13+$D$11*(E14-E13)</f>
        <v/>
      </c>
      <c r="F15" s="8">
        <f>F13+$D$11*(F14-F13)</f>
        <v/>
      </c>
      <c r="G15" s="8">
        <f>G13+$D$11*(G14-G13)</f>
        <v/>
      </c>
      <c r="H15" s="8">
        <f>H13+$D$11*(H14-H13)</f>
        <v/>
      </c>
      <c r="I15" s="8">
        <f>I13+$D$11*(I14-I13)</f>
        <v/>
      </c>
      <c r="J15" s="8">
        <f>J13+$D$11*(J14-J13)</f>
        <v/>
      </c>
      <c r="K15" s="8">
        <f>K13+$D$11*(K14-K13)</f>
        <v/>
      </c>
      <c r="L15" s="8">
        <f>L13+$D$11*(L14-L13)</f>
        <v/>
      </c>
      <c r="M15" s="8">
        <f>M13+$D$11*(M14-M13)</f>
        <v/>
      </c>
      <c r="N15" s="8">
        <f>N13+$D$11*(N14-N13)</f>
        <v/>
      </c>
      <c r="O15" s="8">
        <f>O13+$D$11*(O14-O13)</f>
        <v/>
      </c>
      <c r="P15" s="8">
        <f>P13+$D$11*(P14-P13)</f>
        <v/>
      </c>
      <c r="Q15" s="8">
        <f>Q13+$D$11*(Q14-Q13)</f>
        <v/>
      </c>
      <c r="R15" s="8">
        <f>R13+$D$11*(R14-R13)</f>
        <v/>
      </c>
      <c r="S15" s="8">
        <f>S13+$D$11*(S14-S13)</f>
        <v/>
      </c>
    </row>
    <row r="16"/>
    <row r="17">
      <c r="A17" s="3" t="inlineStr">
        <is>
          <t>Example 3: parent a = id 980, parent b = id 810</t>
        </is>
      </c>
      <c r="C17" t="inlineStr">
        <is>
          <t>u =</t>
        </is>
      </c>
      <c r="D17" s="20" t="n">
        <v>0.383</v>
      </c>
    </row>
    <row r="18">
      <c r="A18" s="4" t="inlineStr"/>
      <c r="B18" s="4" t="inlineStr">
        <is>
          <t>duration</t>
        </is>
      </c>
      <c r="C18" s="4" t="inlineStr">
        <is>
          <t>amount</t>
        </is>
      </c>
      <c r="D18" s="4" t="inlineStr">
        <is>
          <t>age</t>
        </is>
      </c>
      <c r="E18" s="4" t="inlineStr">
        <is>
          <t>installment_pct_income</t>
        </is>
      </c>
      <c r="F18" s="4" t="inlineStr">
        <is>
          <t>chk_negative</t>
        </is>
      </c>
      <c r="G18" s="4" t="inlineStr">
        <is>
          <t>chk_0_200</t>
        </is>
      </c>
      <c r="H18" s="4" t="inlineStr">
        <is>
          <t>chk_over_200</t>
        </is>
      </c>
      <c r="I18" s="4" t="inlineStr">
        <is>
          <t>hist_critical</t>
        </is>
      </c>
      <c r="J18" s="4" t="inlineStr">
        <is>
          <t>hist_delays</t>
        </is>
      </c>
      <c r="K18" s="4" t="inlineStr">
        <is>
          <t>hist_no_credits</t>
        </is>
      </c>
      <c r="L18" s="4" t="inlineStr">
        <is>
          <t>sav_100_1000</t>
        </is>
      </c>
      <c r="M18" s="4" t="inlineStr">
        <is>
          <t>sav_over_1000</t>
        </is>
      </c>
      <c r="N18" s="4" t="inlineStr">
        <is>
          <t>sav_unknown</t>
        </is>
      </c>
      <c r="O18" s="4" t="inlineStr">
        <is>
          <t>housing_rent</t>
        </is>
      </c>
      <c r="P18" s="4" t="inlineStr">
        <is>
          <t>housing_free</t>
        </is>
      </c>
      <c r="Q18" s="4" t="inlineStr">
        <is>
          <t>purpose_car</t>
        </is>
      </c>
      <c r="R18" s="4" t="inlineStr">
        <is>
          <t>purpose_radio_tv</t>
        </is>
      </c>
      <c r="S18" s="4" t="inlineStr">
        <is>
          <t>purpose_furniture</t>
        </is>
      </c>
    </row>
    <row r="19">
      <c r="A19" s="3" t="inlineStr">
        <is>
          <t>parent a (real)</t>
        </is>
      </c>
      <c r="B19" s="6" t="n">
        <v>-0.4829241608380317</v>
      </c>
      <c r="C19" s="6" t="n">
        <v>-0.6951304105488941</v>
      </c>
      <c r="D19" s="6" t="n">
        <v>-0.9166956381570004</v>
      </c>
      <c r="E19" s="6" t="n">
        <v>-0.8850484360866833</v>
      </c>
      <c r="F19" s="6" t="n">
        <v>0</v>
      </c>
      <c r="G19" s="6" t="n">
        <v>1</v>
      </c>
      <c r="H19" s="6" t="n">
        <v>0</v>
      </c>
      <c r="I19" s="6" t="n">
        <v>0</v>
      </c>
      <c r="J19" s="6" t="n">
        <v>0</v>
      </c>
      <c r="K19" s="6" t="n">
        <v>1</v>
      </c>
      <c r="L19" s="6" t="n">
        <v>1</v>
      </c>
      <c r="M19" s="6" t="n">
        <v>0</v>
      </c>
      <c r="N19" s="6" t="n">
        <v>0</v>
      </c>
      <c r="O19" s="6" t="n">
        <v>1</v>
      </c>
      <c r="P19" s="6" t="n">
        <v>0</v>
      </c>
      <c r="Q19" s="6" t="n">
        <v>1</v>
      </c>
      <c r="R19" s="6" t="n">
        <v>0</v>
      </c>
      <c r="S19" s="6" t="n">
        <v>0</v>
      </c>
    </row>
    <row r="20">
      <c r="A20" s="3" t="inlineStr">
        <is>
          <t>parent b (real)</t>
        </is>
      </c>
      <c r="B20" s="6" t="n">
        <v>-0.4829241608380317</v>
      </c>
      <c r="C20" s="6" t="n">
        <v>-0.5152855412752961</v>
      </c>
      <c r="D20" s="6" t="n">
        <v>-0.8297226174589928</v>
      </c>
      <c r="E20" s="6" t="n">
        <v>-0.8850484360866833</v>
      </c>
      <c r="F20" s="6" t="n">
        <v>0</v>
      </c>
      <c r="G20" s="6" t="n">
        <v>1</v>
      </c>
      <c r="H20" s="6" t="n">
        <v>0</v>
      </c>
      <c r="I20" s="6" t="n">
        <v>0</v>
      </c>
      <c r="J20" s="6" t="n">
        <v>0</v>
      </c>
      <c r="K20" s="6" t="n">
        <v>1</v>
      </c>
      <c r="L20" s="6" t="n">
        <v>0</v>
      </c>
      <c r="M20" s="6" t="n">
        <v>0</v>
      </c>
      <c r="N20" s="6" t="n">
        <v>0</v>
      </c>
      <c r="O20" s="6" t="n">
        <v>1</v>
      </c>
      <c r="P20" s="6" t="n">
        <v>0</v>
      </c>
      <c r="Q20" s="6" t="n">
        <v>1</v>
      </c>
      <c r="R20" s="6" t="n">
        <v>0</v>
      </c>
      <c r="S20" s="6" t="n">
        <v>0</v>
      </c>
    </row>
    <row r="21">
      <c r="A21" s="3" t="inlineStr">
        <is>
          <t>synthetic child = a + u · (b − a)</t>
        </is>
      </c>
      <c r="B21" s="8">
        <f>B19+$D$17*(B20-B19)</f>
        <v/>
      </c>
      <c r="C21" s="8">
        <f>C19+$D$17*(C20-C19)</f>
        <v/>
      </c>
      <c r="D21" s="8">
        <f>D19+$D$17*(D20-D19)</f>
        <v/>
      </c>
      <c r="E21" s="8">
        <f>E19+$D$17*(E20-E19)</f>
        <v/>
      </c>
      <c r="F21" s="8">
        <f>F19+$D$17*(F20-F19)</f>
        <v/>
      </c>
      <c r="G21" s="8">
        <f>G19+$D$17*(G20-G19)</f>
        <v/>
      </c>
      <c r="H21" s="8">
        <f>H19+$D$17*(H20-H19)</f>
        <v/>
      </c>
      <c r="I21" s="8">
        <f>I19+$D$17*(I20-I19)</f>
        <v/>
      </c>
      <c r="J21" s="8">
        <f>J19+$D$17*(J20-J19)</f>
        <v/>
      </c>
      <c r="K21" s="8">
        <f>K19+$D$17*(K20-K19)</f>
        <v/>
      </c>
      <c r="L21" s="8">
        <f>L19+$D$17*(L20-L19)</f>
        <v/>
      </c>
      <c r="M21" s="8">
        <f>M19+$D$17*(M20-M19)</f>
        <v/>
      </c>
      <c r="N21" s="8">
        <f>N19+$D$17*(N20-N19)</f>
        <v/>
      </c>
      <c r="O21" s="8">
        <f>O19+$D$17*(O20-O19)</f>
        <v/>
      </c>
      <c r="P21" s="8">
        <f>P19+$D$17*(P20-P19)</f>
        <v/>
      </c>
      <c r="Q21" s="8">
        <f>Q19+$D$17*(Q20-Q19)</f>
        <v/>
      </c>
      <c r="R21" s="8">
        <f>R19+$D$17*(R20-R19)</f>
        <v/>
      </c>
      <c r="S21" s="8">
        <f>S19+$D$17*(S20-S19)</f>
        <v/>
      </c>
    </row>
    <row r="22"/>
    <row r="23"/>
    <row r="24">
      <c r="A24" s="3" t="inlineStr">
        <is>
          <t>The first 40 of the 280 synthetic customers (values from Python)</t>
        </is>
      </c>
    </row>
    <row r="25">
      <c r="A25" s="4" t="inlineStr">
        <is>
          <t>synthetic</t>
        </is>
      </c>
      <c r="B25" s="4" t="inlineStr">
        <is>
          <t>duration</t>
        </is>
      </c>
      <c r="C25" s="4" t="inlineStr">
        <is>
          <t>amount</t>
        </is>
      </c>
      <c r="D25" s="4" t="inlineStr">
        <is>
          <t>age</t>
        </is>
      </c>
      <c r="E25" s="4" t="inlineStr">
        <is>
          <t>installment_pct_income</t>
        </is>
      </c>
      <c r="F25" s="4" t="inlineStr">
        <is>
          <t>chk_negative</t>
        </is>
      </c>
      <c r="G25" s="4" t="inlineStr">
        <is>
          <t>chk_0_200</t>
        </is>
      </c>
      <c r="H25" s="4" t="inlineStr">
        <is>
          <t>chk_over_200</t>
        </is>
      </c>
      <c r="I25" s="4" t="inlineStr">
        <is>
          <t>hist_critical</t>
        </is>
      </c>
      <c r="J25" s="4" t="inlineStr">
        <is>
          <t>hist_delays</t>
        </is>
      </c>
      <c r="K25" s="4" t="inlineStr">
        <is>
          <t>hist_no_credits</t>
        </is>
      </c>
      <c r="L25" s="4" t="inlineStr">
        <is>
          <t>sav_100_1000</t>
        </is>
      </c>
      <c r="M25" s="4" t="inlineStr">
        <is>
          <t>sav_over_1000</t>
        </is>
      </c>
      <c r="N25" s="4" t="inlineStr">
        <is>
          <t>sav_unknown</t>
        </is>
      </c>
      <c r="O25" s="4" t="inlineStr">
        <is>
          <t>housing_rent</t>
        </is>
      </c>
      <c r="P25" s="4" t="inlineStr">
        <is>
          <t>housing_free</t>
        </is>
      </c>
      <c r="Q25" s="4" t="inlineStr">
        <is>
          <t>purpose_car</t>
        </is>
      </c>
      <c r="R25" s="4" t="inlineStr">
        <is>
          <t>purpose_radio_tv</t>
        </is>
      </c>
      <c r="S25" s="4" t="inlineStr">
        <is>
          <t>purpose_furniture</t>
        </is>
      </c>
    </row>
    <row r="26">
      <c r="A26" t="n">
        <v>1</v>
      </c>
      <c r="B26" s="6" t="n">
        <v>-0.181599184030934</v>
      </c>
      <c r="C26" s="6" t="n">
        <v>-0.4370794769399401</v>
      </c>
      <c r="D26" s="6" t="n">
        <v>-0.298086868302562</v>
      </c>
      <c r="E26" s="6" t="n">
        <v>0.9185437189662378</v>
      </c>
      <c r="F26" s="6" t="n">
        <v>0</v>
      </c>
      <c r="G26" s="6" t="n">
        <v>0</v>
      </c>
      <c r="H26" s="6" t="n">
        <v>0</v>
      </c>
      <c r="I26" s="6" t="n">
        <v>0.8079407897364937</v>
      </c>
      <c r="J26" s="6" t="n">
        <v>0.1920592102635063</v>
      </c>
      <c r="K26" s="6" t="n">
        <v>0</v>
      </c>
      <c r="L26" s="6" t="n">
        <v>1</v>
      </c>
      <c r="M26" s="6" t="n">
        <v>0</v>
      </c>
      <c r="N26" s="6" t="n">
        <v>0</v>
      </c>
      <c r="O26" s="6" t="n">
        <v>0</v>
      </c>
      <c r="P26" s="6" t="n">
        <v>0</v>
      </c>
      <c r="Q26" s="6" t="n">
        <v>0</v>
      </c>
      <c r="R26" s="6" t="n">
        <v>0</v>
      </c>
      <c r="S26" s="6" t="n">
        <v>0</v>
      </c>
    </row>
    <row r="27">
      <c r="A27" t="n">
        <v>2</v>
      </c>
      <c r="B27" s="6" t="n">
        <v>-0.01356949397409968</v>
      </c>
      <c r="C27" s="6" t="n">
        <v>-0.2341794785595855</v>
      </c>
      <c r="D27" s="6" t="n">
        <v>-0.8173206247987604</v>
      </c>
      <c r="E27" s="6" t="n">
        <v>0.9185437189662378</v>
      </c>
      <c r="F27" s="6" t="n">
        <v>1</v>
      </c>
      <c r="G27" s="6" t="n">
        <v>0</v>
      </c>
      <c r="H27" s="6" t="n">
        <v>0</v>
      </c>
      <c r="I27" s="6" t="n">
        <v>0</v>
      </c>
      <c r="J27" s="6" t="n">
        <v>0</v>
      </c>
      <c r="K27" s="6" t="n">
        <v>0</v>
      </c>
      <c r="L27" s="6" t="n">
        <v>0</v>
      </c>
      <c r="M27" s="6" t="n">
        <v>0</v>
      </c>
      <c r="N27" s="6" t="n">
        <v>0</v>
      </c>
      <c r="O27" s="6" t="n">
        <v>0</v>
      </c>
      <c r="P27" s="6" t="n">
        <v>0</v>
      </c>
      <c r="Q27" s="6" t="n">
        <v>1</v>
      </c>
      <c r="R27" s="6" t="n">
        <v>0</v>
      </c>
      <c r="S27" s="6" t="n">
        <v>0</v>
      </c>
    </row>
    <row r="28">
      <c r="A28" t="n">
        <v>3</v>
      </c>
      <c r="B28" s="6" t="n">
        <v>-0.4829241608380317</v>
      </c>
      <c r="C28" s="6" t="n">
        <v>-0.626183484300457</v>
      </c>
      <c r="D28" s="6" t="n">
        <v>-0.8833528885534695</v>
      </c>
      <c r="E28" s="6" t="n">
        <v>-0.8850484360866833</v>
      </c>
      <c r="F28" s="6" t="n">
        <v>0</v>
      </c>
      <c r="G28" s="6" t="n">
        <v>1</v>
      </c>
      <c r="H28" s="6" t="n">
        <v>0</v>
      </c>
      <c r="I28" s="6" t="n">
        <v>0</v>
      </c>
      <c r="J28" s="6" t="n">
        <v>0</v>
      </c>
      <c r="K28" s="6" t="n">
        <v>1</v>
      </c>
      <c r="L28" s="6" t="n">
        <v>0.6166311192144818</v>
      </c>
      <c r="M28" s="6" t="n">
        <v>0</v>
      </c>
      <c r="N28" s="6" t="n">
        <v>0</v>
      </c>
      <c r="O28" s="6" t="n">
        <v>1</v>
      </c>
      <c r="P28" s="6" t="n">
        <v>0</v>
      </c>
      <c r="Q28" s="6" t="n">
        <v>1</v>
      </c>
      <c r="R28" s="6" t="n">
        <v>0</v>
      </c>
      <c r="S28" s="6" t="n">
        <v>0</v>
      </c>
    </row>
    <row r="29">
      <c r="A29" t="n">
        <v>4</v>
      </c>
      <c r="B29" s="6" t="n">
        <v>0.275406400796963</v>
      </c>
      <c r="C29" s="6" t="n">
        <v>-0.6618761392020481</v>
      </c>
      <c r="D29" s="6" t="n">
        <v>0.3682110704311958</v>
      </c>
      <c r="E29" s="6" t="n">
        <v>0.9185437189662378</v>
      </c>
      <c r="F29" s="6" t="n">
        <v>1</v>
      </c>
      <c r="G29" s="6" t="n">
        <v>0</v>
      </c>
      <c r="H29" s="6" t="n">
        <v>0</v>
      </c>
      <c r="I29" s="6" t="n">
        <v>0</v>
      </c>
      <c r="J29" s="6" t="n">
        <v>0</v>
      </c>
      <c r="K29" s="6" t="n">
        <v>0.9547248060975548</v>
      </c>
      <c r="L29" s="6" t="n">
        <v>0</v>
      </c>
      <c r="M29" s="6" t="n">
        <v>0</v>
      </c>
      <c r="N29" s="6" t="n">
        <v>1</v>
      </c>
      <c r="O29" s="6" t="n">
        <v>0</v>
      </c>
      <c r="P29" s="6" t="n">
        <v>0</v>
      </c>
      <c r="Q29" s="6" t="n">
        <v>0.04527519390244517</v>
      </c>
      <c r="R29" s="6" t="n">
        <v>0</v>
      </c>
      <c r="S29" s="6" t="n">
        <v>0</v>
      </c>
    </row>
    <row r="30">
      <c r="A30" t="n">
        <v>5</v>
      </c>
      <c r="B30" s="6" t="n">
        <v>1.539915447314048</v>
      </c>
      <c r="C30" s="6" t="n">
        <v>0.5889195192757385</v>
      </c>
      <c r="D30" s="6" t="n">
        <v>-0.9169106054414953</v>
      </c>
      <c r="E30" s="6" t="n">
        <v>-0.8850484360866833</v>
      </c>
      <c r="F30" s="6" t="n">
        <v>0</v>
      </c>
      <c r="G30" s="6" t="n">
        <v>1</v>
      </c>
      <c r="H30" s="6" t="n">
        <v>0</v>
      </c>
      <c r="I30" s="6" t="n">
        <v>0.9991761150650714</v>
      </c>
      <c r="J30" s="6" t="n">
        <v>0</v>
      </c>
      <c r="K30" s="6" t="n">
        <v>0</v>
      </c>
      <c r="L30" s="6" t="n">
        <v>0</v>
      </c>
      <c r="M30" s="6" t="n">
        <v>0</v>
      </c>
      <c r="N30" s="6" t="n">
        <v>0</v>
      </c>
      <c r="O30" s="6" t="n">
        <v>0</v>
      </c>
      <c r="P30" s="6" t="n">
        <v>0</v>
      </c>
      <c r="Q30" s="6" t="n">
        <v>0</v>
      </c>
      <c r="R30" s="6" t="n">
        <v>1</v>
      </c>
      <c r="S30" s="6" t="n">
        <v>0</v>
      </c>
    </row>
    <row r="31">
      <c r="A31" t="n">
        <v>6</v>
      </c>
      <c r="B31" s="6" t="n">
        <v>0.1568488988360207</v>
      </c>
      <c r="C31" s="6" t="n">
        <v>0.4340079855164329</v>
      </c>
      <c r="D31" s="6" t="n">
        <v>1.238392870858197</v>
      </c>
      <c r="E31" s="6" t="n">
        <v>-0.8850484360866833</v>
      </c>
      <c r="F31" s="6" t="n">
        <v>0</v>
      </c>
      <c r="G31" s="6" t="n">
        <v>0</v>
      </c>
      <c r="H31" s="6" t="n">
        <v>0</v>
      </c>
      <c r="I31" s="6" t="n">
        <v>0</v>
      </c>
      <c r="J31" s="6" t="n">
        <v>0</v>
      </c>
      <c r="K31" s="6" t="n">
        <v>0.2345102016698239</v>
      </c>
      <c r="L31" s="6" t="n">
        <v>0</v>
      </c>
      <c r="M31" s="6" t="n">
        <v>0.7654897983301761</v>
      </c>
      <c r="N31" s="6" t="n">
        <v>0</v>
      </c>
      <c r="O31" s="6" t="n">
        <v>0</v>
      </c>
      <c r="P31" s="6" t="n">
        <v>0</v>
      </c>
      <c r="Q31" s="6" t="n">
        <v>0</v>
      </c>
      <c r="R31" s="6" t="n">
        <v>0</v>
      </c>
      <c r="S31" s="6" t="n">
        <v>0</v>
      </c>
    </row>
    <row r="32">
      <c r="A32" t="n">
        <v>7</v>
      </c>
      <c r="B32" s="6" t="n">
        <v>1.286513816310289</v>
      </c>
      <c r="C32" s="6" t="n">
        <v>1.752431018298267</v>
      </c>
      <c r="D32" s="6" t="n">
        <v>-0.8252324079630785</v>
      </c>
      <c r="E32" s="6" t="n">
        <v>-0.9083272257515129</v>
      </c>
      <c r="F32" s="6" t="n">
        <v>0.9741861932592554</v>
      </c>
      <c r="G32" s="6" t="n">
        <v>0.02581380674074463</v>
      </c>
      <c r="H32" s="6" t="n">
        <v>0</v>
      </c>
      <c r="I32" s="6" t="n">
        <v>0</v>
      </c>
      <c r="J32" s="6" t="n">
        <v>0</v>
      </c>
      <c r="K32" s="6" t="n">
        <v>0</v>
      </c>
      <c r="L32" s="6" t="n">
        <v>0</v>
      </c>
      <c r="M32" s="6" t="n">
        <v>0</v>
      </c>
      <c r="N32" s="6" t="n">
        <v>0</v>
      </c>
      <c r="O32" s="6" t="n">
        <v>0.02581380674074463</v>
      </c>
      <c r="P32" s="6" t="n">
        <v>0</v>
      </c>
      <c r="Q32" s="6" t="n">
        <v>1</v>
      </c>
      <c r="R32" s="6" t="n">
        <v>0</v>
      </c>
      <c r="S32" s="6" t="n">
        <v>0</v>
      </c>
    </row>
    <row r="33">
      <c r="A33" t="n">
        <v>8</v>
      </c>
      <c r="B33" s="6" t="n">
        <v>-0.656951438226054</v>
      </c>
      <c r="C33" s="6" t="n">
        <v>-0.9004602789727354</v>
      </c>
      <c r="D33" s="6" t="n">
        <v>-0.4005443515259894</v>
      </c>
      <c r="E33" s="6" t="n">
        <v>0.9185437189662378</v>
      </c>
      <c r="F33" s="6" t="n">
        <v>0</v>
      </c>
      <c r="G33" s="6" t="n">
        <v>1</v>
      </c>
      <c r="H33" s="6" t="n">
        <v>0</v>
      </c>
      <c r="I33" s="6" t="n">
        <v>0.155768962391259</v>
      </c>
      <c r="J33" s="6" t="n">
        <v>0</v>
      </c>
      <c r="K33" s="6" t="n">
        <v>0</v>
      </c>
      <c r="L33" s="6" t="n">
        <v>0</v>
      </c>
      <c r="M33" s="6" t="n">
        <v>0</v>
      </c>
      <c r="N33" s="6" t="n">
        <v>0</v>
      </c>
      <c r="O33" s="6" t="n">
        <v>0</v>
      </c>
      <c r="P33" s="6" t="n">
        <v>0</v>
      </c>
      <c r="Q33" s="6" t="n">
        <v>0.155768962391259</v>
      </c>
      <c r="R33" s="6" t="n">
        <v>0</v>
      </c>
      <c r="S33" s="6" t="n">
        <v>0</v>
      </c>
    </row>
    <row r="34">
      <c r="A34" t="n">
        <v>9</v>
      </c>
      <c r="B34" s="6" t="n">
        <v>-0.1019952606459762</v>
      </c>
      <c r="C34" s="6" t="n">
        <v>-0.2615971418074302</v>
      </c>
      <c r="D34" s="6" t="n">
        <v>-0.9595753393697505</v>
      </c>
      <c r="E34" s="6" t="n">
        <v>-0.4278585829827629</v>
      </c>
      <c r="F34" s="6" t="n">
        <v>1</v>
      </c>
      <c r="G34" s="6" t="n">
        <v>0</v>
      </c>
      <c r="H34" s="6" t="n">
        <v>0</v>
      </c>
      <c r="I34" s="6" t="n">
        <v>0</v>
      </c>
      <c r="J34" s="6" t="n">
        <v>0</v>
      </c>
      <c r="K34" s="6" t="n">
        <v>0</v>
      </c>
      <c r="L34" s="6" t="n">
        <v>0</v>
      </c>
      <c r="M34" s="6" t="n">
        <v>0</v>
      </c>
      <c r="N34" s="6" t="n">
        <v>0</v>
      </c>
      <c r="O34" s="6" t="n">
        <v>0</v>
      </c>
      <c r="P34" s="6" t="n">
        <v>0</v>
      </c>
      <c r="Q34" s="6" t="n">
        <v>0</v>
      </c>
      <c r="R34" s="6" t="n">
        <v>1</v>
      </c>
      <c r="S34" s="6" t="n">
        <v>0</v>
      </c>
    </row>
    <row r="35">
      <c r="A35" t="n">
        <v>10</v>
      </c>
      <c r="B35" s="6" t="n">
        <v>-0.6742229407611445</v>
      </c>
      <c r="C35" s="6" t="n">
        <v>-0.8124711129940654</v>
      </c>
      <c r="D35" s="6" t="n">
        <v>-1.080065288327824</v>
      </c>
      <c r="E35" s="6" t="n">
        <v>0.9185437189662378</v>
      </c>
      <c r="F35" s="6" t="n">
        <v>1</v>
      </c>
      <c r="G35" s="6" t="n">
        <v>0</v>
      </c>
      <c r="H35" s="6" t="n">
        <v>0</v>
      </c>
      <c r="I35" s="6" t="n">
        <v>0</v>
      </c>
      <c r="J35" s="6" t="n">
        <v>0</v>
      </c>
      <c r="K35" s="6" t="n">
        <v>0</v>
      </c>
      <c r="L35" s="6" t="n">
        <v>0</v>
      </c>
      <c r="M35" s="6" t="n">
        <v>0</v>
      </c>
      <c r="N35" s="6" t="n">
        <v>1</v>
      </c>
      <c r="O35" s="6" t="n">
        <v>0.06080271295805606</v>
      </c>
      <c r="P35" s="6" t="n">
        <v>0</v>
      </c>
      <c r="Q35" s="6" t="n">
        <v>1</v>
      </c>
      <c r="R35" s="6" t="n">
        <v>0</v>
      </c>
      <c r="S35" s="6" t="n">
        <v>0</v>
      </c>
    </row>
    <row r="36">
      <c r="A36" t="n">
        <v>11</v>
      </c>
      <c r="B36" s="6" t="n">
        <v>0.06955635307693064</v>
      </c>
      <c r="C36" s="6" t="n">
        <v>-0.08727879994305388</v>
      </c>
      <c r="D36" s="6" t="n">
        <v>0.07107939891959547</v>
      </c>
      <c r="E36" s="6" t="n">
        <v>0.01674764143977723</v>
      </c>
      <c r="F36" s="6" t="n">
        <v>0</v>
      </c>
      <c r="G36" s="6" t="n">
        <v>0</v>
      </c>
      <c r="H36" s="6" t="n">
        <v>0</v>
      </c>
      <c r="I36" s="6" t="n">
        <v>0</v>
      </c>
      <c r="J36" s="6" t="n">
        <v>0</v>
      </c>
      <c r="K36" s="6" t="n">
        <v>0</v>
      </c>
      <c r="L36" s="6" t="n">
        <v>1</v>
      </c>
      <c r="M36" s="6" t="n">
        <v>0</v>
      </c>
      <c r="N36" s="6" t="n">
        <v>0</v>
      </c>
      <c r="O36" s="6" t="n">
        <v>0</v>
      </c>
      <c r="P36" s="6" t="n">
        <v>0</v>
      </c>
      <c r="Q36" s="6" t="n">
        <v>0</v>
      </c>
      <c r="R36" s="6" t="n">
        <v>0.7285483954698985</v>
      </c>
      <c r="S36" s="6" t="n">
        <v>0</v>
      </c>
    </row>
    <row r="37">
      <c r="A37" t="n">
        <v>12</v>
      </c>
      <c r="B37" s="6" t="n">
        <v>1.351441510059661</v>
      </c>
      <c r="C37" s="6" t="n">
        <v>0.3926536341544991</v>
      </c>
      <c r="D37" s="6" t="n">
        <v>-0.8185527702880646</v>
      </c>
      <c r="E37" s="6" t="n">
        <v>0.9185437189662378</v>
      </c>
      <c r="F37" s="6" t="n">
        <v>0</v>
      </c>
      <c r="G37" s="6" t="n">
        <v>0.06421443731219101</v>
      </c>
      <c r="H37" s="6" t="n">
        <v>0</v>
      </c>
      <c r="I37" s="6" t="n">
        <v>0</v>
      </c>
      <c r="J37" s="6" t="n">
        <v>0.935785562687809</v>
      </c>
      <c r="K37" s="6" t="n">
        <v>0</v>
      </c>
      <c r="L37" s="6" t="n">
        <v>0</v>
      </c>
      <c r="M37" s="6" t="n">
        <v>0</v>
      </c>
      <c r="N37" s="6" t="n">
        <v>0</v>
      </c>
      <c r="O37" s="6" t="n">
        <v>0</v>
      </c>
      <c r="P37" s="6" t="n">
        <v>0</v>
      </c>
      <c r="Q37" s="6" t="n">
        <v>0</v>
      </c>
      <c r="R37" s="6" t="n">
        <v>1</v>
      </c>
      <c r="S37" s="6" t="n">
        <v>0</v>
      </c>
    </row>
    <row r="38">
      <c r="A38" t="n">
        <v>13</v>
      </c>
      <c r="B38" s="6" t="n">
        <v>2.297621231823615</v>
      </c>
      <c r="C38" s="6" t="n">
        <v>1.269317181307377</v>
      </c>
      <c r="D38" s="6" t="n">
        <v>-0.3270647417130792</v>
      </c>
      <c r="E38" s="6" t="n">
        <v>-0.1004060375868682</v>
      </c>
      <c r="F38" s="6" t="n">
        <v>1</v>
      </c>
      <c r="G38" s="6" t="n">
        <v>0</v>
      </c>
      <c r="H38" s="6" t="n">
        <v>0</v>
      </c>
      <c r="I38" s="6" t="n">
        <v>0</v>
      </c>
      <c r="J38" s="6" t="n">
        <v>0</v>
      </c>
      <c r="K38" s="6" t="n">
        <v>0.1299114976724967</v>
      </c>
      <c r="L38" s="6" t="n">
        <v>0</v>
      </c>
      <c r="M38" s="6" t="n">
        <v>0</v>
      </c>
      <c r="N38" s="6" t="n">
        <v>0</v>
      </c>
      <c r="O38" s="6" t="n">
        <v>0.1299114976724967</v>
      </c>
      <c r="P38" s="6" t="n">
        <v>0</v>
      </c>
      <c r="Q38" s="6" t="n">
        <v>0</v>
      </c>
      <c r="R38" s="6" t="n">
        <v>0.8700885023275033</v>
      </c>
      <c r="S38" s="6" t="n">
        <v>0</v>
      </c>
    </row>
    <row r="39">
      <c r="A39" t="n">
        <v>14</v>
      </c>
      <c r="B39" s="6" t="n">
        <v>-0.3094321022847134</v>
      </c>
      <c r="C39" s="6" t="n">
        <v>-0.7057657999790916</v>
      </c>
      <c r="D39" s="6" t="n">
        <v>-0.2300046550103877</v>
      </c>
      <c r="E39" s="6" t="n">
        <v>0.9185437189662378</v>
      </c>
      <c r="F39" s="6" t="n">
        <v>0</v>
      </c>
      <c r="G39" s="6" t="n">
        <v>1</v>
      </c>
      <c r="H39" s="6" t="n">
        <v>0</v>
      </c>
      <c r="I39" s="6" t="n">
        <v>1</v>
      </c>
      <c r="J39" s="6" t="n">
        <v>0</v>
      </c>
      <c r="K39" s="6" t="n">
        <v>0</v>
      </c>
      <c r="L39" s="6" t="n">
        <v>0</v>
      </c>
      <c r="M39" s="6" t="n">
        <v>0.104551760585874</v>
      </c>
      <c r="N39" s="6" t="n">
        <v>0</v>
      </c>
      <c r="O39" s="6" t="n">
        <v>0</v>
      </c>
      <c r="P39" s="6" t="n">
        <v>0.104551760585874</v>
      </c>
      <c r="Q39" s="6" t="n">
        <v>0</v>
      </c>
      <c r="R39" s="6" t="n">
        <v>0.895448239414126</v>
      </c>
      <c r="S39" s="6" t="n">
        <v>0</v>
      </c>
    </row>
    <row r="40">
      <c r="A40" t="n">
        <v>15</v>
      </c>
      <c r="B40" s="6" t="n">
        <v>-0.3955447268617504</v>
      </c>
      <c r="C40" s="6" t="n">
        <v>-0.2260209378563025</v>
      </c>
      <c r="D40" s="6" t="n">
        <v>0.6311032524944287</v>
      </c>
      <c r="E40" s="6" t="n">
        <v>-0.8683496818249835</v>
      </c>
      <c r="F40" s="6" t="n">
        <v>0.9814827823297892</v>
      </c>
      <c r="G40" s="6" t="n">
        <v>0</v>
      </c>
      <c r="H40" s="6" t="n">
        <v>0</v>
      </c>
      <c r="I40" s="6" t="n">
        <v>1</v>
      </c>
      <c r="J40" s="6" t="n">
        <v>0</v>
      </c>
      <c r="K40" s="6" t="n">
        <v>0</v>
      </c>
      <c r="L40" s="6" t="n">
        <v>0</v>
      </c>
      <c r="M40" s="6" t="n">
        <v>0</v>
      </c>
      <c r="N40" s="6" t="n">
        <v>0</v>
      </c>
      <c r="O40" s="6" t="n">
        <v>0.9814827823297892</v>
      </c>
      <c r="P40" s="6" t="n">
        <v>0</v>
      </c>
      <c r="Q40" s="6" t="n">
        <v>1</v>
      </c>
      <c r="R40" s="6" t="n">
        <v>0</v>
      </c>
      <c r="S40" s="6" t="n">
        <v>0</v>
      </c>
    </row>
    <row r="41">
      <c r="A41" t="n">
        <v>16</v>
      </c>
      <c r="B41" s="6" t="n">
        <v>-0.4832274130807597</v>
      </c>
      <c r="C41" s="6" t="n">
        <v>-0.5157443395886468</v>
      </c>
      <c r="D41" s="6" t="n">
        <v>-0.829826957564421</v>
      </c>
      <c r="E41" s="6" t="n">
        <v>-0.8850484360866833</v>
      </c>
      <c r="F41" s="6" t="n">
        <v>0</v>
      </c>
      <c r="G41" s="6" t="n">
        <v>1</v>
      </c>
      <c r="H41" s="6" t="n">
        <v>0</v>
      </c>
      <c r="I41" s="6" t="n">
        <v>0</v>
      </c>
      <c r="J41" s="6" t="n">
        <v>0</v>
      </c>
      <c r="K41" s="6" t="n">
        <v>0.9988003164131714</v>
      </c>
      <c r="L41" s="6" t="n">
        <v>0</v>
      </c>
      <c r="M41" s="6" t="n">
        <v>0</v>
      </c>
      <c r="N41" s="6" t="n">
        <v>0</v>
      </c>
      <c r="O41" s="6" t="n">
        <v>0.9988003164131714</v>
      </c>
      <c r="P41" s="6" t="n">
        <v>0</v>
      </c>
      <c r="Q41" s="6" t="n">
        <v>1</v>
      </c>
      <c r="R41" s="6" t="n">
        <v>0</v>
      </c>
      <c r="S41" s="6" t="n">
        <v>0</v>
      </c>
    </row>
    <row r="42">
      <c r="A42" t="n">
        <v>17</v>
      </c>
      <c r="B42" s="6" t="n">
        <v>0.275406400796963</v>
      </c>
      <c r="C42" s="6" t="n">
        <v>3.165969731467626</v>
      </c>
      <c r="D42" s="6" t="n">
        <v>0.5459004922700896</v>
      </c>
      <c r="E42" s="6" t="n">
        <v>0.130974449292146</v>
      </c>
      <c r="F42" s="6" t="n">
        <v>0</v>
      </c>
      <c r="G42" s="6" t="n">
        <v>1</v>
      </c>
      <c r="H42" s="6" t="n">
        <v>0</v>
      </c>
      <c r="I42" s="6" t="n">
        <v>0.4366670521756527</v>
      </c>
      <c r="J42" s="6" t="n">
        <v>0</v>
      </c>
      <c r="K42" s="6" t="n">
        <v>0</v>
      </c>
      <c r="L42" s="6" t="n">
        <v>0</v>
      </c>
      <c r="M42" s="6" t="n">
        <v>0</v>
      </c>
      <c r="N42" s="6" t="n">
        <v>0</v>
      </c>
      <c r="O42" s="6" t="n">
        <v>0</v>
      </c>
      <c r="P42" s="6" t="n">
        <v>0.5633329478243473</v>
      </c>
      <c r="Q42" s="6" t="n">
        <v>0.5633329478243473</v>
      </c>
      <c r="R42" s="6" t="n">
        <v>0</v>
      </c>
      <c r="S42" s="6" t="n">
        <v>0</v>
      </c>
    </row>
    <row r="43">
      <c r="A43" t="n">
        <v>18</v>
      </c>
      <c r="B43" s="6" t="n">
        <v>-0.9884778685946948</v>
      </c>
      <c r="C43" s="6" t="n">
        <v>-0.8094172604154467</v>
      </c>
      <c r="D43" s="6" t="n">
        <v>-0.4862091159489403</v>
      </c>
      <c r="E43" s="6" t="n">
        <v>0.3097796437391336</v>
      </c>
      <c r="F43" s="6" t="n">
        <v>0</v>
      </c>
      <c r="G43" s="6" t="n">
        <v>0</v>
      </c>
      <c r="H43" s="6" t="n">
        <v>1</v>
      </c>
      <c r="I43" s="6" t="n">
        <v>0</v>
      </c>
      <c r="J43" s="6" t="n">
        <v>0</v>
      </c>
      <c r="K43" s="6" t="n">
        <v>0.3249426445756061</v>
      </c>
      <c r="L43" s="6" t="n">
        <v>0</v>
      </c>
      <c r="M43" s="6" t="n">
        <v>0</v>
      </c>
      <c r="N43" s="6" t="n">
        <v>0</v>
      </c>
      <c r="O43" s="6" t="n">
        <v>0</v>
      </c>
      <c r="P43" s="6" t="n">
        <v>0</v>
      </c>
      <c r="Q43" s="6" t="n">
        <v>0</v>
      </c>
      <c r="R43" s="6" t="n">
        <v>1</v>
      </c>
      <c r="S43" s="6" t="n">
        <v>0</v>
      </c>
    </row>
    <row r="44">
      <c r="A44" t="n">
        <v>19</v>
      </c>
      <c r="B44" s="6" t="n">
        <v>2.297621231823615</v>
      </c>
      <c r="C44" s="6" t="n">
        <v>1.985659560666503</v>
      </c>
      <c r="D44" s="6" t="n">
        <v>0.7908373430006616</v>
      </c>
      <c r="E44" s="6" t="n">
        <v>-0.3142979337938235</v>
      </c>
      <c r="F44" s="6" t="n">
        <v>0.3164520874044902</v>
      </c>
      <c r="G44" s="6" t="n">
        <v>0</v>
      </c>
      <c r="H44" s="6" t="n">
        <v>0</v>
      </c>
      <c r="I44" s="6" t="n">
        <v>1</v>
      </c>
      <c r="J44" s="6" t="n">
        <v>0</v>
      </c>
      <c r="K44" s="6" t="n">
        <v>0</v>
      </c>
      <c r="L44" s="6" t="n">
        <v>0.6835479125955098</v>
      </c>
      <c r="M44" s="6" t="n">
        <v>0</v>
      </c>
      <c r="N44" s="6" t="n">
        <v>0</v>
      </c>
      <c r="O44" s="6" t="n">
        <v>0</v>
      </c>
      <c r="P44" s="6" t="n">
        <v>1</v>
      </c>
      <c r="Q44" s="6" t="n">
        <v>1</v>
      </c>
      <c r="R44" s="6" t="n">
        <v>0</v>
      </c>
      <c r="S44" s="6" t="n">
        <v>0</v>
      </c>
    </row>
    <row r="45">
      <c r="A45" t="n">
        <v>20</v>
      </c>
      <c r="B45" s="6" t="n">
        <v>0.1991972102275856</v>
      </c>
      <c r="C45" s="6" t="n">
        <v>-0.4982745062994653</v>
      </c>
      <c r="D45" s="6" t="n">
        <v>-0.6129371491981956</v>
      </c>
      <c r="E45" s="6" t="n">
        <v>0.6466630144140308</v>
      </c>
      <c r="F45" s="6" t="n">
        <v>1</v>
      </c>
      <c r="G45" s="6" t="n">
        <v>0</v>
      </c>
      <c r="H45" s="6" t="n">
        <v>0</v>
      </c>
      <c r="I45" s="6" t="n">
        <v>0</v>
      </c>
      <c r="J45" s="6" t="n">
        <v>0</v>
      </c>
      <c r="K45" s="6" t="n">
        <v>0</v>
      </c>
      <c r="L45" s="6" t="n">
        <v>0</v>
      </c>
      <c r="M45" s="6" t="n">
        <v>0</v>
      </c>
      <c r="N45" s="6" t="n">
        <v>0</v>
      </c>
      <c r="O45" s="6" t="n">
        <v>0</v>
      </c>
      <c r="P45" s="6" t="n">
        <v>0</v>
      </c>
      <c r="Q45" s="6" t="n">
        <v>0</v>
      </c>
      <c r="R45" s="6" t="n">
        <v>1</v>
      </c>
      <c r="S45" s="6" t="n">
        <v>0</v>
      </c>
    </row>
    <row r="46">
      <c r="A46" t="n">
        <v>21</v>
      </c>
      <c r="B46" s="6" t="n">
        <v>-0.1285004211326704</v>
      </c>
      <c r="C46" s="6" t="n">
        <v>0.9662473987318116</v>
      </c>
      <c r="D46" s="6" t="n">
        <v>0.2484661321730606</v>
      </c>
      <c r="E46" s="6" t="n">
        <v>-1.066364014481603</v>
      </c>
      <c r="F46" s="6" t="n">
        <v>0</v>
      </c>
      <c r="G46" s="6" t="n">
        <v>0.201060509036866</v>
      </c>
      <c r="H46" s="6" t="n">
        <v>0</v>
      </c>
      <c r="I46" s="6" t="n">
        <v>0</v>
      </c>
      <c r="J46" s="6" t="n">
        <v>0</v>
      </c>
      <c r="K46" s="6" t="n">
        <v>1</v>
      </c>
      <c r="L46" s="6" t="n">
        <v>0</v>
      </c>
      <c r="M46" s="6" t="n">
        <v>0</v>
      </c>
      <c r="N46" s="6" t="n">
        <v>0</v>
      </c>
      <c r="O46" s="6" t="n">
        <v>0</v>
      </c>
      <c r="P46" s="6" t="n">
        <v>0</v>
      </c>
      <c r="Q46" s="6" t="n">
        <v>0.798939490963134</v>
      </c>
      <c r="R46" s="6" t="n">
        <v>0</v>
      </c>
      <c r="S46" s="6" t="n">
        <v>0</v>
      </c>
    </row>
    <row r="47">
      <c r="A47" t="n">
        <v>22</v>
      </c>
      <c r="B47" s="6" t="n">
        <v>-0.3918156246339926</v>
      </c>
      <c r="C47" s="6" t="n">
        <v>-0.7105825782004774</v>
      </c>
      <c r="D47" s="6" t="n">
        <v>-1.062829042194086</v>
      </c>
      <c r="E47" s="6" t="n">
        <v>0.9185437189662378</v>
      </c>
      <c r="F47" s="6" t="n">
        <v>1</v>
      </c>
      <c r="G47" s="6" t="n">
        <v>0</v>
      </c>
      <c r="H47" s="6" t="n">
        <v>0</v>
      </c>
      <c r="I47" s="6" t="n">
        <v>0</v>
      </c>
      <c r="J47" s="6" t="n">
        <v>0</v>
      </c>
      <c r="K47" s="6" t="n">
        <v>0</v>
      </c>
      <c r="L47" s="6" t="n">
        <v>0</v>
      </c>
      <c r="M47" s="6" t="n">
        <v>0</v>
      </c>
      <c r="N47" s="6" t="n">
        <v>0</v>
      </c>
      <c r="O47" s="6" t="n">
        <v>0.6802153456817137</v>
      </c>
      <c r="P47" s="6" t="n">
        <v>0</v>
      </c>
      <c r="Q47" s="6" t="n">
        <v>1</v>
      </c>
      <c r="R47" s="6" t="n">
        <v>0</v>
      </c>
      <c r="S47" s="6" t="n">
        <v>0</v>
      </c>
    </row>
    <row r="48">
      <c r="A48" t="n">
        <v>23</v>
      </c>
      <c r="B48" s="6" t="n">
        <v>-0.4793508369983719</v>
      </c>
      <c r="C48" s="6" t="n">
        <v>-0.3637998879196425</v>
      </c>
      <c r="D48" s="6" t="n">
        <v>-1.086953255195733</v>
      </c>
      <c r="E48" s="6" t="n">
        <v>-1.34232049480644</v>
      </c>
      <c r="F48" s="6" t="n">
        <v>1</v>
      </c>
      <c r="G48" s="6" t="n">
        <v>0</v>
      </c>
      <c r="H48" s="6" t="n">
        <v>0</v>
      </c>
      <c r="I48" s="6" t="n">
        <v>0</v>
      </c>
      <c r="J48" s="6" t="n">
        <v>0</v>
      </c>
      <c r="K48" s="6" t="n">
        <v>0.5070681389233913</v>
      </c>
      <c r="L48" s="6" t="n">
        <v>0</v>
      </c>
      <c r="M48" s="6" t="n">
        <v>0</v>
      </c>
      <c r="N48" s="6" t="n">
        <v>0</v>
      </c>
      <c r="O48" s="6" t="n">
        <v>1</v>
      </c>
      <c r="P48" s="6" t="n">
        <v>0</v>
      </c>
      <c r="Q48" s="6" t="n">
        <v>0</v>
      </c>
      <c r="R48" s="6" t="n">
        <v>0</v>
      </c>
      <c r="S48" s="6" t="n">
        <v>1</v>
      </c>
    </row>
    <row r="49">
      <c r="A49" t="n">
        <v>24</v>
      </c>
      <c r="B49" s="6" t="n">
        <v>2.058803597101851</v>
      </c>
      <c r="C49" s="6" t="n">
        <v>2.611335848597204</v>
      </c>
      <c r="D49" s="6" t="n">
        <v>0.7974193055583086</v>
      </c>
      <c r="E49" s="6" t="n">
        <v>-1.098047374608854</v>
      </c>
      <c r="F49" s="6" t="n">
        <v>0</v>
      </c>
      <c r="G49" s="6" t="n">
        <v>0.2361941283958635</v>
      </c>
      <c r="H49" s="6" t="n">
        <v>0</v>
      </c>
      <c r="I49" s="6" t="n">
        <v>0.7638058716041365</v>
      </c>
      <c r="J49" s="6" t="n">
        <v>0</v>
      </c>
      <c r="K49" s="6" t="n">
        <v>0</v>
      </c>
      <c r="L49" s="6" t="n">
        <v>1</v>
      </c>
      <c r="M49" s="6" t="n">
        <v>0</v>
      </c>
      <c r="N49" s="6" t="n">
        <v>0</v>
      </c>
      <c r="O49" s="6" t="n">
        <v>0</v>
      </c>
      <c r="P49" s="6" t="n">
        <v>1</v>
      </c>
      <c r="Q49" s="6" t="n">
        <v>0.7638058716041365</v>
      </c>
      <c r="R49" s="6" t="n">
        <v>0</v>
      </c>
      <c r="S49" s="6" t="n">
        <v>0</v>
      </c>
    </row>
    <row r="50">
      <c r="A50" t="n">
        <v>25</v>
      </c>
      <c r="B50" s="6" t="n">
        <v>-0.2301473069597001</v>
      </c>
      <c r="C50" s="6" t="n">
        <v>1.146815279928065</v>
      </c>
      <c r="D50" s="6" t="n">
        <v>0.3706192809090135</v>
      </c>
      <c r="E50" s="6" t="n">
        <v>-0.9452668609359027</v>
      </c>
      <c r="F50" s="6" t="n">
        <v>0.06677609977456633</v>
      </c>
      <c r="G50" s="6" t="n">
        <v>0</v>
      </c>
      <c r="H50" s="6" t="n">
        <v>0</v>
      </c>
      <c r="I50" s="6" t="n">
        <v>0</v>
      </c>
      <c r="J50" s="6" t="n">
        <v>0</v>
      </c>
      <c r="K50" s="6" t="n">
        <v>0.9332239002254337</v>
      </c>
      <c r="L50" s="6" t="n">
        <v>0</v>
      </c>
      <c r="M50" s="6" t="n">
        <v>0</v>
      </c>
      <c r="N50" s="6" t="n">
        <v>0.06677609977456633</v>
      </c>
      <c r="O50" s="6" t="n">
        <v>0</v>
      </c>
      <c r="P50" s="6" t="n">
        <v>0.06677609977456633</v>
      </c>
      <c r="Q50" s="6" t="n">
        <v>1</v>
      </c>
      <c r="R50" s="6" t="n">
        <v>0</v>
      </c>
      <c r="S50" s="6" t="n">
        <v>0</v>
      </c>
    </row>
    <row r="51">
      <c r="A51" t="n">
        <v>26</v>
      </c>
      <c r="B51" s="6" t="n">
        <v>0.275406400796963</v>
      </c>
      <c r="C51" s="6" t="n">
        <v>-0.3070780568160239</v>
      </c>
      <c r="D51" s="6" t="n">
        <v>-0.01255379132865397</v>
      </c>
      <c r="E51" s="6" t="n">
        <v>0.01674764143977723</v>
      </c>
      <c r="F51" s="6" t="n">
        <v>0</v>
      </c>
      <c r="G51" s="6" t="n">
        <v>1</v>
      </c>
      <c r="H51" s="6" t="n">
        <v>0</v>
      </c>
      <c r="I51" s="6" t="n">
        <v>0</v>
      </c>
      <c r="J51" s="6" t="n">
        <v>0.84492680147361</v>
      </c>
      <c r="K51" s="6" t="n">
        <v>0</v>
      </c>
      <c r="L51" s="6" t="n">
        <v>0</v>
      </c>
      <c r="M51" s="6" t="n">
        <v>0</v>
      </c>
      <c r="N51" s="6" t="n">
        <v>0</v>
      </c>
      <c r="O51" s="6" t="n">
        <v>0</v>
      </c>
      <c r="P51" s="6" t="n">
        <v>0</v>
      </c>
      <c r="Q51" s="6" t="n">
        <v>0</v>
      </c>
      <c r="R51" s="6" t="n">
        <v>0</v>
      </c>
      <c r="S51" s="6" t="n">
        <v>1</v>
      </c>
    </row>
    <row r="52">
      <c r="A52" t="n">
        <v>27</v>
      </c>
      <c r="B52" s="6" t="n">
        <v>0.2506458873456315</v>
      </c>
      <c r="C52" s="6" t="n">
        <v>-0.7114282977557996</v>
      </c>
      <c r="D52" s="6" t="n">
        <v>0.1926552345661766</v>
      </c>
      <c r="E52" s="6" t="n">
        <v>0.9185437189662378</v>
      </c>
      <c r="F52" s="6" t="n">
        <v>0</v>
      </c>
      <c r="G52" s="6" t="n">
        <v>1</v>
      </c>
      <c r="H52" s="6" t="n">
        <v>0</v>
      </c>
      <c r="I52" s="6" t="n">
        <v>1</v>
      </c>
      <c r="J52" s="6" t="n">
        <v>0</v>
      </c>
      <c r="K52" s="6" t="n">
        <v>0</v>
      </c>
      <c r="L52" s="6" t="n">
        <v>0.9510229811957994</v>
      </c>
      <c r="M52" s="6" t="n">
        <v>0</v>
      </c>
      <c r="N52" s="6" t="n">
        <v>0</v>
      </c>
      <c r="O52" s="6" t="n">
        <v>0</v>
      </c>
      <c r="P52" s="6" t="n">
        <v>0</v>
      </c>
      <c r="Q52" s="6" t="n">
        <v>0</v>
      </c>
      <c r="R52" s="6" t="n">
        <v>1</v>
      </c>
      <c r="S52" s="6" t="n">
        <v>0</v>
      </c>
    </row>
    <row r="53">
      <c r="A53" t="n">
        <v>28</v>
      </c>
      <c r="B53" s="6" t="n">
        <v>2.297621231823615</v>
      </c>
      <c r="C53" s="6" t="n">
        <v>1.042717104020237</v>
      </c>
      <c r="D53" s="6" t="n">
        <v>1.235518575809438</v>
      </c>
      <c r="E53" s="6" t="n">
        <v>0.9185437189662378</v>
      </c>
      <c r="F53" s="6" t="n">
        <v>0.06355793815799693</v>
      </c>
      <c r="G53" s="6" t="n">
        <v>0.9364420618420031</v>
      </c>
      <c r="H53" s="6" t="n">
        <v>0</v>
      </c>
      <c r="I53" s="6" t="n">
        <v>0.06355793815799693</v>
      </c>
      <c r="J53" s="6" t="n">
        <v>0.9364420618420031</v>
      </c>
      <c r="K53" s="6" t="n">
        <v>0</v>
      </c>
      <c r="L53" s="6" t="n">
        <v>0</v>
      </c>
      <c r="M53" s="6" t="n">
        <v>0</v>
      </c>
      <c r="N53" s="6" t="n">
        <v>0</v>
      </c>
      <c r="O53" s="6" t="n">
        <v>0</v>
      </c>
      <c r="P53" s="6" t="n">
        <v>1</v>
      </c>
      <c r="Q53" s="6" t="n">
        <v>0.06355793815799693</v>
      </c>
      <c r="R53" s="6" t="n">
        <v>0</v>
      </c>
      <c r="S53" s="6" t="n">
        <v>0</v>
      </c>
    </row>
    <row r="54">
      <c r="A54" t="n">
        <v>29</v>
      </c>
      <c r="B54" s="6" t="n">
        <v>2.176219926236783</v>
      </c>
      <c r="C54" s="6" t="n">
        <v>0.009316509301186798</v>
      </c>
      <c r="D54" s="6" t="n">
        <v>-0.5304648067901764</v>
      </c>
      <c r="E54" s="6" t="n">
        <v>0.9185437189662378</v>
      </c>
      <c r="F54" s="6" t="n">
        <v>0.2401353283027758</v>
      </c>
      <c r="G54" s="6" t="n">
        <v>0.7598646716972242</v>
      </c>
      <c r="H54" s="6" t="n">
        <v>0</v>
      </c>
      <c r="I54" s="6" t="n">
        <v>0</v>
      </c>
      <c r="J54" s="6" t="n">
        <v>0</v>
      </c>
      <c r="K54" s="6" t="n">
        <v>0</v>
      </c>
      <c r="L54" s="6" t="n">
        <v>0</v>
      </c>
      <c r="M54" s="6" t="n">
        <v>0</v>
      </c>
      <c r="N54" s="6" t="n">
        <v>0</v>
      </c>
      <c r="O54" s="6" t="n">
        <v>0</v>
      </c>
      <c r="P54" s="6" t="n">
        <v>0</v>
      </c>
      <c r="Q54" s="6" t="n">
        <v>0</v>
      </c>
      <c r="R54" s="6" t="n">
        <v>1</v>
      </c>
      <c r="S54" s="6" t="n">
        <v>0</v>
      </c>
    </row>
    <row r="55">
      <c r="A55" t="n">
        <v>30</v>
      </c>
      <c r="B55" s="6" t="n">
        <v>-0.2301473069597001</v>
      </c>
      <c r="C55" s="6" t="n">
        <v>-0.5640067636494253</v>
      </c>
      <c r="D55" s="6" t="n">
        <v>-0.3645231134042224</v>
      </c>
      <c r="E55" s="6" t="n">
        <v>0.310381719357167</v>
      </c>
      <c r="F55" s="6" t="n">
        <v>0</v>
      </c>
      <c r="G55" s="6" t="n">
        <v>0</v>
      </c>
      <c r="H55" s="6" t="n">
        <v>0</v>
      </c>
      <c r="I55" s="6" t="n">
        <v>1</v>
      </c>
      <c r="J55" s="6" t="n">
        <v>0</v>
      </c>
      <c r="K55" s="6" t="n">
        <v>0</v>
      </c>
      <c r="L55" s="6" t="n">
        <v>0.3256102851132372</v>
      </c>
      <c r="M55" s="6" t="n">
        <v>0</v>
      </c>
      <c r="N55" s="6" t="n">
        <v>0</v>
      </c>
      <c r="O55" s="6" t="n">
        <v>0</v>
      </c>
      <c r="P55" s="6" t="n">
        <v>0</v>
      </c>
      <c r="Q55" s="6" t="n">
        <v>0.6743897148867628</v>
      </c>
      <c r="R55" s="6" t="n">
        <v>0</v>
      </c>
      <c r="S55" s="6" t="n">
        <v>0</v>
      </c>
    </row>
    <row r="56">
      <c r="A56" t="n">
        <v>31</v>
      </c>
      <c r="B56" s="6" t="n">
        <v>0.5830494413462654</v>
      </c>
      <c r="C56" s="6" t="n">
        <v>-0.3354293627172646</v>
      </c>
      <c r="D56" s="6" t="n">
        <v>-1.08434907019455</v>
      </c>
      <c r="E56" s="6" t="n">
        <v>-0.8850484360866833</v>
      </c>
      <c r="F56" s="6" t="n">
        <v>1</v>
      </c>
      <c r="G56" s="6" t="n">
        <v>0</v>
      </c>
      <c r="H56" s="6" t="n">
        <v>0</v>
      </c>
      <c r="I56" s="6" t="n">
        <v>0</v>
      </c>
      <c r="J56" s="6" t="n">
        <v>0.5361756399166328</v>
      </c>
      <c r="K56" s="6" t="n">
        <v>0</v>
      </c>
      <c r="L56" s="6" t="n">
        <v>0</v>
      </c>
      <c r="M56" s="6" t="n">
        <v>0</v>
      </c>
      <c r="N56" s="6" t="n">
        <v>0</v>
      </c>
      <c r="O56" s="6" t="n">
        <v>0</v>
      </c>
      <c r="P56" s="6" t="n">
        <v>0</v>
      </c>
      <c r="Q56" s="6" t="n">
        <v>0</v>
      </c>
      <c r="R56" s="6" t="n">
        <v>0</v>
      </c>
      <c r="S56" s="6" t="n">
        <v>0.4638243600833672</v>
      </c>
    </row>
    <row r="57">
      <c r="A57" t="n">
        <v>32</v>
      </c>
      <c r="B57" s="6" t="n">
        <v>-0.2106380966669725</v>
      </c>
      <c r="C57" s="6" t="n">
        <v>-0.588780517715498</v>
      </c>
      <c r="D57" s="6" t="n">
        <v>-0.7360370559386838</v>
      </c>
      <c r="E57" s="6" t="n">
        <v>-1.208847208096043</v>
      </c>
      <c r="F57" s="6" t="n">
        <v>0.359059858518689</v>
      </c>
      <c r="G57" s="6" t="n">
        <v>0.640940141481311</v>
      </c>
      <c r="H57" s="6" t="n">
        <v>0</v>
      </c>
      <c r="I57" s="6" t="n">
        <v>0</v>
      </c>
      <c r="J57" s="6" t="n">
        <v>0</v>
      </c>
      <c r="K57" s="6" t="n">
        <v>1</v>
      </c>
      <c r="L57" s="6" t="n">
        <v>0</v>
      </c>
      <c r="M57" s="6" t="n">
        <v>0</v>
      </c>
      <c r="N57" s="6" t="n">
        <v>0</v>
      </c>
      <c r="O57" s="6" t="n">
        <v>1</v>
      </c>
      <c r="P57" s="6" t="n">
        <v>0</v>
      </c>
      <c r="Q57" s="6" t="n">
        <v>1</v>
      </c>
      <c r="R57" s="6" t="n">
        <v>0</v>
      </c>
      <c r="S57" s="6" t="n">
        <v>0</v>
      </c>
    </row>
    <row r="58">
      <c r="A58" t="n">
        <v>33</v>
      </c>
      <c r="B58" s="6" t="n">
        <v>-0.3857454771779183</v>
      </c>
      <c r="C58" s="6" t="n">
        <v>-0.7689737088457275</v>
      </c>
      <c r="D58" s="6" t="n">
        <v>0.809332307855261</v>
      </c>
      <c r="E58" s="6" t="n">
        <v>0.9185437189662378</v>
      </c>
      <c r="F58" s="6" t="n">
        <v>1</v>
      </c>
      <c r="G58" s="6" t="n">
        <v>0</v>
      </c>
      <c r="H58" s="6" t="n">
        <v>0</v>
      </c>
      <c r="I58" s="6" t="n">
        <v>0</v>
      </c>
      <c r="J58" s="6" t="n">
        <v>0</v>
      </c>
      <c r="K58" s="6" t="n">
        <v>0</v>
      </c>
      <c r="L58" s="6" t="n">
        <v>0</v>
      </c>
      <c r="M58" s="6" t="n">
        <v>0</v>
      </c>
      <c r="N58" s="6" t="n">
        <v>0</v>
      </c>
      <c r="O58" s="6" t="n">
        <v>0.3077777253551701</v>
      </c>
      <c r="P58" s="6" t="n">
        <v>0</v>
      </c>
      <c r="Q58" s="6" t="n">
        <v>0</v>
      </c>
      <c r="R58" s="6" t="n">
        <v>0</v>
      </c>
      <c r="S58" s="6" t="n">
        <v>0</v>
      </c>
    </row>
    <row r="59">
      <c r="A59" t="n">
        <v>34</v>
      </c>
      <c r="B59" s="6" t="n">
        <v>-0.4204946102873834</v>
      </c>
      <c r="C59" s="6" t="n">
        <v>-0.7228272394383529</v>
      </c>
      <c r="D59" s="6" t="n">
        <v>-0.5043630833569319</v>
      </c>
      <c r="E59" s="6" t="n">
        <v>0.9185437189662378</v>
      </c>
      <c r="F59" s="6" t="n">
        <v>1</v>
      </c>
      <c r="G59" s="6" t="n">
        <v>0</v>
      </c>
      <c r="H59" s="6" t="n">
        <v>0</v>
      </c>
      <c r="I59" s="6" t="n">
        <v>0</v>
      </c>
      <c r="J59" s="6" t="n">
        <v>0</v>
      </c>
      <c r="K59" s="6" t="n">
        <v>0.6234874744123078</v>
      </c>
      <c r="L59" s="6" t="n">
        <v>0</v>
      </c>
      <c r="M59" s="6" t="n">
        <v>0</v>
      </c>
      <c r="N59" s="6" t="n">
        <v>0</v>
      </c>
      <c r="O59" s="6" t="n">
        <v>0</v>
      </c>
      <c r="P59" s="6" t="n">
        <v>0.6234874744123078</v>
      </c>
      <c r="Q59" s="6" t="n">
        <v>1</v>
      </c>
      <c r="R59" s="6" t="n">
        <v>0</v>
      </c>
      <c r="S59" s="6" t="n">
        <v>0</v>
      </c>
    </row>
    <row r="60">
      <c r="A60" t="n">
        <v>35</v>
      </c>
      <c r="B60" s="6" t="n">
        <v>0.4715869983861887</v>
      </c>
      <c r="C60" s="6" t="n">
        <v>0.2080649562728722</v>
      </c>
      <c r="D60" s="6" t="n">
        <v>-0.9556418256274039</v>
      </c>
      <c r="E60" s="6" t="n">
        <v>0.1917190546431344</v>
      </c>
      <c r="F60" s="6" t="n">
        <v>1</v>
      </c>
      <c r="G60" s="6" t="n">
        <v>0</v>
      </c>
      <c r="H60" s="6" t="n">
        <v>0</v>
      </c>
      <c r="I60" s="6" t="n">
        <v>0</v>
      </c>
      <c r="J60" s="6" t="n">
        <v>0</v>
      </c>
      <c r="K60" s="6" t="n">
        <v>1</v>
      </c>
      <c r="L60" s="6" t="n">
        <v>0</v>
      </c>
      <c r="M60" s="6" t="n">
        <v>0</v>
      </c>
      <c r="N60" s="6" t="n">
        <v>0</v>
      </c>
      <c r="O60" s="6" t="n">
        <v>0.8059745239929554</v>
      </c>
      <c r="P60" s="6" t="n">
        <v>0</v>
      </c>
      <c r="Q60" s="6" t="n">
        <v>0</v>
      </c>
      <c r="R60" s="6" t="n">
        <v>0</v>
      </c>
      <c r="S60" s="6" t="n">
        <v>1</v>
      </c>
    </row>
    <row r="61">
      <c r="A61" t="n">
        <v>36</v>
      </c>
      <c r="B61" s="6" t="n">
        <v>0.5443386905709842</v>
      </c>
      <c r="C61" s="6" t="n">
        <v>0.3056358453739</v>
      </c>
      <c r="D61" s="6" t="n">
        <v>0.9809334785648002</v>
      </c>
      <c r="E61" s="6" t="n">
        <v>-0.1654747874789442</v>
      </c>
      <c r="F61" s="6" t="n">
        <v>0.797933886097021</v>
      </c>
      <c r="G61" s="6" t="n">
        <v>0</v>
      </c>
      <c r="H61" s="6" t="n">
        <v>0</v>
      </c>
      <c r="I61" s="6" t="n">
        <v>0</v>
      </c>
      <c r="J61" s="6" t="n">
        <v>0</v>
      </c>
      <c r="K61" s="6" t="n">
        <v>0</v>
      </c>
      <c r="L61" s="6" t="n">
        <v>0</v>
      </c>
      <c r="M61" s="6" t="n">
        <v>0.202066113902979</v>
      </c>
      <c r="N61" s="6" t="n">
        <v>0</v>
      </c>
      <c r="O61" s="6" t="n">
        <v>0</v>
      </c>
      <c r="P61" s="6" t="n">
        <v>0</v>
      </c>
      <c r="Q61" s="6" t="n">
        <v>0.797933886097021</v>
      </c>
      <c r="R61" s="6" t="n">
        <v>0</v>
      </c>
      <c r="S61" s="6" t="n">
        <v>0</v>
      </c>
    </row>
    <row r="62">
      <c r="A62" t="n">
        <v>37</v>
      </c>
      <c r="B62" s="6" t="n">
        <v>-0.6632192397353891</v>
      </c>
      <c r="C62" s="6" t="n">
        <v>0.1048304999787502</v>
      </c>
      <c r="D62" s="6" t="n">
        <v>-0.1965984094878937</v>
      </c>
      <c r="E62" s="6" t="n">
        <v>0.01674764143977723</v>
      </c>
      <c r="F62" s="6" t="n">
        <v>1</v>
      </c>
      <c r="G62" s="6" t="n">
        <v>0</v>
      </c>
      <c r="H62" s="6" t="n">
        <v>0</v>
      </c>
      <c r="I62" s="6" t="n">
        <v>0</v>
      </c>
      <c r="J62" s="6" t="n">
        <v>0</v>
      </c>
      <c r="K62" s="6" t="n">
        <v>0</v>
      </c>
      <c r="L62" s="6" t="n">
        <v>0</v>
      </c>
      <c r="M62" s="6" t="n">
        <v>0</v>
      </c>
      <c r="N62" s="6" t="n">
        <v>0</v>
      </c>
      <c r="O62" s="6" t="n">
        <v>0</v>
      </c>
      <c r="P62" s="6" t="n">
        <v>0.7132578641244521</v>
      </c>
      <c r="Q62" s="6" t="n">
        <v>1</v>
      </c>
      <c r="R62" s="6" t="n">
        <v>0</v>
      </c>
      <c r="S62" s="6" t="n">
        <v>0</v>
      </c>
    </row>
    <row r="63">
      <c r="A63" t="n">
        <v>38</v>
      </c>
      <c r="B63" s="6" t="n">
        <v>1.286513816310289</v>
      </c>
      <c r="C63" s="6" t="n">
        <v>1.075653107825231</v>
      </c>
      <c r="D63" s="6" t="n">
        <v>-1.080379032750241</v>
      </c>
      <c r="E63" s="6" t="n">
        <v>0.9185437189662378</v>
      </c>
      <c r="F63" s="6" t="n">
        <v>0.9410009752426018</v>
      </c>
      <c r="G63" s="6" t="n">
        <v>0</v>
      </c>
      <c r="H63" s="6" t="n">
        <v>0</v>
      </c>
      <c r="I63" s="6" t="n">
        <v>1</v>
      </c>
      <c r="J63" s="6" t="n">
        <v>0</v>
      </c>
      <c r="K63" s="6" t="n">
        <v>0</v>
      </c>
      <c r="L63" s="6" t="n">
        <v>0</v>
      </c>
      <c r="M63" s="6" t="n">
        <v>0</v>
      </c>
      <c r="N63" s="6" t="n">
        <v>0</v>
      </c>
      <c r="O63" s="6" t="n">
        <v>0.9410009752426018</v>
      </c>
      <c r="P63" s="6" t="n">
        <v>0</v>
      </c>
      <c r="Q63" s="6" t="n">
        <v>0.05899902475739816</v>
      </c>
      <c r="R63" s="6" t="n">
        <v>0</v>
      </c>
      <c r="S63" s="6" t="n">
        <v>0.9410009752426018</v>
      </c>
    </row>
    <row r="64">
      <c r="A64" t="n">
        <v>39</v>
      </c>
      <c r="B64" s="6" t="n">
        <v>1.93176401806945</v>
      </c>
      <c r="C64" s="6" t="n">
        <v>0.4786834550223295</v>
      </c>
      <c r="D64" s="6" t="n">
        <v>0.1544540780083556</v>
      </c>
      <c r="E64" s="6" t="n">
        <v>0.9185437189662378</v>
      </c>
      <c r="F64" s="6" t="n">
        <v>1</v>
      </c>
      <c r="G64" s="6" t="n">
        <v>0</v>
      </c>
      <c r="H64" s="6" t="n">
        <v>0</v>
      </c>
      <c r="I64" s="6" t="n">
        <v>0.2763237453492037</v>
      </c>
      <c r="J64" s="6" t="n">
        <v>0</v>
      </c>
      <c r="K64" s="6" t="n">
        <v>0</v>
      </c>
      <c r="L64" s="6" t="n">
        <v>0</v>
      </c>
      <c r="M64" s="6" t="n">
        <v>0</v>
      </c>
      <c r="N64" s="6" t="n">
        <v>0</v>
      </c>
      <c r="O64" s="6" t="n">
        <v>0</v>
      </c>
      <c r="P64" s="6" t="n">
        <v>0.2763237453492037</v>
      </c>
      <c r="Q64" s="6" t="n">
        <v>0.2763237453492037</v>
      </c>
      <c r="R64" s="6" t="n">
        <v>0.7236762546507963</v>
      </c>
      <c r="S64" s="6" t="n">
        <v>0</v>
      </c>
    </row>
    <row r="65">
      <c r="A65" t="n">
        <v>40</v>
      </c>
      <c r="B65" s="6" t="n">
        <v>2.297621231823615</v>
      </c>
      <c r="C65" s="6" t="n">
        <v>1.370907439692536</v>
      </c>
      <c r="D65" s="6" t="n">
        <v>-0.04585611646755905</v>
      </c>
      <c r="E65" s="6" t="n">
        <v>-0.7471953578229239</v>
      </c>
      <c r="F65" s="6" t="n">
        <v>1</v>
      </c>
      <c r="G65" s="6" t="n">
        <v>0</v>
      </c>
      <c r="H65" s="6" t="n">
        <v>0</v>
      </c>
      <c r="I65" s="6" t="n">
        <v>0</v>
      </c>
      <c r="J65" s="6" t="n">
        <v>0</v>
      </c>
      <c r="K65" s="6" t="n">
        <v>0.8471349768543271</v>
      </c>
      <c r="L65" s="6" t="n">
        <v>0</v>
      </c>
      <c r="M65" s="6" t="n">
        <v>0</v>
      </c>
      <c r="N65" s="6" t="n">
        <v>0</v>
      </c>
      <c r="O65" s="6" t="n">
        <v>1</v>
      </c>
      <c r="P65" s="6" t="n">
        <v>0</v>
      </c>
      <c r="Q65" s="6" t="n">
        <v>0</v>
      </c>
      <c r="R65" s="6" t="n">
        <v>0</v>
      </c>
      <c r="S65" s="6" t="n">
        <v>0</v>
      </c>
    </row>
    <row r="66"/>
    <row r="67"/>
    <row r="68">
      <c r="A68" s="3" t="inlineStr">
        <is>
          <t>Testing result of the logistic trained on 490 real + 280 synthetic rows (Python)</t>
        </is>
      </c>
    </row>
    <row r="69">
      <c r="A69" t="inlineStr">
        <is>
          <t>class 1 recall</t>
        </is>
      </c>
      <c r="B69" s="6" t="n">
        <v>0.8444444444444444</v>
      </c>
    </row>
    <row r="70">
      <c r="A70" t="inlineStr">
        <is>
          <t>class 1 precision</t>
        </is>
      </c>
      <c r="B70" s="6" t="n">
        <v>0.5277777777777778</v>
      </c>
    </row>
    <row r="71">
      <c r="A71" t="inlineStr">
        <is>
          <t>class 1 F1</t>
        </is>
      </c>
      <c r="B71" s="6" t="n">
        <v>0.6495726495726496</v>
      </c>
    </row>
    <row r="72">
      <c r="A72" t="inlineStr">
        <is>
          <t>accuracy</t>
        </is>
      </c>
      <c r="B72" s="21" t="n">
        <v>0.7266666666666667</v>
      </c>
    </row>
    <row r="73">
      <c r="A73" t="inlineStr">
        <is>
          <t>AUC testing</t>
        </is>
      </c>
      <c r="B73" s="6" t="n">
        <v>0.8296825396825397</v>
      </c>
    </row>
    <row r="74">
      <c r="A74" t="inlineStr">
        <is>
          <t>average p on testing</t>
        </is>
      </c>
      <c r="B74" s="6" t="n">
        <v>0.4778611366693971</v>
      </c>
    </row>
  </sheetData>
  <mergeCells count="2">
    <mergeCell ref="A3:P3"/>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1" customWidth="1" min="1" max="1"/>
    <col width="10" customWidth="1" min="2" max="2"/>
    <col width="7" customWidth="1" min="3" max="3"/>
    <col width="7" customWidth="1" min="4" max="4"/>
    <col width="7" customWidth="1" min="5" max="5"/>
    <col width="7" customWidth="1" min="6" max="6"/>
    <col width="19" customWidth="1" min="7" max="7"/>
    <col width="19" customWidth="1" min="8" max="8"/>
    <col width="19" customWidth="1" min="9" max="9"/>
    <col width="19" customWidth="1" min="10" max="10"/>
    <col width="19" customWidth="1" min="11" max="11"/>
    <col width="19" customWidth="1" min="12" max="12"/>
    <col width="20" customWidth="1" min="13" max="13"/>
  </cols>
  <sheetData>
    <row r="1">
      <c r="A1" s="3" t="inlineStr">
        <is>
          <t>The four methods on testing, and the unbalanced model with a different threshold</t>
        </is>
      </c>
    </row>
    <row r="2" ht="65" customHeight="1">
      <c r="A2" s="2" t="inlineStr">
        <is>
          <t>Every row is evaluated on the same 300 testing customers (values from Python). The four corrections raise the recall of class 1 from 0.57 to between 0.83 and 0.87 and lower precision from 0.65 to between 0.50 and 0.56: none of them creates information, all of them move the operating point toward catching more defaulters. The AUC barely changes (0.81 to 0.83), because the AUC depends neither on the threshold nor on the balancing: the ranking of customers by risk is almost the same.</t>
        </is>
      </c>
    </row>
    <row r="3" ht="80.5" customHeight="1">
      <c r="A3" s="2" t="inlineStr">
        <is>
          <t>The last row is the one worth the conversation: the unbalanced model, with threshold 0.30, has recall 0.856 and precision 0.513, almost the same as class weights (0.856 and 0.527). For a logistic, balancing and moving the threshold are two roads to the same place; the difference is that balancing shifts the probabilities (average p 0.48 against an actual rate of 0.30) and the threshold does not. When balancing does make sense: when the minority is so scarce (1%, 2%) that the model does not even learn to tell it apart and the AUC itself improves with weighting, or when the algorithm does not deliver a probability that can be thresholded.</t>
        </is>
      </c>
    </row>
    <row r="4"/>
    <row r="5">
      <c r="A5" s="4" t="inlineStr">
        <is>
          <t>model</t>
        </is>
      </c>
      <c r="B5" s="4" t="inlineStr">
        <is>
          <t>threshold</t>
        </is>
      </c>
      <c r="C5" s="4" t="inlineStr">
        <is>
          <t>TP</t>
        </is>
      </c>
      <c r="D5" s="4" t="inlineStr">
        <is>
          <t>FP</t>
        </is>
      </c>
      <c r="E5" s="4" t="inlineStr">
        <is>
          <t>TN</t>
        </is>
      </c>
      <c r="F5" s="4" t="inlineStr">
        <is>
          <t>FN</t>
        </is>
      </c>
      <c r="G5" s="4" t="inlineStr">
        <is>
          <t>accuracy</t>
        </is>
      </c>
      <c r="H5" s="4" t="inlineStr">
        <is>
          <t>class 1 recall</t>
        </is>
      </c>
      <c r="I5" s="4" t="inlineStr">
        <is>
          <t>class 1 precision</t>
        </is>
      </c>
      <c r="J5" s="4" t="inlineStr">
        <is>
          <t>class 1 F1</t>
        </is>
      </c>
      <c r="K5" s="4" t="inlineStr">
        <is>
          <t>class 0 recall</t>
        </is>
      </c>
      <c r="L5" s="4" t="inlineStr">
        <is>
          <t>AUC</t>
        </is>
      </c>
      <c r="M5" s="4" t="inlineStr">
        <is>
          <t>average p testing</t>
        </is>
      </c>
    </row>
    <row r="6">
      <c r="A6" t="inlineStr">
        <is>
          <t>unbalanced</t>
        </is>
      </c>
      <c r="B6" s="22" t="n">
        <v>0.5</v>
      </c>
      <c r="C6" t="n">
        <v>51</v>
      </c>
      <c r="D6" t="n">
        <v>27</v>
      </c>
      <c r="E6" t="n">
        <v>183</v>
      </c>
      <c r="F6" t="n">
        <v>39</v>
      </c>
      <c r="G6" s="21" t="n">
        <v>0.78</v>
      </c>
      <c r="H6" s="6" t="n">
        <v>0.5666666666666667</v>
      </c>
      <c r="I6" s="6" t="n">
        <v>0.6538461538461539</v>
      </c>
      <c r="J6" s="6" t="n">
        <v>0.6071428571428571</v>
      </c>
      <c r="K6" s="6" t="n">
        <v>0.8714285714285714</v>
      </c>
      <c r="L6" s="6" t="n">
        <v>0.8216931216931216</v>
      </c>
      <c r="M6" s="6" t="n">
        <v>0.331770790313337</v>
      </c>
    </row>
    <row r="7">
      <c r="A7" t="inlineStr">
        <is>
          <t>class weights balanced</t>
        </is>
      </c>
      <c r="B7" s="22" t="n">
        <v>0.5</v>
      </c>
      <c r="C7" t="n">
        <v>77</v>
      </c>
      <c r="D7" t="n">
        <v>69</v>
      </c>
      <c r="E7" t="n">
        <v>141</v>
      </c>
      <c r="F7" t="n">
        <v>13</v>
      </c>
      <c r="G7" s="21" t="n">
        <v>0.7266666666666667</v>
      </c>
      <c r="H7" s="6" t="n">
        <v>0.8555555555555555</v>
      </c>
      <c r="I7" s="6" t="n">
        <v>0.5273972602739726</v>
      </c>
      <c r="J7" s="6" t="n">
        <v>0.652542372881356</v>
      </c>
      <c r="K7" s="6" t="n">
        <v>0.6714285714285714</v>
      </c>
      <c r="L7" s="6" t="n">
        <v>0.8239153439153439</v>
      </c>
      <c r="M7" s="6" t="n">
        <v>0.484207855247944</v>
      </c>
    </row>
    <row r="8">
      <c r="A8" t="inlineStr">
        <is>
          <t>undersampling 210 + 210</t>
        </is>
      </c>
      <c r="B8" s="22" t="n">
        <v>0.5</v>
      </c>
      <c r="C8" t="n">
        <v>78</v>
      </c>
      <c r="D8" t="n">
        <v>78</v>
      </c>
      <c r="E8" t="n">
        <v>132</v>
      </c>
      <c r="F8" t="n">
        <v>12</v>
      </c>
      <c r="G8" s="21" t="n">
        <v>0.7</v>
      </c>
      <c r="H8" s="6" t="n">
        <v>0.8666666666666667</v>
      </c>
      <c r="I8" s="6" t="n">
        <v>0.5</v>
      </c>
      <c r="J8" s="6" t="n">
        <v>0.6341463414634146</v>
      </c>
      <c r="K8" s="6" t="n">
        <v>0.6285714285714286</v>
      </c>
      <c r="L8" s="6" t="n">
        <v>0.8133862433862435</v>
      </c>
      <c r="M8" s="6" t="n">
        <v>0.4864211223510542</v>
      </c>
    </row>
    <row r="9">
      <c r="A9" t="inlineStr">
        <is>
          <t>oversampling, defaulters ×2</t>
        </is>
      </c>
      <c r="B9" s="22" t="n">
        <v>0.5</v>
      </c>
      <c r="C9" t="n">
        <v>75</v>
      </c>
      <c r="D9" t="n">
        <v>59</v>
      </c>
      <c r="E9" t="n">
        <v>151</v>
      </c>
      <c r="F9" t="n">
        <v>15</v>
      </c>
      <c r="G9" s="21" t="n">
        <v>0.7533333333333333</v>
      </c>
      <c r="H9" s="6" t="n">
        <v>0.8333333333333334</v>
      </c>
      <c r="I9" s="6" t="n">
        <v>0.5597014925373134</v>
      </c>
      <c r="J9" s="6" t="n">
        <v>0.6696428571428571</v>
      </c>
      <c r="K9" s="6" t="n">
        <v>0.719047619047619</v>
      </c>
      <c r="L9" s="6" t="n">
        <v>0.8234920634920635</v>
      </c>
      <c r="M9" s="6" t="n">
        <v>0.4555762324770329</v>
      </c>
    </row>
    <row r="10">
      <c r="A10" t="inlineStr">
        <is>
          <t>SMOTE, 490 + 490</t>
        </is>
      </c>
      <c r="B10" s="22" t="n">
        <v>0.5</v>
      </c>
      <c r="C10" t="n">
        <v>76</v>
      </c>
      <c r="D10" t="n">
        <v>68</v>
      </c>
      <c r="E10" t="n">
        <v>142</v>
      </c>
      <c r="F10" t="n">
        <v>14</v>
      </c>
      <c r="G10" s="21" t="n">
        <v>0.7266666666666667</v>
      </c>
      <c r="H10" s="6" t="n">
        <v>0.8444444444444444</v>
      </c>
      <c r="I10" s="6" t="n">
        <v>0.5277777777777778</v>
      </c>
      <c r="J10" s="6" t="n">
        <v>0.6495726495726496</v>
      </c>
      <c r="K10" s="6" t="n">
        <v>0.6761904761904762</v>
      </c>
      <c r="L10" s="6" t="n">
        <v>0.8296825396825397</v>
      </c>
      <c r="M10" s="6" t="n">
        <v>0.4778611366693971</v>
      </c>
    </row>
    <row r="11">
      <c r="A11" t="inlineStr">
        <is>
          <t>unbalanced</t>
        </is>
      </c>
      <c r="B11" s="22" t="n">
        <v>0.3</v>
      </c>
      <c r="C11" t="n">
        <v>77</v>
      </c>
      <c r="D11" t="n">
        <v>73</v>
      </c>
      <c r="E11" t="n">
        <v>137</v>
      </c>
      <c r="F11" t="n">
        <v>13</v>
      </c>
      <c r="G11" s="21" t="n">
        <v>0.7133333333333334</v>
      </c>
      <c r="H11" s="6" t="n">
        <v>0.8555555555555555</v>
      </c>
      <c r="I11" s="6" t="n">
        <v>0.5133333333333333</v>
      </c>
      <c r="J11" s="6" t="n">
        <v>0.6416666666666666</v>
      </c>
      <c r="K11" s="6" t="n">
        <v>0.6523809523809524</v>
      </c>
      <c r="L11" s="6" t="n">
        <v>0.8216931216931216</v>
      </c>
      <c r="M11" s="6" t="n">
        <v>0.331770790313337</v>
      </c>
    </row>
    <row r="12">
      <c r="A12" t="inlineStr">
        <is>
          <t>unbalanced</t>
        </is>
      </c>
      <c r="B12" s="22" t="n">
        <v>0.25</v>
      </c>
      <c r="C12" t="n">
        <v>80</v>
      </c>
      <c r="D12" t="n">
        <v>86</v>
      </c>
      <c r="E12" t="n">
        <v>124</v>
      </c>
      <c r="F12" t="n">
        <v>10</v>
      </c>
      <c r="G12" s="21" t="n">
        <v>0.68</v>
      </c>
      <c r="H12" s="6" t="n">
        <v>0.8888888888888888</v>
      </c>
      <c r="I12" s="6" t="n">
        <v>0.4819277108433735</v>
      </c>
      <c r="J12" s="6" t="n">
        <v>0.625</v>
      </c>
      <c r="K12" s="6" t="n">
        <v>0.5904761904761905</v>
      </c>
      <c r="L12" s="6" t="n">
        <v>0.8216931216931216</v>
      </c>
      <c r="M12" s="6" t="n">
        <v>0.331770790313337</v>
      </c>
    </row>
  </sheetData>
  <mergeCells count="2">
    <mergeCell ref="A3:L3"/>
    <mergeCell ref="A2:L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2026-09-29T16:05:24Z</dcterms:created>
  <dcterms:modified xmlns:dcterms="http://purl.org/dc/terms/" xmlns:xsi="http://www.w3.org/2001/XMLSchema-instance" xsi:type="dcterms:W3CDTF">2026-09-29T16:05:29Z</dcterms:modified>
</cp:coreProperties>
</file>